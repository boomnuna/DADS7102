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CCA819BC-CC35-491A-B1B7-73DBFE6F65DF}" xr6:coauthVersionLast="47" xr6:coauthVersionMax="47" xr10:uidLastSave="{00000000-0000-0000-0000-000000000000}"/>
  <bookViews>
    <workbookView xWindow="4425" yWindow="4185" windowWidth="21600" windowHeight="11295" tabRatio="954" firstSheet="22" activeTab="26" xr2:uid="{00000000-000D-0000-FFFF-FFFF00000000}"/>
  </bookViews>
  <sheets>
    <sheet name="Advertising " sheetId="43" r:id="rId1"/>
    <sheet name="Advertising _Sensitivity Report" sheetId="42" r:id="rId2"/>
    <sheet name="monopolist" sheetId="41" r:id="rId3"/>
    <sheet name="Sensitivity Report 1" sheetId="34" r:id="rId4"/>
    <sheet name="ProductMix" sheetId="1" r:id="rId5"/>
    <sheet name="ProductMix_add_on" sheetId="32" r:id="rId6"/>
    <sheet name="ProductMix2 Sensitivity" sheetId="35" r:id="rId7"/>
    <sheet name="ProductMix2" sheetId="2" r:id="rId8"/>
    <sheet name="LM_2" sheetId="36" r:id="rId9"/>
    <sheet name="Dual" sheetId="17" r:id="rId10"/>
    <sheet name="ProdPlanning" sheetId="3" r:id="rId11"/>
    <sheet name="project" sheetId="18" r:id="rId12"/>
    <sheet name="BlendingOil" sheetId="4" r:id="rId13"/>
    <sheet name="Transport1" sheetId="5" r:id="rId14"/>
    <sheet name="AssignmentProblem" sheetId="20" r:id="rId15"/>
    <sheet name="BinPacking" sheetId="27" r:id="rId16"/>
    <sheet name="cuttingStock" sheetId="28" r:id="rId17"/>
    <sheet name="MCNF" sheetId="31" r:id="rId18"/>
    <sheet name="RedBrandLogistics" sheetId="6" r:id="rId19"/>
    <sheet name="HW3" sheetId="37" r:id="rId20"/>
    <sheet name="set_covering_model" sheetId="39" r:id="rId21"/>
    <sheet name="ShortestPath" sheetId="26" r:id="rId22"/>
    <sheet name="Aggregate1" sheetId="7" r:id="rId23"/>
    <sheet name="CapitalBudget" sheetId="8" r:id="rId24"/>
    <sheet name="FixedCost" sheetId="9" r:id="rId25"/>
    <sheet name="Hub" sheetId="10" r:id="rId26"/>
    <sheet name="WorkerScheduling" sheetId="11" r:id="rId27"/>
    <sheet name="Transport1-2" sheetId="12" r:id="rId28"/>
    <sheet name="MMULT" sheetId="13" r:id="rId29"/>
    <sheet name="MDETERM" sheetId="21" r:id="rId30"/>
    <sheet name="Peakload" sheetId="15" r:id="rId31"/>
    <sheet name="GameTheory" sheetId="40" r:id="rId32"/>
    <sheet name="Portfolio" sheetId="14" r:id="rId33"/>
    <sheet name="EOQ" sheetId="23" r:id="rId34"/>
    <sheet name="SVM1" sheetId="24" r:id="rId35"/>
    <sheet name="MLE" sheetId="25" r:id="rId36"/>
    <sheet name="OLS" sheetId="30" r:id="rId37"/>
    <sheet name="Location" sheetId="29" r:id="rId38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0" hidden="1">'Advertising '!$A$2:$B$2</definedName>
    <definedName name="solver_adj" localSheetId="14" hidden="1">AssignmentProblem!$C$13:$F$16</definedName>
    <definedName name="solver_adj" localSheetId="23" hidden="1">CapitalBudget!$B$10:$H$10</definedName>
    <definedName name="solver_adj" localSheetId="9" hidden="1">Dual!$I$4:$L$4</definedName>
    <definedName name="solver_adj" localSheetId="33" hidden="1">EOQ!$B$6</definedName>
    <definedName name="solver_adj" localSheetId="24" hidden="1">FixedCost!$B$14:$F$15</definedName>
    <definedName name="solver_adj" localSheetId="31" hidden="1">GameTheory!$B$2:$D$2</definedName>
    <definedName name="solver_adj" localSheetId="25" hidden="1">Hub!$B$21:$M$21</definedName>
    <definedName name="solver_adj" localSheetId="19" hidden="1">'HW3'!$E$5:$E$14</definedName>
    <definedName name="solver_adj" localSheetId="8" hidden="1">LM_2!$B$10:$I$10</definedName>
    <definedName name="solver_adj" localSheetId="37" hidden="1">Location!$B$6:$C$6</definedName>
    <definedName name="solver_adj" localSheetId="17" hidden="1">MCNF!$D$8:$D$13</definedName>
    <definedName name="solver_adj" localSheetId="2" hidden="1">monopolist!$A$2</definedName>
    <definedName name="solver_adj" localSheetId="30" hidden="1">Peakload!$B$13:$C$13,Peakload!$B$15</definedName>
    <definedName name="solver_adj" localSheetId="10" hidden="1">ProdPlanning!$B$12:$G$12</definedName>
    <definedName name="solver_adj" localSheetId="4" hidden="1">ProductMix!$B$16:$C$16</definedName>
    <definedName name="solver_adj" localSheetId="5" hidden="1">ProductMix_add_on!$B$16:$D$16</definedName>
    <definedName name="solver_adj" localSheetId="7" hidden="1">ProductMix2!$B$19:$I$20</definedName>
    <definedName name="solver_adj" localSheetId="11" hidden="1">project!$I$6:$J$19,project!$I$22</definedName>
    <definedName name="solver_adj" localSheetId="18" hidden="1">RedBrandLogistics!$D$8:$D$33</definedName>
    <definedName name="solver_adj" localSheetId="20" hidden="1">set_covering_model!$B$2:$G$2</definedName>
    <definedName name="solver_adj" localSheetId="34" hidden="1">'SVM1'!$B$2:$D$2,'SVM1'!$F$2</definedName>
    <definedName name="solver_adj" localSheetId="13" hidden="1">Transport1!$C$13:$F$15</definedName>
    <definedName name="solver_adj" localSheetId="26" hidden="1">WorkerScheduling!#REF!</definedName>
    <definedName name="solver_cvg" localSheetId="0" hidden="1">0.0001</definedName>
    <definedName name="solver_cvg" localSheetId="14" hidden="1">0.0001</definedName>
    <definedName name="solver_cvg" localSheetId="23" hidden="1">0.0001</definedName>
    <definedName name="solver_cvg" localSheetId="9" hidden="1">0.0001</definedName>
    <definedName name="solver_cvg" localSheetId="33" hidden="1">0.0001</definedName>
    <definedName name="solver_cvg" localSheetId="24" hidden="1">0.0001</definedName>
    <definedName name="solver_cvg" localSheetId="31" hidden="1">0.0001</definedName>
    <definedName name="solver_cvg" localSheetId="25" hidden="1">0.0001</definedName>
    <definedName name="solver_cvg" localSheetId="19" hidden="1">0.0001</definedName>
    <definedName name="solver_cvg" localSheetId="8" hidden="1">0.0001</definedName>
    <definedName name="solver_cvg" localSheetId="37" hidden="1">0.0001</definedName>
    <definedName name="solver_cvg" localSheetId="17" hidden="1">0.0001</definedName>
    <definedName name="solver_cvg" localSheetId="2" hidden="1">0.0001</definedName>
    <definedName name="solver_cvg" localSheetId="30" hidden="1">0.0001</definedName>
    <definedName name="solver_cvg" localSheetId="10" hidden="1">0.0001</definedName>
    <definedName name="solver_cvg" localSheetId="4" hidden="1">0.0001</definedName>
    <definedName name="solver_cvg" localSheetId="5" hidden="1">0.0001</definedName>
    <definedName name="solver_cvg" localSheetId="7" hidden="1">0.0001</definedName>
    <definedName name="solver_cvg" localSheetId="11" hidden="1">0.0001</definedName>
    <definedName name="solver_cvg" localSheetId="18" hidden="1">0.0001</definedName>
    <definedName name="solver_cvg" localSheetId="20" hidden="1">0.0001</definedName>
    <definedName name="solver_cvg" localSheetId="13" hidden="1">0.0001</definedName>
    <definedName name="solver_cvg" localSheetId="26" hidden="1">0.0001</definedName>
    <definedName name="solver_drv" localSheetId="0" hidden="1">1</definedName>
    <definedName name="solver_drv" localSheetId="14" hidden="1">1</definedName>
    <definedName name="solver_drv" localSheetId="23" hidden="1">1</definedName>
    <definedName name="solver_drv" localSheetId="9" hidden="1">1</definedName>
    <definedName name="solver_drv" localSheetId="33" hidden="1">1</definedName>
    <definedName name="solver_drv" localSheetId="24" hidden="1">1</definedName>
    <definedName name="solver_drv" localSheetId="31" hidden="1">1</definedName>
    <definedName name="solver_drv" localSheetId="25" hidden="1">1</definedName>
    <definedName name="solver_drv" localSheetId="19" hidden="1">2</definedName>
    <definedName name="solver_drv" localSheetId="8" hidden="1">1</definedName>
    <definedName name="solver_drv" localSheetId="37" hidden="1">1</definedName>
    <definedName name="solver_drv" localSheetId="17" hidden="1">1</definedName>
    <definedName name="solver_drv" localSheetId="2" hidden="1">1</definedName>
    <definedName name="solver_drv" localSheetId="30" hidden="1">2</definedName>
    <definedName name="solver_drv" localSheetId="10" hidden="1">1</definedName>
    <definedName name="solver_drv" localSheetId="4" hidden="1">1</definedName>
    <definedName name="solver_drv" localSheetId="5" hidden="1">1</definedName>
    <definedName name="solver_drv" localSheetId="7" hidden="1">1</definedName>
    <definedName name="solver_drv" localSheetId="11" hidden="1">1</definedName>
    <definedName name="solver_drv" localSheetId="18" hidden="1">1</definedName>
    <definedName name="solver_drv" localSheetId="20" hidden="1">1</definedName>
    <definedName name="solver_drv" localSheetId="13" hidden="1">1</definedName>
    <definedName name="solver_drv" localSheetId="26" hidden="1">1</definedName>
    <definedName name="solver_eng" localSheetId="0" hidden="1">1</definedName>
    <definedName name="solver_eng" localSheetId="14" hidden="1">2</definedName>
    <definedName name="solver_eng" localSheetId="23" hidden="1">2</definedName>
    <definedName name="solver_eng" localSheetId="9" hidden="1">2</definedName>
    <definedName name="solver_eng" localSheetId="33" hidden="1">1</definedName>
    <definedName name="solver_eng" localSheetId="24" hidden="1">2</definedName>
    <definedName name="solver_eng" localSheetId="31" hidden="1">2</definedName>
    <definedName name="solver_eng" localSheetId="25" hidden="1">2</definedName>
    <definedName name="solver_eng" localSheetId="19" hidden="1">2</definedName>
    <definedName name="solver_eng" localSheetId="8" hidden="1">2</definedName>
    <definedName name="solver_eng" localSheetId="37" hidden="1">1</definedName>
    <definedName name="solver_eng" localSheetId="17" hidden="1">2</definedName>
    <definedName name="solver_eng" localSheetId="2" hidden="1">1</definedName>
    <definedName name="solver_eng" localSheetId="30" hidden="1">1</definedName>
    <definedName name="solver_eng" localSheetId="10" hidden="1">2</definedName>
    <definedName name="solver_eng" localSheetId="4" hidden="1">2</definedName>
    <definedName name="solver_eng" localSheetId="5" hidden="1">2</definedName>
    <definedName name="solver_eng" localSheetId="7" hidden="1">2</definedName>
    <definedName name="solver_eng" localSheetId="11" hidden="1">2</definedName>
    <definedName name="solver_eng" localSheetId="18" hidden="1">2</definedName>
    <definedName name="solver_eng" localSheetId="20" hidden="1">2</definedName>
    <definedName name="solver_eng" localSheetId="34" hidden="1">1</definedName>
    <definedName name="solver_eng" localSheetId="13" hidden="1">2</definedName>
    <definedName name="solver_eng" localSheetId="26" hidden="1">2</definedName>
    <definedName name="solver_est" localSheetId="0" hidden="1">1</definedName>
    <definedName name="solver_est" localSheetId="14" hidden="1">1</definedName>
    <definedName name="solver_est" localSheetId="23" hidden="1">1</definedName>
    <definedName name="solver_est" localSheetId="9" hidden="1">1</definedName>
    <definedName name="solver_est" localSheetId="33" hidden="1">1</definedName>
    <definedName name="solver_est" localSheetId="24" hidden="1">1</definedName>
    <definedName name="solver_est" localSheetId="31" hidden="1">1</definedName>
    <definedName name="solver_est" localSheetId="25" hidden="1">1</definedName>
    <definedName name="solver_est" localSheetId="19" hidden="1">1</definedName>
    <definedName name="solver_est" localSheetId="8" hidden="1">1</definedName>
    <definedName name="solver_est" localSheetId="37" hidden="1">1</definedName>
    <definedName name="solver_est" localSheetId="17" hidden="1">1</definedName>
    <definedName name="solver_est" localSheetId="2" hidden="1">1</definedName>
    <definedName name="solver_est" localSheetId="30" hidden="1">1</definedName>
    <definedName name="solver_est" localSheetId="10" hidden="1">1</definedName>
    <definedName name="solver_est" localSheetId="4" hidden="1">1</definedName>
    <definedName name="solver_est" localSheetId="5" hidden="1">1</definedName>
    <definedName name="solver_est" localSheetId="7" hidden="1">1</definedName>
    <definedName name="solver_est" localSheetId="11" hidden="1">1</definedName>
    <definedName name="solver_est" localSheetId="18" hidden="1">1</definedName>
    <definedName name="solver_est" localSheetId="20" hidden="1">1</definedName>
    <definedName name="solver_est" localSheetId="13" hidden="1">1</definedName>
    <definedName name="solver_est" localSheetId="26" hidden="1">1</definedName>
    <definedName name="solver_itr" localSheetId="0" hidden="1">2147483647</definedName>
    <definedName name="solver_itr" localSheetId="14" hidden="1">2147483647</definedName>
    <definedName name="solver_itr" localSheetId="23" hidden="1">2147483647</definedName>
    <definedName name="solver_itr" localSheetId="9" hidden="1">2147483647</definedName>
    <definedName name="solver_itr" localSheetId="33" hidden="1">2147483647</definedName>
    <definedName name="solver_itr" localSheetId="24" hidden="1">2147483647</definedName>
    <definedName name="solver_itr" localSheetId="31" hidden="1">2147483647</definedName>
    <definedName name="solver_itr" localSheetId="25" hidden="1">2147483647</definedName>
    <definedName name="solver_itr" localSheetId="19" hidden="1">2147483647</definedName>
    <definedName name="solver_itr" localSheetId="8" hidden="1">2147483647</definedName>
    <definedName name="solver_itr" localSheetId="37" hidden="1">2147483647</definedName>
    <definedName name="solver_itr" localSheetId="17" hidden="1">2147483647</definedName>
    <definedName name="solver_itr" localSheetId="2" hidden="1">2147483647</definedName>
    <definedName name="solver_itr" localSheetId="30" hidden="1">2147483647</definedName>
    <definedName name="solver_itr" localSheetId="10" hidden="1">2147483647</definedName>
    <definedName name="solver_itr" localSheetId="4" hidden="1">100</definedName>
    <definedName name="solver_itr" localSheetId="5" hidden="1">100</definedName>
    <definedName name="solver_itr" localSheetId="7" hidden="1">2147483647</definedName>
    <definedName name="solver_itr" localSheetId="11" hidden="1">2147483647</definedName>
    <definedName name="solver_itr" localSheetId="18" hidden="1">2147483647</definedName>
    <definedName name="solver_itr" localSheetId="20" hidden="1">2147483647</definedName>
    <definedName name="solver_itr" localSheetId="13" hidden="1">2147483647</definedName>
    <definedName name="solver_itr" localSheetId="26" hidden="1">2147483647</definedName>
    <definedName name="solver_lhs1" localSheetId="0" hidden="1">'Advertising '!$C$6</definedName>
    <definedName name="solver_lhs1" localSheetId="14" hidden="1">AssignmentProblem!$C$17:$F$17</definedName>
    <definedName name="solver_lhs1" localSheetId="23" hidden="1">CapitalBudget!$B$14</definedName>
    <definedName name="solver_lhs1" localSheetId="9" hidden="1">Dual!$M$6:$M$7</definedName>
    <definedName name="solver_lhs1" localSheetId="33" hidden="1">EOQ!$J$15</definedName>
    <definedName name="solver_lhs1" localSheetId="24" hidden="1">FixedCost!$B$14:$F$14</definedName>
    <definedName name="solver_lhs1" localSheetId="31" hidden="1">GameTheory!$B$2:$C$2</definedName>
    <definedName name="solver_lhs1" localSheetId="25" hidden="1">Hub!$B$21:$M$21</definedName>
    <definedName name="solver_lhs1" localSheetId="19" hidden="1">'HW3'!$L$14:$L$17</definedName>
    <definedName name="solver_lhs1" localSheetId="8" hidden="1">LM_2!$J$12:$J$14</definedName>
    <definedName name="solver_lhs1" localSheetId="17" hidden="1">MCNF!$D$8:$D$13</definedName>
    <definedName name="solver_lhs1" localSheetId="30" hidden="1">Peakload!$B$19:$C$19</definedName>
    <definedName name="solver_lhs1" localSheetId="10" hidden="1">ProdPlanning!$B$12:$G$12</definedName>
    <definedName name="solver_lhs1" localSheetId="4" hidden="1">ProductMix!$B$16:$C$16</definedName>
    <definedName name="solver_lhs1" localSheetId="5" hidden="1">ProductMix_add_on!$B$16:$D$16</definedName>
    <definedName name="solver_lhs1" localSheetId="7" hidden="1">ProductMix2!$B$21:$I$21</definedName>
    <definedName name="solver_lhs1" localSheetId="11" hidden="1">project!$I$22</definedName>
    <definedName name="solver_lhs1" localSheetId="18" hidden="1">RedBrandLogistics!$D$8:$D$33</definedName>
    <definedName name="solver_lhs1" localSheetId="20" hidden="1">set_covering_model!$B$2:$G$2</definedName>
    <definedName name="solver_lhs1" localSheetId="13" hidden="1">Transport1!$C$16:$F$16</definedName>
    <definedName name="solver_lhs1" localSheetId="26" hidden="1">WorkerScheduling!#REF!</definedName>
    <definedName name="solver_lhs10" localSheetId="11" hidden="1">project!$I$18</definedName>
    <definedName name="solver_lhs11" localSheetId="11" hidden="1">project!$I$13</definedName>
    <definedName name="solver_lhs12" localSheetId="11" hidden="1">project!$I$15</definedName>
    <definedName name="solver_lhs13" localSheetId="11" hidden="1">project!$I$15</definedName>
    <definedName name="solver_lhs14" localSheetId="11" hidden="1">project!$I$14</definedName>
    <definedName name="solver_lhs15" localSheetId="11" hidden="1">project!$I$13</definedName>
    <definedName name="solver_lhs16" localSheetId="11" hidden="1">project!$I$7</definedName>
    <definedName name="solver_lhs17" localSheetId="11" hidden="1">project!$I$12</definedName>
    <definedName name="solver_lhs18" localSheetId="11" hidden="1">project!$I$8</definedName>
    <definedName name="solver_lhs19" localSheetId="11" hidden="1">project!$I$9</definedName>
    <definedName name="solver_lhs2" localSheetId="14" hidden="1">AssignmentProblem!$G$13:$G$16</definedName>
    <definedName name="solver_lhs2" localSheetId="23" hidden="1">CapitalBudget!$B$10:$H$10</definedName>
    <definedName name="solver_lhs2" localSheetId="24" hidden="1">FixedCost!$B$15:$F$15</definedName>
    <definedName name="solver_lhs2" localSheetId="31" hidden="1">GameTheory!$E$4:$E$5</definedName>
    <definedName name="solver_lhs2" localSheetId="25" hidden="1">Hub!$B$25:$B$36</definedName>
    <definedName name="solver_lhs2" localSheetId="19" hidden="1">'HW3'!$L$5</definedName>
    <definedName name="solver_lhs2" localSheetId="8" hidden="1">LM_2!$J$15</definedName>
    <definedName name="solver_lhs2" localSheetId="17" hidden="1">MCNF!$L$9:$L$13</definedName>
    <definedName name="solver_lhs2" localSheetId="10" hidden="1">ProdPlanning!$B$20:$G$20</definedName>
    <definedName name="solver_lhs2" localSheetId="4" hidden="1">ProductMix!$B$21:$B$22</definedName>
    <definedName name="solver_lhs2" localSheetId="5" hidden="1">ProductMix_add_on!$B$21:$B$22</definedName>
    <definedName name="solver_lhs2" localSheetId="7" hidden="1">ProductMix2!$B$26:$B$28</definedName>
    <definedName name="solver_lhs2" localSheetId="11" hidden="1">project!$I$22</definedName>
    <definedName name="solver_lhs2" localSheetId="18" hidden="1">RedBrandLogistics!$K$15:$K$16</definedName>
    <definedName name="solver_lhs2" localSheetId="20" hidden="1">set_covering_model!$H$3:$H$8</definedName>
    <definedName name="solver_lhs2" localSheetId="13" hidden="1">Transport1!$G$13:$G$15</definedName>
    <definedName name="solver_lhs2" localSheetId="26" hidden="1">WorkerScheduling!#REF!</definedName>
    <definedName name="solver_lhs20" localSheetId="11" hidden="1">project!$I$9</definedName>
    <definedName name="solver_lhs21" localSheetId="11" hidden="1">project!$I$10</definedName>
    <definedName name="solver_lhs22" localSheetId="11" hidden="1">project!$I$11</definedName>
    <definedName name="solver_lhs3" localSheetId="23" hidden="1">CapitalBudget!$C$15</definedName>
    <definedName name="solver_lhs3" localSheetId="24" hidden="1">FixedCost!$B$23:$B$24</definedName>
    <definedName name="solver_lhs3" localSheetId="31" hidden="1">GameTheory!$E$6</definedName>
    <definedName name="solver_lhs3" localSheetId="19" hidden="1">'HW3'!$E$5:$E$6</definedName>
    <definedName name="solver_lhs3" localSheetId="8" hidden="1">LM_2!$J$15</definedName>
    <definedName name="solver_lhs3" localSheetId="17" hidden="1">MCNF!$L$20:$L$21</definedName>
    <definedName name="solver_lhs3" localSheetId="10" hidden="1">ProdPlanning!$B$20:$G$20</definedName>
    <definedName name="solver_lhs3" localSheetId="4" hidden="1">ProductMix!$C$16</definedName>
    <definedName name="solver_lhs3" localSheetId="5" hidden="1">ProductMix_add_on!$C$16</definedName>
    <definedName name="solver_lhs3" localSheetId="7" hidden="1">ProductMix2!$B$26:$B$28</definedName>
    <definedName name="solver_lhs3" localSheetId="11" hidden="1">project!$I$22</definedName>
    <definedName name="solver_lhs3" localSheetId="18" hidden="1">RedBrandLogistics!$K$20:$K$21</definedName>
    <definedName name="solver_lhs4" localSheetId="23" hidden="1">CapitalBudget!$B$10:$H$10</definedName>
    <definedName name="solver_lhs4" localSheetId="24" hidden="1">FixedCost!$B$23:$B$24</definedName>
    <definedName name="solver_lhs4" localSheetId="31" hidden="1">GameTheory!$E$6</definedName>
    <definedName name="solver_lhs4" localSheetId="19" hidden="1">'HW3'!$L$9:$L$10</definedName>
    <definedName name="solver_lhs4" localSheetId="17" hidden="1">MCNF!$L$9:$L$11</definedName>
    <definedName name="solver_lhs4" localSheetId="11" hidden="1">project!$I$22</definedName>
    <definedName name="solver_lhs4" localSheetId="18" hidden="1">RedBrandLogistics!$K$9:$K$11</definedName>
    <definedName name="solver_lhs5" localSheetId="23" hidden="1">CapitalBudget!$B$10:$H$10</definedName>
    <definedName name="solver_lhs5" localSheetId="11" hidden="1">project!$J$6:$J$19</definedName>
    <definedName name="solver_lhs6" localSheetId="11" hidden="1">project!$I$19</definedName>
    <definedName name="solver_lhs7" localSheetId="11" hidden="1">project!$I$19</definedName>
    <definedName name="solver_lhs8" localSheetId="11" hidden="1">project!$I$16</definedName>
    <definedName name="solver_lhs9" localSheetId="11" hidden="1">project!$I$17</definedName>
    <definedName name="solver_lin" localSheetId="4" hidden="1">2</definedName>
    <definedName name="solver_lin" localSheetId="5" hidden="1">2</definedName>
    <definedName name="solver_mip" localSheetId="0" hidden="1">2147483647</definedName>
    <definedName name="solver_mip" localSheetId="14" hidden="1">2147483647</definedName>
    <definedName name="solver_mip" localSheetId="23" hidden="1">2147483647</definedName>
    <definedName name="solver_mip" localSheetId="9" hidden="1">2147483647</definedName>
    <definedName name="solver_mip" localSheetId="33" hidden="1">2147483647</definedName>
    <definedName name="solver_mip" localSheetId="24" hidden="1">2147483647</definedName>
    <definedName name="solver_mip" localSheetId="31" hidden="1">2147483647</definedName>
    <definedName name="solver_mip" localSheetId="25" hidden="1">2147483647</definedName>
    <definedName name="solver_mip" localSheetId="19" hidden="1">2147483647</definedName>
    <definedName name="solver_mip" localSheetId="8" hidden="1">2147483647</definedName>
    <definedName name="solver_mip" localSheetId="37" hidden="1">2147483647</definedName>
    <definedName name="solver_mip" localSheetId="17" hidden="1">2147483647</definedName>
    <definedName name="solver_mip" localSheetId="2" hidden="1">2147483647</definedName>
    <definedName name="solver_mip" localSheetId="30" hidden="1">2147483647</definedName>
    <definedName name="solver_mip" localSheetId="10" hidden="1">2147483647</definedName>
    <definedName name="solver_mip" localSheetId="4" hidden="1">2147483647</definedName>
    <definedName name="solver_mip" localSheetId="5" hidden="1">2147483647</definedName>
    <definedName name="solver_mip" localSheetId="7" hidden="1">2147483647</definedName>
    <definedName name="solver_mip" localSheetId="11" hidden="1">2147483647</definedName>
    <definedName name="solver_mip" localSheetId="18" hidden="1">2147483647</definedName>
    <definedName name="solver_mip" localSheetId="20" hidden="1">2147483647</definedName>
    <definedName name="solver_mip" localSheetId="13" hidden="1">2147483647</definedName>
    <definedName name="solver_mip" localSheetId="26" hidden="1">2147483647</definedName>
    <definedName name="solver_mni" localSheetId="0" hidden="1">30</definedName>
    <definedName name="solver_mni" localSheetId="14" hidden="1">30</definedName>
    <definedName name="solver_mni" localSheetId="23" hidden="1">30</definedName>
    <definedName name="solver_mni" localSheetId="9" hidden="1">30</definedName>
    <definedName name="solver_mni" localSheetId="33" hidden="1">30</definedName>
    <definedName name="solver_mni" localSheetId="24" hidden="1">30</definedName>
    <definedName name="solver_mni" localSheetId="31" hidden="1">30</definedName>
    <definedName name="solver_mni" localSheetId="25" hidden="1">30</definedName>
    <definedName name="solver_mni" localSheetId="19" hidden="1">30</definedName>
    <definedName name="solver_mni" localSheetId="8" hidden="1">30</definedName>
    <definedName name="solver_mni" localSheetId="37" hidden="1">30</definedName>
    <definedName name="solver_mni" localSheetId="17" hidden="1">30</definedName>
    <definedName name="solver_mni" localSheetId="2" hidden="1">30</definedName>
    <definedName name="solver_mni" localSheetId="30" hidden="1">30</definedName>
    <definedName name="solver_mni" localSheetId="10" hidden="1">30</definedName>
    <definedName name="solver_mni" localSheetId="4" hidden="1">30</definedName>
    <definedName name="solver_mni" localSheetId="5" hidden="1">30</definedName>
    <definedName name="solver_mni" localSheetId="7" hidden="1">30</definedName>
    <definedName name="solver_mni" localSheetId="11" hidden="1">30</definedName>
    <definedName name="solver_mni" localSheetId="18" hidden="1">30</definedName>
    <definedName name="solver_mni" localSheetId="20" hidden="1">30</definedName>
    <definedName name="solver_mni" localSheetId="13" hidden="1">30</definedName>
    <definedName name="solver_mni" localSheetId="26" hidden="1">30</definedName>
    <definedName name="solver_mrt" localSheetId="0" hidden="1">0.075</definedName>
    <definedName name="solver_mrt" localSheetId="14" hidden="1">0.075</definedName>
    <definedName name="solver_mrt" localSheetId="23" hidden="1">0.075</definedName>
    <definedName name="solver_mrt" localSheetId="9" hidden="1">0.075</definedName>
    <definedName name="solver_mrt" localSheetId="33" hidden="1">0.075</definedName>
    <definedName name="solver_mrt" localSheetId="24" hidden="1">0.075</definedName>
    <definedName name="solver_mrt" localSheetId="31" hidden="1">0.075</definedName>
    <definedName name="solver_mrt" localSheetId="25" hidden="1">0.075</definedName>
    <definedName name="solver_mrt" localSheetId="19" hidden="1">0.075</definedName>
    <definedName name="solver_mrt" localSheetId="8" hidden="1">0.075</definedName>
    <definedName name="solver_mrt" localSheetId="37" hidden="1">0.075</definedName>
    <definedName name="solver_mrt" localSheetId="17" hidden="1">0.075</definedName>
    <definedName name="solver_mrt" localSheetId="2" hidden="1">0.075</definedName>
    <definedName name="solver_mrt" localSheetId="30" hidden="1">0.075</definedName>
    <definedName name="solver_mrt" localSheetId="10" hidden="1">0.075</definedName>
    <definedName name="solver_mrt" localSheetId="4" hidden="1">0.075</definedName>
    <definedName name="solver_mrt" localSheetId="5" hidden="1">0.075</definedName>
    <definedName name="solver_mrt" localSheetId="7" hidden="1">0.075</definedName>
    <definedName name="solver_mrt" localSheetId="11" hidden="1">0.075</definedName>
    <definedName name="solver_mrt" localSheetId="18" hidden="1">0.075</definedName>
    <definedName name="solver_mrt" localSheetId="20" hidden="1">0.075</definedName>
    <definedName name="solver_mrt" localSheetId="13" hidden="1">0.075</definedName>
    <definedName name="solver_mrt" localSheetId="26" hidden="1">0.075</definedName>
    <definedName name="solver_msl" localSheetId="0" hidden="1">2</definedName>
    <definedName name="solver_msl" localSheetId="14" hidden="1">2</definedName>
    <definedName name="solver_msl" localSheetId="23" hidden="1">2</definedName>
    <definedName name="solver_msl" localSheetId="9" hidden="1">2</definedName>
    <definedName name="solver_msl" localSheetId="33" hidden="1">2</definedName>
    <definedName name="solver_msl" localSheetId="24" hidden="1">2</definedName>
    <definedName name="solver_msl" localSheetId="31" hidden="1">2</definedName>
    <definedName name="solver_msl" localSheetId="25" hidden="1">2</definedName>
    <definedName name="solver_msl" localSheetId="19" hidden="1">2</definedName>
    <definedName name="solver_msl" localSheetId="8" hidden="1">2</definedName>
    <definedName name="solver_msl" localSheetId="37" hidden="1">2</definedName>
    <definedName name="solver_msl" localSheetId="17" hidden="1">2</definedName>
    <definedName name="solver_msl" localSheetId="2" hidden="1">2</definedName>
    <definedName name="solver_msl" localSheetId="30" hidden="1">2</definedName>
    <definedName name="solver_msl" localSheetId="10" hidden="1">2</definedName>
    <definedName name="solver_msl" localSheetId="4" hidden="1">2</definedName>
    <definedName name="solver_msl" localSheetId="5" hidden="1">2</definedName>
    <definedName name="solver_msl" localSheetId="7" hidden="1">2</definedName>
    <definedName name="solver_msl" localSheetId="11" hidden="1">2</definedName>
    <definedName name="solver_msl" localSheetId="18" hidden="1">2</definedName>
    <definedName name="solver_msl" localSheetId="20" hidden="1">2</definedName>
    <definedName name="solver_msl" localSheetId="13" hidden="1">2</definedName>
    <definedName name="solver_msl" localSheetId="26" hidden="1">2</definedName>
    <definedName name="solver_neg" localSheetId="0" hidden="1">1</definedName>
    <definedName name="solver_neg" localSheetId="14" hidden="1">1</definedName>
    <definedName name="solver_neg" localSheetId="23" hidden="1">1</definedName>
    <definedName name="solver_neg" localSheetId="9" hidden="1">1</definedName>
    <definedName name="solver_neg" localSheetId="33" hidden="1">1</definedName>
    <definedName name="solver_neg" localSheetId="24" hidden="1">1</definedName>
    <definedName name="solver_neg" localSheetId="31" hidden="1">2</definedName>
    <definedName name="solver_neg" localSheetId="25" hidden="1">1</definedName>
    <definedName name="solver_neg" localSheetId="19" hidden="1">1</definedName>
    <definedName name="solver_neg" localSheetId="8" hidden="1">1</definedName>
    <definedName name="solver_neg" localSheetId="37" hidden="1">1</definedName>
    <definedName name="solver_neg" localSheetId="17" hidden="1">1</definedName>
    <definedName name="solver_neg" localSheetId="2" hidden="1">1</definedName>
    <definedName name="solver_neg" localSheetId="30" hidden="1">1</definedName>
    <definedName name="solver_neg" localSheetId="10" hidden="1">1</definedName>
    <definedName name="solver_neg" localSheetId="4" hidden="1">1</definedName>
    <definedName name="solver_neg" localSheetId="5" hidden="1">1</definedName>
    <definedName name="solver_neg" localSheetId="7" hidden="1">1</definedName>
    <definedName name="solver_neg" localSheetId="11" hidden="1">1</definedName>
    <definedName name="solver_neg" localSheetId="18" hidden="1">1</definedName>
    <definedName name="solver_neg" localSheetId="20" hidden="1">1</definedName>
    <definedName name="solver_neg" localSheetId="34" hidden="1">1</definedName>
    <definedName name="solver_neg" localSheetId="13" hidden="1">1</definedName>
    <definedName name="solver_neg" localSheetId="26" hidden="1">1</definedName>
    <definedName name="solver_nod" localSheetId="0" hidden="1">2147483647</definedName>
    <definedName name="solver_nod" localSheetId="14" hidden="1">2147483647</definedName>
    <definedName name="solver_nod" localSheetId="23" hidden="1">2147483647</definedName>
    <definedName name="solver_nod" localSheetId="9" hidden="1">2147483647</definedName>
    <definedName name="solver_nod" localSheetId="33" hidden="1">2147483647</definedName>
    <definedName name="solver_nod" localSheetId="24" hidden="1">2147483647</definedName>
    <definedName name="solver_nod" localSheetId="31" hidden="1">2147483647</definedName>
    <definedName name="solver_nod" localSheetId="25" hidden="1">2147483647</definedName>
    <definedName name="solver_nod" localSheetId="19" hidden="1">2147483647</definedName>
    <definedName name="solver_nod" localSheetId="8" hidden="1">2147483647</definedName>
    <definedName name="solver_nod" localSheetId="37" hidden="1">2147483647</definedName>
    <definedName name="solver_nod" localSheetId="17" hidden="1">2147483647</definedName>
    <definedName name="solver_nod" localSheetId="2" hidden="1">2147483647</definedName>
    <definedName name="solver_nod" localSheetId="30" hidden="1">2147483647</definedName>
    <definedName name="solver_nod" localSheetId="10" hidden="1">2147483647</definedName>
    <definedName name="solver_nod" localSheetId="4" hidden="1">2147483647</definedName>
    <definedName name="solver_nod" localSheetId="5" hidden="1">2147483647</definedName>
    <definedName name="solver_nod" localSheetId="7" hidden="1">2147483647</definedName>
    <definedName name="solver_nod" localSheetId="11" hidden="1">2147483647</definedName>
    <definedName name="solver_nod" localSheetId="18" hidden="1">2147483647</definedName>
    <definedName name="solver_nod" localSheetId="20" hidden="1">2147483647</definedName>
    <definedName name="solver_nod" localSheetId="13" hidden="1">2147483647</definedName>
    <definedName name="solver_nod" localSheetId="26" hidden="1">2147483647</definedName>
    <definedName name="solver_num" localSheetId="0" hidden="1">1</definedName>
    <definedName name="solver_num" localSheetId="14" hidden="1">2</definedName>
    <definedName name="solver_num" localSheetId="23" hidden="1">2</definedName>
    <definedName name="solver_num" localSheetId="9" hidden="1">1</definedName>
    <definedName name="solver_num" localSheetId="33" hidden="1">0</definedName>
    <definedName name="solver_num" localSheetId="24" hidden="1">3</definedName>
    <definedName name="solver_num" localSheetId="31" hidden="1">3</definedName>
    <definedName name="solver_num" localSheetId="25" hidden="1">2</definedName>
    <definedName name="solver_num" localSheetId="19" hidden="1">4</definedName>
    <definedName name="solver_num" localSheetId="8" hidden="1">2</definedName>
    <definedName name="solver_num" localSheetId="37" hidden="1">0</definedName>
    <definedName name="solver_num" localSheetId="17" hidden="1">2</definedName>
    <definedName name="solver_num" localSheetId="2" hidden="1">0</definedName>
    <definedName name="solver_num" localSheetId="30" hidden="1">1</definedName>
    <definedName name="solver_num" localSheetId="10" hidden="1">3</definedName>
    <definedName name="solver_num" localSheetId="4" hidden="1">2</definedName>
    <definedName name="solver_num" localSheetId="5" hidden="1">2</definedName>
    <definedName name="solver_num" localSheetId="7" hidden="1">2</definedName>
    <definedName name="solver_num" localSheetId="11" hidden="1">22</definedName>
    <definedName name="solver_num" localSheetId="18" hidden="1">4</definedName>
    <definedName name="solver_num" localSheetId="20" hidden="1">2</definedName>
    <definedName name="solver_num" localSheetId="34" hidden="1">0</definedName>
    <definedName name="solver_num" localSheetId="13" hidden="1">2</definedName>
    <definedName name="solver_num" localSheetId="26" hidden="1">2</definedName>
    <definedName name="solver_nwt" localSheetId="0" hidden="1">1</definedName>
    <definedName name="solver_nwt" localSheetId="14" hidden="1">1</definedName>
    <definedName name="solver_nwt" localSheetId="23" hidden="1">1</definedName>
    <definedName name="solver_nwt" localSheetId="9" hidden="1">1</definedName>
    <definedName name="solver_nwt" localSheetId="33" hidden="1">1</definedName>
    <definedName name="solver_nwt" localSheetId="24" hidden="1">1</definedName>
    <definedName name="solver_nwt" localSheetId="31" hidden="1">1</definedName>
    <definedName name="solver_nwt" localSheetId="25" hidden="1">1</definedName>
    <definedName name="solver_nwt" localSheetId="19" hidden="1">1</definedName>
    <definedName name="solver_nwt" localSheetId="8" hidden="1">1</definedName>
    <definedName name="solver_nwt" localSheetId="37" hidden="1">1</definedName>
    <definedName name="solver_nwt" localSheetId="17" hidden="1">1</definedName>
    <definedName name="solver_nwt" localSheetId="2" hidden="1">1</definedName>
    <definedName name="solver_nwt" localSheetId="30" hidden="1">1</definedName>
    <definedName name="solver_nwt" localSheetId="10" hidden="1">1</definedName>
    <definedName name="solver_nwt" localSheetId="4" hidden="1">1</definedName>
    <definedName name="solver_nwt" localSheetId="5" hidden="1">1</definedName>
    <definedName name="solver_nwt" localSheetId="7" hidden="1">1</definedName>
    <definedName name="solver_nwt" localSheetId="11" hidden="1">1</definedName>
    <definedName name="solver_nwt" localSheetId="18" hidden="1">1</definedName>
    <definedName name="solver_nwt" localSheetId="20" hidden="1">1</definedName>
    <definedName name="solver_nwt" localSheetId="13" hidden="1">1</definedName>
    <definedName name="solver_nwt" localSheetId="26" hidden="1">1</definedName>
    <definedName name="solver_opt" localSheetId="0" hidden="1">'Advertising '!$C$2</definedName>
    <definedName name="solver_opt" localSheetId="14" hidden="1">AssignmentProblem!$B$22</definedName>
    <definedName name="solver_opt" localSheetId="23" hidden="1">CapitalBudget!$B$17</definedName>
    <definedName name="solver_opt" localSheetId="9" hidden="1">Dual!$M$5</definedName>
    <definedName name="solver_opt" localSheetId="33" hidden="1">EOQ!$B$11</definedName>
    <definedName name="solver_opt" localSheetId="24" hidden="1">FixedCost!$B$30</definedName>
    <definedName name="solver_opt" localSheetId="31" hidden="1">GameTheory!$E$3</definedName>
    <definedName name="solver_opt" localSheetId="25" hidden="1">Hub!$B$39</definedName>
    <definedName name="solver_opt" localSheetId="19" hidden="1">'HW3'!$B$17</definedName>
    <definedName name="solver_opt" localSheetId="8" hidden="1">LM_2!$K$11</definedName>
    <definedName name="solver_opt" localSheetId="37" hidden="1">Location!$F$7</definedName>
    <definedName name="solver_opt" localSheetId="17" hidden="1">MCNF!$B$17</definedName>
    <definedName name="solver_opt" localSheetId="2" hidden="1">monopolist!$E$2</definedName>
    <definedName name="solver_opt" localSheetId="30" hidden="1">Peakload!$B$26</definedName>
    <definedName name="solver_opt" localSheetId="10" hidden="1">ProdPlanning!$H$28</definedName>
    <definedName name="solver_opt" localSheetId="4" hidden="1">ProductMix!$D$25</definedName>
    <definedName name="solver_opt" localSheetId="5" hidden="1">ProductMix_add_on!$D$26</definedName>
    <definedName name="solver_opt" localSheetId="7" hidden="1">ProductMix2!$J$33</definedName>
    <definedName name="solver_opt" localSheetId="11" hidden="1">project!$I$24</definedName>
    <definedName name="solver_opt" localSheetId="18" hidden="1">RedBrandLogistics!$B$36</definedName>
    <definedName name="solver_opt" localSheetId="20" hidden="1">set_covering_model!$C$10</definedName>
    <definedName name="solver_opt" localSheetId="34" hidden="1">'SVM1'!$F$2</definedName>
    <definedName name="solver_opt" localSheetId="13" hidden="1">Transport1!$B$21</definedName>
    <definedName name="solver_opt" localSheetId="26" hidden="1">WorkerScheduling!#REF!</definedName>
    <definedName name="solver_pre" localSheetId="0" hidden="1">0.000001</definedName>
    <definedName name="solver_pre" localSheetId="14" hidden="1">0.000001</definedName>
    <definedName name="solver_pre" localSheetId="23" hidden="1">0.000001</definedName>
    <definedName name="solver_pre" localSheetId="9" hidden="1">0.000001</definedName>
    <definedName name="solver_pre" localSheetId="33" hidden="1">0.000001</definedName>
    <definedName name="solver_pre" localSheetId="24" hidden="1">0.000001</definedName>
    <definedName name="solver_pre" localSheetId="31" hidden="1">0.000001</definedName>
    <definedName name="solver_pre" localSheetId="25" hidden="1">0.000001</definedName>
    <definedName name="solver_pre" localSheetId="19" hidden="1">0.000001</definedName>
    <definedName name="solver_pre" localSheetId="8" hidden="1">0.000001</definedName>
    <definedName name="solver_pre" localSheetId="37" hidden="1">0.000001</definedName>
    <definedName name="solver_pre" localSheetId="17" hidden="1">0.000001</definedName>
    <definedName name="solver_pre" localSheetId="2" hidden="1">0.000001</definedName>
    <definedName name="solver_pre" localSheetId="30" hidden="1">0.000001</definedName>
    <definedName name="solver_pre" localSheetId="10" hidden="1">0.000001</definedName>
    <definedName name="solver_pre" localSheetId="4" hidden="1">0.000001</definedName>
    <definedName name="solver_pre" localSheetId="5" hidden="1">0.000001</definedName>
    <definedName name="solver_pre" localSheetId="7" hidden="1">0.000001</definedName>
    <definedName name="solver_pre" localSheetId="11" hidden="1">0.000001</definedName>
    <definedName name="solver_pre" localSheetId="18" hidden="1">0.000001</definedName>
    <definedName name="solver_pre" localSheetId="20" hidden="1">0.000001</definedName>
    <definedName name="solver_pre" localSheetId="13" hidden="1">0.000001</definedName>
    <definedName name="solver_pre" localSheetId="26" hidden="1">0.000001</definedName>
    <definedName name="solver_rbv" localSheetId="0" hidden="1">1</definedName>
    <definedName name="solver_rbv" localSheetId="14" hidden="1">1</definedName>
    <definedName name="solver_rbv" localSheetId="23" hidden="1">1</definedName>
    <definedName name="solver_rbv" localSheetId="9" hidden="1">1</definedName>
    <definedName name="solver_rbv" localSheetId="33" hidden="1">1</definedName>
    <definedName name="solver_rbv" localSheetId="24" hidden="1">1</definedName>
    <definedName name="solver_rbv" localSheetId="31" hidden="1">1</definedName>
    <definedName name="solver_rbv" localSheetId="25" hidden="1">1</definedName>
    <definedName name="solver_rbv" localSheetId="19" hidden="1">2</definedName>
    <definedName name="solver_rbv" localSheetId="8" hidden="1">1</definedName>
    <definedName name="solver_rbv" localSheetId="37" hidden="1">1</definedName>
    <definedName name="solver_rbv" localSheetId="17" hidden="1">1</definedName>
    <definedName name="solver_rbv" localSheetId="2" hidden="1">1</definedName>
    <definedName name="solver_rbv" localSheetId="30" hidden="1">2</definedName>
    <definedName name="solver_rbv" localSheetId="10" hidden="1">1</definedName>
    <definedName name="solver_rbv" localSheetId="4" hidden="1">1</definedName>
    <definedName name="solver_rbv" localSheetId="5" hidden="1">1</definedName>
    <definedName name="solver_rbv" localSheetId="7" hidden="1">1</definedName>
    <definedName name="solver_rbv" localSheetId="11" hidden="1">1</definedName>
    <definedName name="solver_rbv" localSheetId="18" hidden="1">1</definedName>
    <definedName name="solver_rbv" localSheetId="20" hidden="1">1</definedName>
    <definedName name="solver_rbv" localSheetId="13" hidden="1">1</definedName>
    <definedName name="solver_rbv" localSheetId="26" hidden="1">1</definedName>
    <definedName name="solver_rel1" localSheetId="0" hidden="1">1</definedName>
    <definedName name="solver_rel1" localSheetId="14" hidden="1">2</definedName>
    <definedName name="solver_rel1" localSheetId="23" hidden="1">1</definedName>
    <definedName name="solver_rel1" localSheetId="9" hidden="1">3</definedName>
    <definedName name="solver_rel1" localSheetId="33" hidden="1">1</definedName>
    <definedName name="solver_rel1" localSheetId="24" hidden="1">5</definedName>
    <definedName name="solver_rel1" localSheetId="31" hidden="1">3</definedName>
    <definedName name="solver_rel1" localSheetId="25" hidden="1">5</definedName>
    <definedName name="solver_rel1" localSheetId="19" hidden="1">3</definedName>
    <definedName name="solver_rel1" localSheetId="8" hidden="1">2</definedName>
    <definedName name="solver_rel1" localSheetId="17" hidden="1">1</definedName>
    <definedName name="solver_rel1" localSheetId="30" hidden="1">1</definedName>
    <definedName name="solver_rel1" localSheetId="10" hidden="1">1</definedName>
    <definedName name="solver_rel1" localSheetId="4" hidden="1">1</definedName>
    <definedName name="solver_rel1" localSheetId="5" hidden="1">1</definedName>
    <definedName name="solver_rel1" localSheetId="7" hidden="1">1</definedName>
    <definedName name="solver_rel1" localSheetId="11" hidden="1">3</definedName>
    <definedName name="solver_rel1" localSheetId="18" hidden="1">1</definedName>
    <definedName name="solver_rel1" localSheetId="20" hidden="1">5</definedName>
    <definedName name="solver_rel1" localSheetId="13" hidden="1">3</definedName>
    <definedName name="solver_rel1" localSheetId="26" hidden="1">4</definedName>
    <definedName name="solver_rel10" localSheetId="11" hidden="1">3</definedName>
    <definedName name="solver_rel11" localSheetId="11" hidden="1">3</definedName>
    <definedName name="solver_rel12" localSheetId="11" hidden="1">3</definedName>
    <definedName name="solver_rel13" localSheetId="11" hidden="1">3</definedName>
    <definedName name="solver_rel14" localSheetId="11" hidden="1">3</definedName>
    <definedName name="solver_rel15" localSheetId="11" hidden="1">3</definedName>
    <definedName name="solver_rel16" localSheetId="11" hidden="1">3</definedName>
    <definedName name="solver_rel17" localSheetId="11" hidden="1">3</definedName>
    <definedName name="solver_rel18" localSheetId="11" hidden="1">3</definedName>
    <definedName name="solver_rel19" localSheetId="11" hidden="1">3</definedName>
    <definedName name="solver_rel2" localSheetId="14" hidden="1">2</definedName>
    <definedName name="solver_rel2" localSheetId="23" hidden="1">5</definedName>
    <definedName name="solver_rel2" localSheetId="24" hidden="1">1</definedName>
    <definedName name="solver_rel2" localSheetId="31" hidden="1">3</definedName>
    <definedName name="solver_rel2" localSheetId="25" hidden="1">3</definedName>
    <definedName name="solver_rel2" localSheetId="19" hidden="1">2</definedName>
    <definedName name="solver_rel2" localSheetId="8" hidden="1">1</definedName>
    <definedName name="solver_rel2" localSheetId="17" hidden="1">2</definedName>
    <definedName name="solver_rel2" localSheetId="10" hidden="1">1</definedName>
    <definedName name="solver_rel2" localSheetId="4" hidden="1">1</definedName>
    <definedName name="solver_rel2" localSheetId="5" hidden="1">1</definedName>
    <definedName name="solver_rel2" localSheetId="7" hidden="1">1</definedName>
    <definedName name="solver_rel2" localSheetId="11" hidden="1">3</definedName>
    <definedName name="solver_rel2" localSheetId="18" hidden="1">2</definedName>
    <definedName name="solver_rel2" localSheetId="20" hidden="1">3</definedName>
    <definedName name="solver_rel2" localSheetId="13" hidden="1">1</definedName>
    <definedName name="solver_rel2" localSheetId="26" hidden="1">3</definedName>
    <definedName name="solver_rel20" localSheetId="11" hidden="1">3</definedName>
    <definedName name="solver_rel21" localSheetId="11" hidden="1">3</definedName>
    <definedName name="solver_rel22" localSheetId="11" hidden="1">3</definedName>
    <definedName name="solver_rel3" localSheetId="23" hidden="1">1</definedName>
    <definedName name="solver_rel3" localSheetId="24" hidden="1">1</definedName>
    <definedName name="solver_rel3" localSheetId="31" hidden="1">2</definedName>
    <definedName name="solver_rel3" localSheetId="19" hidden="1">1</definedName>
    <definedName name="solver_rel3" localSheetId="8" hidden="1">1</definedName>
    <definedName name="solver_rel3" localSheetId="17" hidden="1">3</definedName>
    <definedName name="solver_rel3" localSheetId="10" hidden="1">3</definedName>
    <definedName name="solver_rel3" localSheetId="4" hidden="1">1</definedName>
    <definedName name="solver_rel3" localSheetId="5" hidden="1">1</definedName>
    <definedName name="solver_rel3" localSheetId="7" hidden="1">1</definedName>
    <definedName name="solver_rel3" localSheetId="11" hidden="1">2</definedName>
    <definedName name="solver_rel3" localSheetId="18" hidden="1">3</definedName>
    <definedName name="solver_rel4" localSheetId="23" hidden="1">1</definedName>
    <definedName name="solver_rel4" localSheetId="24" hidden="1">1</definedName>
    <definedName name="solver_rel4" localSheetId="31" hidden="1">3</definedName>
    <definedName name="solver_rel4" localSheetId="19" hidden="1">2</definedName>
    <definedName name="solver_rel4" localSheetId="17" hidden="1">1</definedName>
    <definedName name="solver_rel4" localSheetId="11" hidden="1">1</definedName>
    <definedName name="solver_rel4" localSheetId="18" hidden="1">1</definedName>
    <definedName name="solver_rel5" localSheetId="23" hidden="1">5</definedName>
    <definedName name="solver_rel5" localSheetId="11" hidden="1">1</definedName>
    <definedName name="solver_rel6" localSheetId="11" hidden="1">3</definedName>
    <definedName name="solver_rel7" localSheetId="11" hidden="1">3</definedName>
    <definedName name="solver_rel8" localSheetId="11" hidden="1">3</definedName>
    <definedName name="solver_rel9" localSheetId="11" hidden="1">3</definedName>
    <definedName name="solver_rhs1" localSheetId="0" hidden="1">'Advertising '!$E$6</definedName>
    <definedName name="solver_rhs1" localSheetId="14" hidden="1">1</definedName>
    <definedName name="solver_rhs1" localSheetId="23" hidden="1">CapitalBudget!$D$14</definedName>
    <definedName name="solver_rhs1" localSheetId="9" hidden="1">Dual!$O$6:$O$7</definedName>
    <definedName name="solver_rhs1" localSheetId="33" hidden="1">EOQ!$L$15</definedName>
    <definedName name="solver_rhs1" localSheetId="24" hidden="1">"binary"</definedName>
    <definedName name="solver_rhs1" localSheetId="31" hidden="1">0</definedName>
    <definedName name="solver_rhs1" localSheetId="25" hidden="1">binary</definedName>
    <definedName name="solver_rhs1" localSheetId="19" hidden="1">'HW3'!$N$14:$N$17</definedName>
    <definedName name="solver_rhs1" localSheetId="8" hidden="1">LM_2!$L$12:$L$14</definedName>
    <definedName name="solver_rhs1" localSheetId="17" hidden="1">MCNF!$F$8:$F$13</definedName>
    <definedName name="solver_rhs1" localSheetId="30" hidden="1">Peakload!$B$21:$C$21</definedName>
    <definedName name="solver_rhs1" localSheetId="10" hidden="1">ProdPlanning!$B$14:$G$14</definedName>
    <definedName name="solver_rhs1" localSheetId="4" hidden="1">ProductMix!$B$18:$C$18</definedName>
    <definedName name="solver_rhs1" localSheetId="5" hidden="1">ProductMix_add_on!$B$18:$D$18</definedName>
    <definedName name="solver_rhs1" localSheetId="7" hidden="1">ProductMix2!$B$23:$I$23</definedName>
    <definedName name="solver_rhs1" localSheetId="11" hidden="1">NFinish</definedName>
    <definedName name="solver_rhs1" localSheetId="18" hidden="1">RedBrandLogistics!$F$8:$F$33</definedName>
    <definedName name="solver_rhs1" localSheetId="20" hidden="1">"binary"</definedName>
    <definedName name="solver_rhs1" localSheetId="13" hidden="1">Transport1!$C$18:$F$18</definedName>
    <definedName name="solver_rhs1" localSheetId="26" hidden="1">"integer"</definedName>
    <definedName name="solver_rhs10" localSheetId="11" hidden="1">HFinish</definedName>
    <definedName name="solver_rhs11" localSheetId="11" hidden="1">EFinish</definedName>
    <definedName name="solver_rhs12" localSheetId="11" hidden="1">IFinish</definedName>
    <definedName name="solver_rhs13" localSheetId="11" hidden="1">FFinish</definedName>
    <definedName name="solver_rhs14" localSheetId="11" hidden="1">CFinish</definedName>
    <definedName name="solver_rhs15" localSheetId="11" hidden="1">GFinish</definedName>
    <definedName name="solver_rhs16" localSheetId="11" hidden="1">AFinish</definedName>
    <definedName name="solver_rhs17" localSheetId="11" hidden="1">DFinish</definedName>
    <definedName name="solver_rhs18" localSheetId="11" hidden="1">BFinish</definedName>
    <definedName name="solver_rhs19" localSheetId="11" hidden="1">CFinish</definedName>
    <definedName name="solver_rhs2" localSheetId="14" hidden="1">1</definedName>
    <definedName name="solver_rhs2" localSheetId="23" hidden="1">"binary"</definedName>
    <definedName name="solver_rhs2" localSheetId="24" hidden="1">FixedCost!$B$17:$F$17</definedName>
    <definedName name="solver_rhs2" localSheetId="31" hidden="1">GameTheory!$G$4:$G$5</definedName>
    <definedName name="solver_rhs2" localSheetId="25" hidden="1">Hub!$D$25:$D$36</definedName>
    <definedName name="solver_rhs2" localSheetId="19" hidden="1">'HW3'!$N$5</definedName>
    <definedName name="solver_rhs2" localSheetId="8" hidden="1">LM_2!$L$15</definedName>
    <definedName name="solver_rhs2" localSheetId="17" hidden="1">MCNF!$N$9:$N$13</definedName>
    <definedName name="solver_rhs2" localSheetId="10" hidden="1">ProdPlanning!$B$22:$G$22</definedName>
    <definedName name="solver_rhs2" localSheetId="4" hidden="1">ProductMix!$D$21:$D$22</definedName>
    <definedName name="solver_rhs2" localSheetId="5" hidden="1">ProductMix_add_on!$D$21:$D$22</definedName>
    <definedName name="solver_rhs2" localSheetId="7" hidden="1">ProductMix2!$D$26:$D$28</definedName>
    <definedName name="solver_rhs2" localSheetId="11" hidden="1">MFinish</definedName>
    <definedName name="solver_rhs2" localSheetId="18" hidden="1">RedBrandLogistics!$M$15:$M$16</definedName>
    <definedName name="solver_rhs2" localSheetId="20" hidden="1">set_covering_model!$J$3:$J$8</definedName>
    <definedName name="solver_rhs2" localSheetId="13" hidden="1">Transport1!$I$13:$I$15</definedName>
    <definedName name="solver_rhs2" localSheetId="26" hidden="1">WorkerScheduling!#REF!</definedName>
    <definedName name="solver_rhs20" localSheetId="11" hidden="1">CFinish</definedName>
    <definedName name="solver_rhs21" localSheetId="11" hidden="1">CFinish</definedName>
    <definedName name="solver_rhs22" localSheetId="11" hidden="1">EFinish</definedName>
    <definedName name="solver_rhs3" localSheetId="23" hidden="1">0</definedName>
    <definedName name="solver_rhs3" localSheetId="24" hidden="1">FixedCost!$D$23:$D$24</definedName>
    <definedName name="solver_rhs3" localSheetId="31" hidden="1">1</definedName>
    <definedName name="solver_rhs3" localSheetId="19" hidden="1">'HW3'!$G$5:$G$6</definedName>
    <definedName name="solver_rhs3" localSheetId="8" hidden="1">LM_2!$L$15</definedName>
    <definedName name="solver_rhs3" localSheetId="17" hidden="1">MCNF!$N$20:$N$21</definedName>
    <definedName name="solver_rhs3" localSheetId="10" hidden="1">0</definedName>
    <definedName name="solver_rhs3" localSheetId="4" hidden="1">ProductMix!$C$18</definedName>
    <definedName name="solver_rhs3" localSheetId="5" hidden="1">ProductMix_add_on!$C$18</definedName>
    <definedName name="solver_rhs3" localSheetId="7" hidden="1">ProductMix2!$D$26:$D$28</definedName>
    <definedName name="solver_rhs3" localSheetId="11" hidden="1">NFinish</definedName>
    <definedName name="solver_rhs3" localSheetId="18" hidden="1">RedBrandLogistics!$M$20:$M$21</definedName>
    <definedName name="solver_rhs4" localSheetId="23" hidden="1">1</definedName>
    <definedName name="solver_rhs4" localSheetId="24" hidden="1">FixedCost!$D$23:$D$24</definedName>
    <definedName name="solver_rhs4" localSheetId="31" hidden="1">1</definedName>
    <definedName name="solver_rhs4" localSheetId="19" hidden="1">'HW3'!$N$9:$N$10</definedName>
    <definedName name="solver_rhs4" localSheetId="17" hidden="1">MCNF!$N$9:$N$11</definedName>
    <definedName name="solver_rhs4" localSheetId="11" hidden="1">project!$K$22</definedName>
    <definedName name="solver_rhs4" localSheetId="18" hidden="1">RedBrandLogistics!$M$9:$M$11</definedName>
    <definedName name="solver_rhs5" localSheetId="23" hidden="1">binary</definedName>
    <definedName name="solver_rhs5" localSheetId="11" hidden="1">project!$G$6:$G$19</definedName>
    <definedName name="solver_rhs6" localSheetId="11" hidden="1">KFinish</definedName>
    <definedName name="solver_rhs7" localSheetId="11" hidden="1">LFinish</definedName>
    <definedName name="solver_rhs8" localSheetId="11" hidden="1">JFinish</definedName>
    <definedName name="solver_rhs9" localSheetId="11" hidden="1">JFinish</definedName>
    <definedName name="solver_rlx" localSheetId="0" hidden="1">2</definedName>
    <definedName name="solver_rlx" localSheetId="14" hidden="1">2</definedName>
    <definedName name="solver_rlx" localSheetId="23" hidden="1">2</definedName>
    <definedName name="solver_rlx" localSheetId="9" hidden="1">2</definedName>
    <definedName name="solver_rlx" localSheetId="33" hidden="1">2</definedName>
    <definedName name="solver_rlx" localSheetId="24" hidden="1">2</definedName>
    <definedName name="solver_rlx" localSheetId="31" hidden="1">2</definedName>
    <definedName name="solver_rlx" localSheetId="25" hidden="1">2</definedName>
    <definedName name="solver_rlx" localSheetId="19" hidden="1">2</definedName>
    <definedName name="solver_rlx" localSheetId="8" hidden="1">2</definedName>
    <definedName name="solver_rlx" localSheetId="37" hidden="1">2</definedName>
    <definedName name="solver_rlx" localSheetId="17" hidden="1">2</definedName>
    <definedName name="solver_rlx" localSheetId="2" hidden="1">2</definedName>
    <definedName name="solver_rlx" localSheetId="30" hidden="1">2</definedName>
    <definedName name="solver_rlx" localSheetId="10" hidden="1">2</definedName>
    <definedName name="solver_rlx" localSheetId="4" hidden="1">1</definedName>
    <definedName name="solver_rlx" localSheetId="5" hidden="1">1</definedName>
    <definedName name="solver_rlx" localSheetId="7" hidden="1">2</definedName>
    <definedName name="solver_rlx" localSheetId="11" hidden="1">2</definedName>
    <definedName name="solver_rlx" localSheetId="18" hidden="1">2</definedName>
    <definedName name="solver_rlx" localSheetId="20" hidden="1">2</definedName>
    <definedName name="solver_rlx" localSheetId="13" hidden="1">2</definedName>
    <definedName name="solver_rlx" localSheetId="26" hidden="1">2</definedName>
    <definedName name="solver_rsd" localSheetId="0" hidden="1">0</definedName>
    <definedName name="solver_rsd" localSheetId="14" hidden="1">0</definedName>
    <definedName name="solver_rsd" localSheetId="23" hidden="1">0</definedName>
    <definedName name="solver_rsd" localSheetId="9" hidden="1">0</definedName>
    <definedName name="solver_rsd" localSheetId="33" hidden="1">0</definedName>
    <definedName name="solver_rsd" localSheetId="24" hidden="1">0</definedName>
    <definedName name="solver_rsd" localSheetId="31" hidden="1">0</definedName>
    <definedName name="solver_rsd" localSheetId="25" hidden="1">0</definedName>
    <definedName name="solver_rsd" localSheetId="19" hidden="1">0</definedName>
    <definedName name="solver_rsd" localSheetId="8" hidden="1">0</definedName>
    <definedName name="solver_rsd" localSheetId="37" hidden="1">0</definedName>
    <definedName name="solver_rsd" localSheetId="17" hidden="1">0</definedName>
    <definedName name="solver_rsd" localSheetId="2" hidden="1">0</definedName>
    <definedName name="solver_rsd" localSheetId="30" hidden="1">0</definedName>
    <definedName name="solver_rsd" localSheetId="10" hidden="1">0</definedName>
    <definedName name="solver_rsd" localSheetId="4" hidden="1">0</definedName>
    <definedName name="solver_rsd" localSheetId="5" hidden="1">0</definedName>
    <definedName name="solver_rsd" localSheetId="7" hidden="1">0</definedName>
    <definedName name="solver_rsd" localSheetId="11" hidden="1">0</definedName>
    <definedName name="solver_rsd" localSheetId="18" hidden="1">0</definedName>
    <definedName name="solver_rsd" localSheetId="20" hidden="1">0</definedName>
    <definedName name="solver_rsd" localSheetId="13" hidden="1">0</definedName>
    <definedName name="solver_rsd" localSheetId="26" hidden="1">0</definedName>
    <definedName name="solver_scl" localSheetId="0" hidden="1">1</definedName>
    <definedName name="solver_scl" localSheetId="14" hidden="1">1</definedName>
    <definedName name="solver_scl" localSheetId="23" hidden="1">1</definedName>
    <definedName name="solver_scl" localSheetId="9" hidden="1">1</definedName>
    <definedName name="solver_scl" localSheetId="33" hidden="1">1</definedName>
    <definedName name="solver_scl" localSheetId="24" hidden="1">1</definedName>
    <definedName name="solver_scl" localSheetId="31" hidden="1">1</definedName>
    <definedName name="solver_scl" localSheetId="25" hidden="1">1</definedName>
    <definedName name="solver_scl" localSheetId="19" hidden="1">2</definedName>
    <definedName name="solver_scl" localSheetId="8" hidden="1">1</definedName>
    <definedName name="solver_scl" localSheetId="37" hidden="1">1</definedName>
    <definedName name="solver_scl" localSheetId="17" hidden="1">1</definedName>
    <definedName name="solver_scl" localSheetId="2" hidden="1">1</definedName>
    <definedName name="solver_scl" localSheetId="30" hidden="1">2</definedName>
    <definedName name="solver_scl" localSheetId="10" hidden="1">1</definedName>
    <definedName name="solver_scl" localSheetId="4" hidden="1">2</definedName>
    <definedName name="solver_scl" localSheetId="5" hidden="1">2</definedName>
    <definedName name="solver_scl" localSheetId="7" hidden="1">1</definedName>
    <definedName name="solver_scl" localSheetId="11" hidden="1">1</definedName>
    <definedName name="solver_scl" localSheetId="18" hidden="1">1</definedName>
    <definedName name="solver_scl" localSheetId="20" hidden="1">1</definedName>
    <definedName name="solver_scl" localSheetId="13" hidden="1">1</definedName>
    <definedName name="solver_scl" localSheetId="26" hidden="1">1</definedName>
    <definedName name="solver_sho" localSheetId="0" hidden="1">2</definedName>
    <definedName name="solver_sho" localSheetId="14" hidden="1">2</definedName>
    <definedName name="solver_sho" localSheetId="23" hidden="1">2</definedName>
    <definedName name="solver_sho" localSheetId="9" hidden="1">2</definedName>
    <definedName name="solver_sho" localSheetId="33" hidden="1">2</definedName>
    <definedName name="solver_sho" localSheetId="24" hidden="1">2</definedName>
    <definedName name="solver_sho" localSheetId="31" hidden="1">2</definedName>
    <definedName name="solver_sho" localSheetId="25" hidden="1">2</definedName>
    <definedName name="solver_sho" localSheetId="19" hidden="1">2</definedName>
    <definedName name="solver_sho" localSheetId="8" hidden="1">2</definedName>
    <definedName name="solver_sho" localSheetId="37" hidden="1">2</definedName>
    <definedName name="solver_sho" localSheetId="17" hidden="1">2</definedName>
    <definedName name="solver_sho" localSheetId="2" hidden="1">2</definedName>
    <definedName name="solver_sho" localSheetId="30" hidden="1">2</definedName>
    <definedName name="solver_sho" localSheetId="10" hidden="1">2</definedName>
    <definedName name="solver_sho" localSheetId="4" hidden="1">2</definedName>
    <definedName name="solver_sho" localSheetId="5" hidden="1">2</definedName>
    <definedName name="solver_sho" localSheetId="7" hidden="1">2</definedName>
    <definedName name="solver_sho" localSheetId="11" hidden="1">2</definedName>
    <definedName name="solver_sho" localSheetId="18" hidden="1">2</definedName>
    <definedName name="solver_sho" localSheetId="20" hidden="1">2</definedName>
    <definedName name="solver_sho" localSheetId="13" hidden="1">2</definedName>
    <definedName name="solver_sho" localSheetId="26" hidden="1">2</definedName>
    <definedName name="solver_ssz" localSheetId="0" hidden="1">100</definedName>
    <definedName name="solver_ssz" localSheetId="14" hidden="1">100</definedName>
    <definedName name="solver_ssz" localSheetId="23" hidden="1">100</definedName>
    <definedName name="solver_ssz" localSheetId="9" hidden="1">100</definedName>
    <definedName name="solver_ssz" localSheetId="33" hidden="1">100</definedName>
    <definedName name="solver_ssz" localSheetId="24" hidden="1">100</definedName>
    <definedName name="solver_ssz" localSheetId="31" hidden="1">100</definedName>
    <definedName name="solver_ssz" localSheetId="25" hidden="1">100</definedName>
    <definedName name="solver_ssz" localSheetId="19" hidden="1">100</definedName>
    <definedName name="solver_ssz" localSheetId="8" hidden="1">100</definedName>
    <definedName name="solver_ssz" localSheetId="37" hidden="1">100</definedName>
    <definedName name="solver_ssz" localSheetId="17" hidden="1">100</definedName>
    <definedName name="solver_ssz" localSheetId="2" hidden="1">100</definedName>
    <definedName name="solver_ssz" localSheetId="30" hidden="1">100</definedName>
    <definedName name="solver_ssz" localSheetId="10" hidden="1">100</definedName>
    <definedName name="solver_ssz" localSheetId="4" hidden="1">100</definedName>
    <definedName name="solver_ssz" localSheetId="5" hidden="1">100</definedName>
    <definedName name="solver_ssz" localSheetId="7" hidden="1">100</definedName>
    <definedName name="solver_ssz" localSheetId="11" hidden="1">100</definedName>
    <definedName name="solver_ssz" localSheetId="18" hidden="1">100</definedName>
    <definedName name="solver_ssz" localSheetId="20" hidden="1">100</definedName>
    <definedName name="solver_ssz" localSheetId="13" hidden="1">100</definedName>
    <definedName name="solver_ssz" localSheetId="26" hidden="1">100</definedName>
    <definedName name="solver_tim" localSheetId="0" hidden="1">2147483647</definedName>
    <definedName name="solver_tim" localSheetId="14" hidden="1">2147483647</definedName>
    <definedName name="solver_tim" localSheetId="23" hidden="1">2147483647</definedName>
    <definedName name="solver_tim" localSheetId="9" hidden="1">2147483647</definedName>
    <definedName name="solver_tim" localSheetId="33" hidden="1">2147483647</definedName>
    <definedName name="solver_tim" localSheetId="24" hidden="1">2147483647</definedName>
    <definedName name="solver_tim" localSheetId="31" hidden="1">2147483647</definedName>
    <definedName name="solver_tim" localSheetId="25" hidden="1">2147483647</definedName>
    <definedName name="solver_tim" localSheetId="19" hidden="1">2147483647</definedName>
    <definedName name="solver_tim" localSheetId="8" hidden="1">2147483647</definedName>
    <definedName name="solver_tim" localSheetId="37" hidden="1">2147483647</definedName>
    <definedName name="solver_tim" localSheetId="17" hidden="1">2147483647</definedName>
    <definedName name="solver_tim" localSheetId="2" hidden="1">2147483647</definedName>
    <definedName name="solver_tim" localSheetId="30" hidden="1">2147483647</definedName>
    <definedName name="solver_tim" localSheetId="10" hidden="1">2147483647</definedName>
    <definedName name="solver_tim" localSheetId="4" hidden="1">100</definedName>
    <definedName name="solver_tim" localSheetId="5" hidden="1">100</definedName>
    <definedName name="solver_tim" localSheetId="7" hidden="1">2147483647</definedName>
    <definedName name="solver_tim" localSheetId="11" hidden="1">2147483647</definedName>
    <definedName name="solver_tim" localSheetId="18" hidden="1">2147483647</definedName>
    <definedName name="solver_tim" localSheetId="20" hidden="1">2147483647</definedName>
    <definedName name="solver_tim" localSheetId="13" hidden="1">2147483647</definedName>
    <definedName name="solver_tim" localSheetId="26" hidden="1">2147483647</definedName>
    <definedName name="solver_tol" localSheetId="0" hidden="1">0.01</definedName>
    <definedName name="solver_tol" localSheetId="14" hidden="1">0.01</definedName>
    <definedName name="solver_tol" localSheetId="23" hidden="1">0.01</definedName>
    <definedName name="solver_tol" localSheetId="9" hidden="1">0.01</definedName>
    <definedName name="solver_tol" localSheetId="33" hidden="1">0.01</definedName>
    <definedName name="solver_tol" localSheetId="24" hidden="1">0.01</definedName>
    <definedName name="solver_tol" localSheetId="31" hidden="1">0.01</definedName>
    <definedName name="solver_tol" localSheetId="25" hidden="1">0.01</definedName>
    <definedName name="solver_tol" localSheetId="19" hidden="1">0.01</definedName>
    <definedName name="solver_tol" localSheetId="8" hidden="1">0.01</definedName>
    <definedName name="solver_tol" localSheetId="37" hidden="1">0.01</definedName>
    <definedName name="solver_tol" localSheetId="17" hidden="1">0.01</definedName>
    <definedName name="solver_tol" localSheetId="2" hidden="1">0.01</definedName>
    <definedName name="solver_tol" localSheetId="30" hidden="1">0.01</definedName>
    <definedName name="solver_tol" localSheetId="10" hidden="1">0.01</definedName>
    <definedName name="solver_tol" localSheetId="4" hidden="1">0.05</definedName>
    <definedName name="solver_tol" localSheetId="5" hidden="1">0.05</definedName>
    <definedName name="solver_tol" localSheetId="7" hidden="1">0.01</definedName>
    <definedName name="solver_tol" localSheetId="11" hidden="1">0.01</definedName>
    <definedName name="solver_tol" localSheetId="18" hidden="1">0.01</definedName>
    <definedName name="solver_tol" localSheetId="20" hidden="1">0.01</definedName>
    <definedName name="solver_tol" localSheetId="13" hidden="1">0.01</definedName>
    <definedName name="solver_tol" localSheetId="26" hidden="1">0.01</definedName>
    <definedName name="solver_typ" localSheetId="0" hidden="1">1</definedName>
    <definedName name="solver_typ" localSheetId="14" hidden="1">2</definedName>
    <definedName name="solver_typ" localSheetId="23" hidden="1">1</definedName>
    <definedName name="solver_typ" localSheetId="9" hidden="1">2</definedName>
    <definedName name="solver_typ" localSheetId="33" hidden="1">2</definedName>
    <definedName name="solver_typ" localSheetId="24" hidden="1">1</definedName>
    <definedName name="solver_typ" localSheetId="31" hidden="1">1</definedName>
    <definedName name="solver_typ" localSheetId="25" hidden="1">2</definedName>
    <definedName name="solver_typ" localSheetId="19" hidden="1">2</definedName>
    <definedName name="solver_typ" localSheetId="8" hidden="1">2</definedName>
    <definedName name="solver_typ" localSheetId="37" hidden="1">2</definedName>
    <definedName name="solver_typ" localSheetId="17" hidden="1">2</definedName>
    <definedName name="solver_typ" localSheetId="2" hidden="1">1</definedName>
    <definedName name="solver_typ" localSheetId="30" hidden="1">1</definedName>
    <definedName name="solver_typ" localSheetId="10" hidden="1">2</definedName>
    <definedName name="solver_typ" localSheetId="4" hidden="1">1</definedName>
    <definedName name="solver_typ" localSheetId="5" hidden="1">1</definedName>
    <definedName name="solver_typ" localSheetId="7" hidden="1">1</definedName>
    <definedName name="solver_typ" localSheetId="11" hidden="1">2</definedName>
    <definedName name="solver_typ" localSheetId="18" hidden="1">2</definedName>
    <definedName name="solver_typ" localSheetId="20" hidden="1">2</definedName>
    <definedName name="solver_typ" localSheetId="34" hidden="1">1</definedName>
    <definedName name="solver_typ" localSheetId="13" hidden="1">2</definedName>
    <definedName name="solver_typ" localSheetId="26" hidden="1">2</definedName>
    <definedName name="solver_val" localSheetId="0" hidden="1">0</definedName>
    <definedName name="solver_val" localSheetId="14" hidden="1">0</definedName>
    <definedName name="solver_val" localSheetId="23" hidden="1">0</definedName>
    <definedName name="solver_val" localSheetId="9" hidden="1">0</definedName>
    <definedName name="solver_val" localSheetId="33" hidden="1">0</definedName>
    <definedName name="solver_val" localSheetId="24" hidden="1">0</definedName>
    <definedName name="solver_val" localSheetId="31" hidden="1">0</definedName>
    <definedName name="solver_val" localSheetId="25" hidden="1">0</definedName>
    <definedName name="solver_val" localSheetId="19" hidden="1">0</definedName>
    <definedName name="solver_val" localSheetId="8" hidden="1">0</definedName>
    <definedName name="solver_val" localSheetId="37" hidden="1">0</definedName>
    <definedName name="solver_val" localSheetId="17" hidden="1">0</definedName>
    <definedName name="solver_val" localSheetId="2" hidden="1">0</definedName>
    <definedName name="solver_val" localSheetId="30" hidden="1">0</definedName>
    <definedName name="solver_val" localSheetId="10" hidden="1">0</definedName>
    <definedName name="solver_val" localSheetId="4" hidden="1">0</definedName>
    <definedName name="solver_val" localSheetId="5" hidden="1">0</definedName>
    <definedName name="solver_val" localSheetId="7" hidden="1">0</definedName>
    <definedName name="solver_val" localSheetId="11" hidden="1">0</definedName>
    <definedName name="solver_val" localSheetId="18" hidden="1">0</definedName>
    <definedName name="solver_val" localSheetId="20" hidden="1">0</definedName>
    <definedName name="solver_val" localSheetId="34" hidden="1">0</definedName>
    <definedName name="solver_val" localSheetId="13" hidden="1">0</definedName>
    <definedName name="solver_val" localSheetId="26" hidden="1">0</definedName>
    <definedName name="solver_ver" localSheetId="0" hidden="1">3</definedName>
    <definedName name="solver_ver" localSheetId="14" hidden="1">3</definedName>
    <definedName name="solver_ver" localSheetId="23" hidden="1">3</definedName>
    <definedName name="solver_ver" localSheetId="9" hidden="1">3</definedName>
    <definedName name="solver_ver" localSheetId="33" hidden="1">3</definedName>
    <definedName name="solver_ver" localSheetId="24" hidden="1">3</definedName>
    <definedName name="solver_ver" localSheetId="31" hidden="1">3</definedName>
    <definedName name="solver_ver" localSheetId="25" hidden="1">3</definedName>
    <definedName name="solver_ver" localSheetId="19" hidden="1">3</definedName>
    <definedName name="solver_ver" localSheetId="8" hidden="1">3</definedName>
    <definedName name="solver_ver" localSheetId="37" hidden="1">3</definedName>
    <definedName name="solver_ver" localSheetId="17" hidden="1">3</definedName>
    <definedName name="solver_ver" localSheetId="2" hidden="1">3</definedName>
    <definedName name="solver_ver" localSheetId="30" hidden="1">3</definedName>
    <definedName name="solver_ver" localSheetId="10" hidden="1">3</definedName>
    <definedName name="solver_ver" localSheetId="4" hidden="1">3</definedName>
    <definedName name="solver_ver" localSheetId="5" hidden="1">3</definedName>
    <definedName name="solver_ver" localSheetId="7" hidden="1">3</definedName>
    <definedName name="solver_ver" localSheetId="11" hidden="1">3</definedName>
    <definedName name="solver_ver" localSheetId="18" hidden="1">3</definedName>
    <definedName name="solver_ver" localSheetId="20" hidden="1">3</definedName>
    <definedName name="solver_ver" localSheetId="34" hidden="1">3</definedName>
    <definedName name="solver_ver" localSheetId="13" hidden="1">3</definedName>
    <definedName name="solver_ver" localSheetId="26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6" i="11" l="1"/>
  <c r="U5" i="11"/>
  <c r="U8" i="11"/>
  <c r="I11" i="6" l="1"/>
  <c r="I20" i="6"/>
  <c r="I16" i="6"/>
  <c r="J9" i="6"/>
  <c r="J20" i="6"/>
  <c r="J16" i="6"/>
  <c r="J11" i="6"/>
  <c r="C2" i="43" l="1"/>
  <c r="C6" i="43"/>
  <c r="B2" i="41"/>
  <c r="C2" i="41" s="1"/>
  <c r="E2" i="41" s="1"/>
  <c r="D2" i="41"/>
  <c r="E3" i="40"/>
  <c r="E4" i="40"/>
  <c r="E5" i="40"/>
  <c r="E6" i="40"/>
  <c r="C19" i="15"/>
  <c r="B19" i="15"/>
  <c r="B25" i="15"/>
  <c r="C21" i="15"/>
  <c r="B21" i="15"/>
  <c r="B9" i="23"/>
  <c r="B8" i="23"/>
  <c r="B10" i="23" s="1"/>
  <c r="B7" i="23"/>
  <c r="B23" i="9"/>
  <c r="B24" i="9"/>
  <c r="B27" i="9"/>
  <c r="B28" i="9"/>
  <c r="B29" i="9"/>
  <c r="B17" i="8"/>
  <c r="B14" i="8"/>
  <c r="B7" i="8"/>
  <c r="B17" i="9"/>
  <c r="U4" i="11"/>
  <c r="U7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24" i="15" l="1"/>
  <c r="B26" i="15" s="1"/>
  <c r="B11" i="23"/>
  <c r="B30" i="9"/>
  <c r="L5" i="37"/>
  <c r="K17" i="37" l="1"/>
  <c r="K14" i="37"/>
  <c r="K15" i="37"/>
  <c r="K16" i="37"/>
  <c r="K10" i="37"/>
  <c r="K9" i="37"/>
  <c r="J16" i="37"/>
  <c r="J15" i="37"/>
  <c r="J17" i="37"/>
  <c r="J10" i="37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I21" i="6"/>
  <c r="F1" i="6"/>
  <c r="J15" i="6"/>
  <c r="J10" i="6"/>
  <c r="I10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  <c r="D4" i="36"/>
  <c r="F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<sst xmlns="http://schemas.openxmlformats.org/spreadsheetml/2006/main" count="1099" uniqueCount="621">
  <si>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</si>
  <si>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</si>
  <si>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</si>
  <si>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</si>
  <si>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</si>
  <si>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</si>
  <si>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</si>
  <si>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</si>
  <si>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</si>
  <si>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</si>
  <si>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</si>
  <si>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</si>
  <si>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</si>
  <si>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</si>
  <si>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</si>
  <si>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</si>
  <si>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</si>
  <si>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</si>
  <si>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</si>
  <si>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</si>
  <si>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</si>
  <si>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</si>
  <si>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</si>
  <si>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</si>
  <si>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</si>
  <si>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</si>
  <si>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</si>
  <si>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</si>
  <si>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</si>
  <si>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</si>
  <si>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</si>
  <si>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</si>
  <si>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</si>
  <si>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</si>
  <si>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</si>
  <si>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</si>
  <si>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</si>
  <si>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</si>
  <si>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</si>
  <si>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</si>
  <si>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</si>
  <si>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</si>
  <si>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</si>
  <si>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</si>
  <si>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</si>
  <si>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</si>
  <si>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</si>
  <si>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</si>
  <si>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</si>
  <si>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</si>
  <si>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</si>
  <si>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</si>
  <si>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</si>
  <si>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</si>
  <si>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</si>
  <si>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</si>
  <si>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</si>
  <si>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</si>
  <si>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</si>
  <si>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</si>
  <si>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</si>
  <si>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</si>
  <si>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</si>
  <si>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</si>
  <si>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</si>
  <si>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</si>
  <si>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</si>
  <si>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</si>
  <si>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</si>
  <si>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</si>
  <si>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</si>
  <si>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</si>
  <si>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</si>
  <si>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</si>
  <si>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</si>
  <si>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</si>
  <si>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</si>
  <si>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</si>
  <si>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</si>
  <si>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</si>
  <si>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</si>
  <si>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</si>
  <si>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</si>
  <si>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</si>
  <si>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</si>
  <si>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</si>
  <si>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</si>
  <si>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</si>
  <si>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</si>
  <si>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</si>
  <si>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</si>
  <si>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</si>
  <si>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</si>
  <si>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</si>
  <si>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</si>
  <si>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</si>
  <si>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</si>
  <si>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</si>
  <si>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</si>
  <si>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</si>
  <si>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</si>
  <si>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</si>
  <si>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</si>
  <si>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</si>
  <si>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</si>
  <si>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</si>
  <si>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</si>
  <si>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</si>
  <si>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</si>
  <si>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</si>
  <si>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</si>
  <si>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</si>
  <si>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</si>
  <si>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</si>
  <si>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</si>
  <si>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</si>
  <si>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</si>
  <si>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</si>
  <si>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</si>
  <si>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</si>
  <si>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</si>
  <si>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</si>
  <si>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</si>
  <si>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</si>
  <si>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</si>
  <si>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</si>
  <si>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</si>
  <si>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</si>
  <si>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</si>
  <si>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</si>
  <si>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</si>
  <si>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</si>
  <si>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</si>
  <si>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</si>
  <si>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</si>
  <si>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</si>
  <si>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</si>
  <si>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</si>
  <si>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</si>
  <si>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</si>
  <si>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</si>
  <si>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</si>
  <si>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</si>
  <si>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</si>
  <si>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</si>
  <si>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</si>
  <si>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</si>
  <si>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</si>
  <si>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</si>
  <si>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</si>
  <si>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</si>
  <si>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</si>
  <si>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</si>
  <si>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</si>
  <si>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</si>
  <si>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</si>
  <si>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</si>
  <si>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</si>
  <si>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</si>
  <si>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</si>
  <si>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</si>
  <si>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</si>
  <si>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</si>
  <si>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</si>
  <si>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</si>
  <si>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</si>
  <si>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</si>
  <si>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</si>
  <si>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</si>
  <si>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</si>
  <si>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</si>
  <si>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</si>
  <si>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</si>
  <si>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</si>
  <si>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</si>
  <si>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</si>
  <si>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</si>
  <si>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</si>
  <si>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</si>
  <si>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</si>
  <si>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</si>
  <si>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</si>
  <si>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</si>
  <si>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</si>
  <si>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</si>
  <si>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</si>
  <si>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</si>
  <si>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</si>
  <si>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</si>
  <si>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</si>
  <si>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</si>
  <si>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</si>
  <si>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</si>
  <si>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</si>
  <si>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</si>
  <si>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</si>
  <si>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</si>
  <si>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</si>
  <si>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</si>
  <si>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</si>
  <si>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</si>
  <si>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</si>
  <si>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</si>
  <si>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</si>
  <si>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</si>
  <si>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</si>
  <si>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</si>
  <si>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</si>
  <si>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</si>
  <si>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</si>
  <si>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</si>
  <si>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</si>
  <si>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</si>
  <si>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</si>
  <si>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</si>
  <si>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</si>
  <si>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</si>
  <si>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</si>
  <si>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</si>
  <si>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</si>
  <si>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</si>
  <si>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</si>
  <si>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</si>
  <si>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</si>
  <si>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</si>
  <si>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</si>
  <si>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</si>
  <si>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</si>
  <si>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</si>
  <si>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</si>
  <si>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</si>
  <si>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</si>
  <si>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</si>
  <si>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</si>
  <si>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</si>
  <si>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</si>
  <si>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</si>
  <si>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</si>
  <si>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</si>
  <si>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</si>
  <si>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</si>
  <si>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</si>
  <si>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</si>
  <si>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</si>
  <si>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</si>
  <si>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</si>
  <si>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</si>
  <si>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</si>
  <si>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</si>
  <si>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</si>
  <si>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</si>
  <si>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</si>
  <si>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</si>
  <si>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</si>
  <si>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</si>
  <si>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</si>
  <si>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</si>
  <si>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</si>
  <si>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</si>
  <si>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</si>
  <si>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</si>
  <si>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</si>
  <si>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</si>
  <si>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</si>
  <si>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</si>
  <si>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</si>
  <si>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</si>
  <si>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</si>
  <si>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</si>
  <si>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</si>
  <si>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</si>
  <si>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</si>
  <si>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</si>
  <si>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</si>
  <si>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</si>
  <si>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</si>
  <si>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</si>
  <si>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</si>
  <si>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</si>
  <si>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</si>
  <si>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</si>
  <si>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</si>
  <si>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</si>
  <si>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</si>
  <si>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</si>
  <si>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</si>
  <si>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</si>
  <si>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</si>
  <si>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</si>
  <si>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</si>
  <si>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</si>
  <si>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</si>
  <si>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</si>
  <si>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</si>
  <si>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</si>
  <si>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</si>
  <si>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</si>
  <si>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</si>
  <si>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</si>
  <si>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</si>
  <si>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</si>
  <si>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</si>
  <si>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</si>
  <si>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</si>
  <si>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</si>
  <si>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</si>
  <si>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</si>
  <si>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</si>
  <si>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</si>
  <si>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</si>
  <si>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</si>
  <si>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</si>
  <si>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</si>
  <si>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</si>
  <si>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</si>
  <si>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</si>
  <si>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</si>
  <si>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</si>
  <si>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</si>
  <si>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</si>
  <si>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</si>
  <si>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</si>
  <si>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</si>
  <si>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</si>
  <si>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</si>
  <si>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</si>
  <si>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</si>
  <si>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</si>
  <si>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</si>
  <si>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</si>
  <si>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</si>
  <si>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</si>
  <si>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</si>
  <si>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</si>
  <si>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</si>
  <si>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</si>
  <si>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</si>
  <si>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</si>
  <si>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</si>
  <si>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</si>
  <si>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</si>
  <si>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</si>
  <si>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</si>
  <si>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</si>
  <si>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</si>
  <si>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</si>
  <si>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</si>
  <si>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</si>
  <si>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</si>
  <si>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</si>
  <si>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</si>
  <si>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</si>
  <si>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</si>
  <si>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</si>
  <si>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</si>
  <si>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</si>
  <si>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</si>
  <si>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</si>
  <si>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</si>
  <si>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</si>
  <si>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</si>
  <si>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</si>
  <si>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</si>
  <si>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</si>
  <si>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</si>
  <si>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</si>
  <si>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</si>
  <si>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</si>
  <si>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</si>
  <si>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</si>
  <si>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</si>
  <si>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</si>
  <si>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</si>
  <si>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</si>
  <si>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</si>
  <si>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</si>
  <si>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</si>
  <si>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</si>
  <si>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</si>
  <si>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</si>
  <si>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</si>
  <si>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</si>
  <si>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</si>
  <si>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</si>
  <si>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Calibri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</si>
  <si>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  <r>
      <rPr>
        <vertAlign val="superscript"/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</si>
  <si>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</si>
  <si>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</si>
  <si>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</si>
  <si>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rFont val="Calibri"/>
        <family val="2"/>
        <scheme val="minor"/>
      </rPr>
      <t>i1</t>
    </r>
  </si>
  <si>
    <r>
      <t>x</t>
    </r>
    <r>
      <rPr>
        <vertAlign val="subscript"/>
        <sz val="11"/>
        <rFont val="Calibri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</si>
  <si>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Calibri"/>
        <family val="2"/>
        <scheme val="minor"/>
      </rPr>
      <t>T</t>
    </r>
    <r>
      <rPr>
        <sz val="11"/>
        <rFont val="Calibri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Calibri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</si>
  <si>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Calibri"/>
        <family val="2"/>
        <scheme val="minor"/>
      </rPr>
      <t>T</t>
    </r>
    <r>
      <rPr>
        <sz val="11"/>
        <color rgb="FF000000"/>
        <rFont val="Calibri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</si>
  <si>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</si>
  <si>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</si>
  <si>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</si>
  <si>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</si>
  <si>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</si>
  <si>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Avg holding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</si>
  <si>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</si>
  <si>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</si>
  <si>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</si>
  <si>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</si>
  <si>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</si>
  <si>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</si>
  <si>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</si>
  <si>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</si>
  <si>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</si>
  <si>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</si>
  <si>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</si>
  <si>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</si>
  <si>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</si>
  <si>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</si>
  <si>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</si>
  <si>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</si>
  <si>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</si>
  <si>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</si>
  <si>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</si>
  <si>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</si>
  <si>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</si>
  <si>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</si>
  <si>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</si>
  <si>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</si>
  <si>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</si>
  <si>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</si>
  <si>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</si>
  <si>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</si>
  <si>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</si>
  <si>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</si>
  <si>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</si>
  <si>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</si>
  <si>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</si>
  <si>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</si>
  <si>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</si>
  <si>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</si>
  <si>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</si>
  <si>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</si>
  <si>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</si>
  <si>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</si>
  <si>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</si>
  <si>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</si>
  <si>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</si>
  <si>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</si>
  <si>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</si>
  <si>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</si>
  <si>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</si>
  <si>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</si>
  <si>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</si>
  <si>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</si>
  <si>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</si>
  <si>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</si>
  <si>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</si>
  <si>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</si>
  <si>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</si>
  <si>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</si>
  <si>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</si>
  <si>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</si>
  <si>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</si>
  <si>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</si>
  <si>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</si>
  <si>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</si>
  <si>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</si>
  <si>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</si>
  <si>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</si>
  <si>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</si>
  <si>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</si>
  <si>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</si>
  <si>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</si>
  <si>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</si>
  <si>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</si>
  <si>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</si>
  <si>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</si>
  <si>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</si>
  <si>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</si>
  <si>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</si>
  <si>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</si>
  <si>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</si>
  <si>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</si>
  <si>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</si>
  <si>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</si>
  <si>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</si>
  <si>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</si>
  <si>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</si>
  <si>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</si>
  <si>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</si>
  <si>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</si>
  <si>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</si>
  <si>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</si>
  <si>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</si>
  <si>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</si>
  <si>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</si>
  <si>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</si>
  <si>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</si>
  <si>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</si>
  <si>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</si>
  <si>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</si>
  <si>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</si>
  <si>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</si>
  <si>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</si>
  <si>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</si>
  <si>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</si>
  <si>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</si>
  <si>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</si>
  <si>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</si>
  <si>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</si>
  <si>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</si>
  <si>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</si>
  <si>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</si>
  <si>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</si>
  <si>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</si>
  <si>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</si>
  <si>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</si>
  <si>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</si>
  <si>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</si>
  <si>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</si>
  <si>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</si>
  <si>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</si>
  <si>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</si>
  <si>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</si>
  <si>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</si>
  <si>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</si>
  <si>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</si>
  <si>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</si>
  <si>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</si>
  <si>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</si>
  <si>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</si>
  <si>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</si>
  <si>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</si>
  <si>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</si>
  <si>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</si>
  <si>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</si>
  <si>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</si>
  <si>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</si>
  <si>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</si>
  <si>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</si>
  <si>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</si>
  <si>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</si>
  <si>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</si>
  <si>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</si>
  <si>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</si>
  <si>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</si>
  <si>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</si>
  <si>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</si>
  <si>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</si>
  <si>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</si>
  <si>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</si>
  <si>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</si>
  <si>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</si>
  <si>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</si>
  <si>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</si>
  <si>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</si>
  <si>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</si>
  <si>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</si>
  <si>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</si>
  <si>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</si>
  <si>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</si>
  <si>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</si>
  <si>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</si>
  <si>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</si>
  <si>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</si>
  <si>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</si>
  <si>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</si>
  <si>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</si>
  <si>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</si>
  <si>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</si>
  <si>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</si>
  <si>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</si>
  <si>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</si>
  <si>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</si>
  <si>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</si>
  <si>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</si>
  <si>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</si>
  <si>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</si>
  <si>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</si>
  <si>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</si>
  <si>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</si>
  <si>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</si>
  <si>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</si>
  <si>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</si>
  <si>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</si>
  <si>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</si>
  <si>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</si>
  <si>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</si>
  <si>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</si>
  <si>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</si>
  <si>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</si>
  <si>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</si>
  <si>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</si>
  <si>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</si>
  <si>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</si>
  <si>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</si>
  <si>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</si>
  <si>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</si>
  <si>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</si>
  <si>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</si>
  <si>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</si>
  <si>
    <t>Q (จะผลิตครั้งละเท่าไหร)</t>
  </si>
  <si>
    <t>Avg setup cost (THB/year) 
[จำนวนครั้งที่ผลิต*ราคาต่อครั้ง]</t>
  </si>
  <si>
    <t>Order frequency (order/year) 
[ปีนึงผลิตกี่ครั้ง]</t>
  </si>
  <si>
    <t>Avg inv (unit)
[เฉลี่ยจำนวน unit ที่มีทั้งปี]</t>
  </si>
  <si>
    <t>*ถ้า ไป-กลับ ก็เอา distance คูณสอง</t>
  </si>
  <si>
    <t>v</t>
  </si>
  <si>
    <t>Obj</t>
  </si>
  <si>
    <t>Con1</t>
  </si>
  <si>
    <t>Con2</t>
  </si>
  <si>
    <t>Con3</t>
  </si>
  <si>
    <t>profit</t>
  </si>
  <si>
    <t>cost</t>
  </si>
  <si>
    <t xml:space="preserve">revenue </t>
  </si>
  <si>
    <t>price</t>
  </si>
  <si>
    <t>x (qty)</t>
  </si>
  <si>
    <t>$B$6</t>
  </si>
  <si>
    <t>Multiplier</t>
  </si>
  <si>
    <t>Lagrange</t>
  </si>
  <si>
    <t>$B$2</t>
  </si>
  <si>
    <t>$A$2</t>
  </si>
  <si>
    <t>Gradient</t>
  </si>
  <si>
    <t>Report Created: 12/9/2569 11:20:01</t>
  </si>
  <si>
    <t xml:space="preserve">Worksheet: [monopolist.xlsx]Advertising </t>
  </si>
  <si>
    <t>budget</t>
  </si>
  <si>
    <t xml:space="preserve">f(x)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</si>
</sst>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"/>
    <numFmt numFmtId="167" formatCode="&quot;$&quot;#,##0.000_);\(&quot;$&quot;#,##0.000\)"/>
    <numFmt numFmtId="168" formatCode="&quot;$&quot;#,##0;\-&quot;$&quot;#,##0"/>
    <numFmt numFmtId="169" formatCode="&quot;$&quot;#,##0.0;\-&quot;$&quot;#,##0.0"/>
    <numFmt numFmtId="170" formatCode="_(&quot;$&quot;* #,##0_);_(&quot;$&quot;* \(#,##0\);_(&quot;$&quot;* &quot;-&quot;??_);_(@_)"/>
    <numFmt numFmtId="171" formatCode="&quot;$&quot;#,##0.00;\-&quot;$&quot;#,##0.00"/>
    <numFmt numFmtId="172" formatCode="&quot;฿&quot;#,##0.00"/>
    <numFmt numFmtId="173" formatCode="_(* #,##0_);_(* \(#,##0\);_(* &quot;-&quot;??_);_(@_)"/>
    <numFmt numFmtId="174" formatCode="0.0%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sz val="11"/>
      <name val="Symbol"/>
      <family val="1"/>
      <charset val="2"/>
    </font>
    <font>
      <sz val="11"/>
      <name val="Calibri"/>
      <family val="1"/>
      <charset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indexed="18"/>
      <name val="Calibri"/>
      <family val="2"/>
      <charset val="22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9">
    <xf numFmtId="0" fontId="0" fillId="0" borderId="0"/>
    <xf numFmtId="0" fontId="3" fillId="0" borderId="0"/>
    <xf numFmtId="8" fontId="3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44" fontId="11" fillId="0" borderId="0" applyFont="0" applyFill="0" applyBorder="0" applyAlignment="0" applyProtection="0"/>
    <xf numFmtId="0" fontId="27" fillId="0" borderId="16" applyNumberFormat="0" applyFill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</cellStyleXfs>
  <cellXfs count="144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1" quotePrefix="1" applyFont="1" applyAlignment="1">
      <alignment horizontal="left"/>
    </xf>
    <xf numFmtId="0" fontId="5" fillId="0" borderId="0" xfId="1" applyFont="1"/>
    <xf numFmtId="165" fontId="5" fillId="0" borderId="0" xfId="1" applyNumberFormat="1" applyFont="1"/>
    <xf numFmtId="0" fontId="5" fillId="2" borderId="0" xfId="1" applyFont="1" applyFill="1"/>
    <xf numFmtId="9" fontId="5" fillId="2" borderId="0" xfId="1" applyNumberFormat="1" applyFont="1" applyFill="1"/>
    <xf numFmtId="1" fontId="5" fillId="0" borderId="0" xfId="1" applyNumberFormat="1" applyFont="1" applyAlignment="1">
      <alignment horizontal="right"/>
    </xf>
    <xf numFmtId="166" fontId="5" fillId="0" borderId="0" xfId="1" applyNumberFormat="1" applyFont="1"/>
    <xf numFmtId="0" fontId="5" fillId="0" borderId="0" xfId="1" quotePrefix="1" applyFont="1" applyAlignment="1">
      <alignment horizontal="left"/>
    </xf>
    <xf numFmtId="8" fontId="5" fillId="2" borderId="0" xfId="2" applyFont="1" applyFill="1" applyBorder="1"/>
    <xf numFmtId="167" fontId="5" fillId="0" borderId="0" xfId="1" applyNumberFormat="1" applyFont="1"/>
    <xf numFmtId="0" fontId="4" fillId="0" borderId="0" xfId="1" applyFont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1" fontId="5" fillId="0" borderId="0" xfId="1" quotePrefix="1" applyNumberFormat="1" applyFont="1" applyAlignment="1">
      <alignment horizontal="right"/>
    </xf>
    <xf numFmtId="0" fontId="4" fillId="0" borderId="0" xfId="1" applyFont="1" applyAlignment="1">
      <alignment horizontal="left"/>
    </xf>
    <xf numFmtId="164" fontId="5" fillId="2" borderId="0" xfId="1" applyNumberFormat="1" applyFont="1" applyFill="1"/>
    <xf numFmtId="0" fontId="4" fillId="0" borderId="0" xfId="1" applyFont="1" applyAlignment="1">
      <alignment horizontal="right"/>
    </xf>
    <xf numFmtId="1" fontId="5" fillId="0" borderId="0" xfId="1" applyNumberFormat="1" applyFont="1"/>
    <xf numFmtId="0" fontId="5" fillId="0" borderId="0" xfId="1" applyFont="1" applyAlignment="1">
      <alignment horizontal="center"/>
    </xf>
    <xf numFmtId="0" fontId="5" fillId="0" borderId="0" xfId="1" applyFont="1" applyAlignment="1">
      <alignment horizontal="left" vertical="center" wrapText="1"/>
    </xf>
    <xf numFmtId="0" fontId="4" fillId="0" borderId="0" xfId="1" applyFont="1" applyAlignment="1">
      <alignment horizontal="centerContinuous"/>
    </xf>
    <xf numFmtId="168" fontId="5" fillId="0" borderId="0" xfId="1" applyNumberFormat="1" applyFont="1"/>
    <xf numFmtId="0" fontId="7" fillId="0" borderId="0" xfId="3" applyFont="1" applyAlignment="1" applyProtection="1"/>
    <xf numFmtId="0" fontId="5" fillId="0" borderId="0" xfId="1" applyFont="1" applyAlignment="1">
      <alignment horizontal="centerContinuous"/>
    </xf>
    <xf numFmtId="5" fontId="5" fillId="2" borderId="0" xfId="1" applyNumberFormat="1" applyFont="1" applyFill="1"/>
    <xf numFmtId="0" fontId="5" fillId="0" borderId="0" xfId="1" quotePrefix="1" applyFont="1" applyAlignment="1">
      <alignment horizontal="center"/>
    </xf>
    <xf numFmtId="9" fontId="5" fillId="0" borderId="0" xfId="1" applyNumberFormat="1" applyFont="1"/>
    <xf numFmtId="5" fontId="5" fillId="0" borderId="0" xfId="1" applyNumberFormat="1" applyFont="1"/>
    <xf numFmtId="168" fontId="5" fillId="2" borderId="0" xfId="1" applyNumberFormat="1" applyFont="1" applyFill="1"/>
    <xf numFmtId="2" fontId="5" fillId="0" borderId="0" xfId="1" applyNumberFormat="1" applyFont="1"/>
    <xf numFmtId="6" fontId="5" fillId="0" borderId="0" xfId="1" applyNumberFormat="1" applyFont="1"/>
    <xf numFmtId="6" fontId="5" fillId="0" borderId="0" xfId="1" applyNumberFormat="1" applyFont="1" applyAlignment="1">
      <alignment horizontal="right"/>
    </xf>
    <xf numFmtId="168" fontId="5" fillId="0" borderId="0" xfId="1" applyNumberFormat="1" applyFont="1" applyAlignment="1">
      <alignment horizontal="right"/>
    </xf>
    <xf numFmtId="168" fontId="5" fillId="0" borderId="0" xfId="1" quotePrefix="1" applyNumberFormat="1" applyFont="1" applyAlignment="1">
      <alignment horizontal="center"/>
    </xf>
    <xf numFmtId="6" fontId="5" fillId="2" borderId="0" xfId="1" applyNumberFormat="1" applyFont="1" applyFill="1"/>
    <xf numFmtId="1" fontId="5" fillId="5" borderId="0" xfId="1" applyNumberFormat="1" applyFont="1" applyFill="1"/>
    <xf numFmtId="0" fontId="5" fillId="5" borderId="0" xfId="1" applyFont="1" applyFill="1"/>
    <xf numFmtId="6" fontId="5" fillId="0" borderId="1" xfId="1" applyNumberFormat="1" applyFont="1" applyBorder="1"/>
    <xf numFmtId="0" fontId="10" fillId="2" borderId="0" xfId="1" applyFont="1" applyFill="1"/>
    <xf numFmtId="1" fontId="5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5" fillId="0" borderId="2" xfId="1" applyFont="1" applyBorder="1"/>
    <xf numFmtId="0" fontId="5" fillId="0" borderId="3" xfId="1" applyFont="1" applyBorder="1"/>
    <xf numFmtId="0" fontId="5" fillId="0" borderId="4" xfId="1" applyFont="1" applyBorder="1"/>
    <xf numFmtId="0" fontId="5" fillId="0" borderId="5" xfId="1" applyFont="1" applyBorder="1"/>
    <xf numFmtId="0" fontId="5" fillId="0" borderId="6" xfId="1" applyFont="1" applyBorder="1"/>
    <xf numFmtId="0" fontId="5" fillId="0" borderId="7" xfId="1" applyFont="1" applyBorder="1"/>
    <xf numFmtId="0" fontId="5" fillId="0" borderId="8" xfId="1" applyFont="1" applyBorder="1"/>
    <xf numFmtId="0" fontId="5" fillId="0" borderId="9" xfId="1" applyFont="1" applyBorder="1"/>
    <xf numFmtId="0" fontId="5" fillId="0" borderId="10" xfId="1" applyFont="1" applyBorder="1"/>
    <xf numFmtId="0" fontId="5" fillId="0" borderId="11" xfId="1" applyFont="1" applyBorder="1"/>
    <xf numFmtId="0" fontId="5" fillId="0" borderId="12" xfId="1" applyFont="1" applyBorder="1"/>
    <xf numFmtId="0" fontId="5" fillId="0" borderId="13" xfId="1" applyFont="1" applyBorder="1"/>
    <xf numFmtId="0" fontId="5" fillId="0" borderId="14" xfId="1" applyFont="1" applyBorder="1"/>
    <xf numFmtId="0" fontId="5" fillId="0" borderId="15" xfId="1" applyFont="1" applyBorder="1"/>
    <xf numFmtId="2" fontId="5" fillId="2" borderId="0" xfId="1" applyNumberFormat="1" applyFont="1" applyFill="1"/>
    <xf numFmtId="6" fontId="5" fillId="2" borderId="0" xfId="1" applyNumberFormat="1" applyFont="1" applyFill="1" applyAlignment="1">
      <alignment horizontal="right"/>
    </xf>
    <xf numFmtId="8" fontId="5" fillId="0" borderId="0" xfId="1" applyNumberFormat="1" applyFont="1"/>
    <xf numFmtId="7" fontId="5" fillId="0" borderId="0" xfId="1" applyNumberFormat="1" applyFont="1"/>
    <xf numFmtId="169" fontId="5" fillId="2" borderId="0" xfId="1" applyNumberFormat="1" applyFont="1" applyFill="1"/>
    <xf numFmtId="0" fontId="0" fillId="0" borderId="0" xfId="0" quotePrefix="1"/>
    <xf numFmtId="170" fontId="0" fillId="0" borderId="0" xfId="0" applyNumberFormat="1"/>
    <xf numFmtId="0" fontId="0" fillId="6" borderId="0" xfId="0" applyFill="1"/>
    <xf numFmtId="170" fontId="0" fillId="6" borderId="0" xfId="4" applyNumberFormat="1" applyFont="1" applyFill="1"/>
    <xf numFmtId="170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3" fillId="0" borderId="0" xfId="0" applyFont="1" applyAlignment="1">
      <alignment horizontal="center" wrapText="1" readingOrder="1"/>
    </xf>
    <xf numFmtId="0" fontId="5" fillId="0" borderId="0" xfId="0" applyFont="1"/>
    <xf numFmtId="0" fontId="14" fillId="0" borderId="0" xfId="0" applyFont="1" applyAlignment="1">
      <alignment horizontal="center" wrapText="1" readingOrder="1"/>
    </xf>
    <xf numFmtId="0" fontId="5" fillId="0" borderId="0" xfId="0" quotePrefix="1" applyFont="1"/>
    <xf numFmtId="0" fontId="5" fillId="7" borderId="0" xfId="0" applyFont="1" applyFill="1"/>
    <xf numFmtId="0" fontId="14" fillId="7" borderId="0" xfId="0" applyFont="1" applyFill="1" applyAlignment="1">
      <alignment horizontal="center" wrapText="1" readingOrder="1"/>
    </xf>
    <xf numFmtId="0" fontId="20" fillId="0" borderId="0" xfId="0" applyFont="1"/>
    <xf numFmtId="0" fontId="22" fillId="0" borderId="0" xfId="0" applyFont="1"/>
    <xf numFmtId="0" fontId="23" fillId="0" borderId="0" xfId="0" applyFont="1"/>
    <xf numFmtId="0" fontId="27" fillId="0" borderId="16" xfId="5"/>
    <xf numFmtId="2" fontId="0" fillId="2" borderId="0" xfId="0" applyNumberFormat="1" applyFill="1"/>
    <xf numFmtId="43" fontId="0" fillId="0" borderId="0" xfId="6" applyFont="1"/>
    <xf numFmtId="43" fontId="0" fillId="0" borderId="0" xfId="0" applyNumberFormat="1"/>
    <xf numFmtId="0" fontId="0" fillId="0" borderId="0" xfId="0" applyAlignment="1">
      <alignment horizontal="right" wrapText="1"/>
    </xf>
    <xf numFmtId="171" fontId="5" fillId="0" borderId="0" xfId="1" applyNumberFormat="1" applyFont="1" applyAlignment="1">
      <alignment horizontal="right"/>
    </xf>
    <xf numFmtId="169" fontId="5" fillId="0" borderId="1" xfId="1" applyNumberFormat="1" applyFont="1" applyBorder="1" applyAlignment="1">
      <alignment horizontal="right"/>
    </xf>
    <xf numFmtId="0" fontId="5" fillId="0" borderId="0" xfId="1" quotePrefix="1" applyFont="1"/>
    <xf numFmtId="0" fontId="0" fillId="0" borderId="19" xfId="0" applyBorder="1"/>
    <xf numFmtId="0" fontId="0" fillId="0" borderId="20" xfId="0" applyBorder="1"/>
    <xf numFmtId="0" fontId="28" fillId="0" borderId="17" xfId="0" applyFont="1" applyBorder="1" applyAlignment="1">
      <alignment horizontal="center"/>
    </xf>
    <xf numFmtId="0" fontId="28" fillId="0" borderId="18" xfId="0" applyFont="1" applyBorder="1" applyAlignment="1">
      <alignment horizontal="center"/>
    </xf>
    <xf numFmtId="0" fontId="0" fillId="8" borderId="0" xfId="0" applyFill="1"/>
    <xf numFmtId="172" fontId="5" fillId="0" borderId="0" xfId="1" applyNumberFormat="1" applyFont="1"/>
    <xf numFmtId="168" fontId="5" fillId="8" borderId="0" xfId="1" applyNumberFormat="1" applyFont="1" applyFill="1"/>
    <xf numFmtId="172" fontId="5" fillId="8" borderId="0" xfId="1" applyNumberFormat="1" applyFont="1" applyFill="1"/>
    <xf numFmtId="43" fontId="5" fillId="0" borderId="0" xfId="6" applyFont="1"/>
    <xf numFmtId="43" fontId="5" fillId="8" borderId="11" xfId="6" applyFont="1" applyFill="1" applyBorder="1"/>
    <xf numFmtId="173" fontId="0" fillId="0" borderId="0" xfId="6" applyNumberFormat="1" applyFont="1" applyBorder="1" applyAlignment="1">
      <alignment horizontal="right" indent="2"/>
    </xf>
    <xf numFmtId="0" fontId="0" fillId="9" borderId="0" xfId="0" applyFill="1"/>
    <xf numFmtId="173" fontId="0" fillId="0" borderId="0" xfId="6" applyNumberFormat="1" applyFont="1" applyBorder="1" applyAlignment="1">
      <alignment horizontal="left" indent="2"/>
    </xf>
    <xf numFmtId="173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9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2" fillId="0" borderId="13" xfId="0" applyFont="1" applyBorder="1"/>
    <xf numFmtId="0" fontId="0" fillId="0" borderId="6" xfId="0" applyBorder="1"/>
    <xf numFmtId="0" fontId="0" fillId="0" borderId="7" xfId="0" applyBorder="1"/>
    <xf numFmtId="44" fontId="0" fillId="8" borderId="11" xfId="0" applyNumberFormat="1" applyFill="1" applyBorder="1"/>
    <xf numFmtId="173" fontId="0" fillId="6" borderId="0" xfId="6" applyNumberFormat="1" applyFont="1" applyFill="1" applyBorder="1"/>
    <xf numFmtId="174" fontId="5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5" fillId="8" borderId="0" xfId="1" applyFont="1" applyFill="1"/>
    <xf numFmtId="0" fontId="5" fillId="6" borderId="0" xfId="1" applyFont="1" applyFill="1"/>
    <xf numFmtId="0" fontId="0" fillId="11" borderId="0" xfId="0" applyFill="1"/>
    <xf numFmtId="0" fontId="0" fillId="0" borderId="0" xfId="0" applyAlignment="1">
      <alignment wrapText="1"/>
    </xf>
    <xf numFmtId="8" fontId="5" fillId="5" borderId="0" xfId="1" applyNumberFormat="1" applyFont="1" applyFill="1"/>
    <xf numFmtId="2" fontId="5" fillId="5" borderId="0" xfId="1" applyNumberFormat="1" applyFont="1" applyFill="1"/>
    <xf numFmtId="7" fontId="5" fillId="8" borderId="0" xfId="1" applyNumberFormat="1" applyFont="1" applyFill="1"/>
    <xf numFmtId="0" fontId="1" fillId="0" borderId="0" xfId="8"/>
    <xf numFmtId="0" fontId="1" fillId="5" borderId="0" xfId="8" applyFill="1"/>
    <xf numFmtId="0" fontId="1" fillId="0" borderId="20" xfId="8" applyBorder="1"/>
    <xf numFmtId="0" fontId="30" fillId="0" borderId="18" xfId="8" applyFont="1" applyBorder="1" applyAlignment="1">
      <alignment horizontal="center"/>
    </xf>
    <xf numFmtId="0" fontId="30" fillId="0" borderId="17" xfId="8" applyFont="1" applyBorder="1" applyAlignment="1">
      <alignment horizontal="center"/>
    </xf>
    <xf numFmtId="0" fontId="1" fillId="0" borderId="19" xfId="8" applyBorder="1"/>
    <xf numFmtId="0" fontId="2" fillId="0" borderId="0" xfId="8" applyFont="1"/>
    <xf numFmtId="0" fontId="1" fillId="12" borderId="0" xfId="8" applyFill="1"/>
    <xf numFmtId="0" fontId="1" fillId="9" borderId="0" xfId="8" applyFill="1"/>
    <xf numFmtId="43" fontId="0" fillId="8" borderId="0" xfId="6" applyFont="1" applyFill="1"/>
    <xf numFmtId="0" fontId="0" fillId="0" borderId="0" xfId="0" applyAlignment="1">
      <alignment horizontal="left"/>
    </xf>
  </cellXfs>
  <cellStyles count="9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Normal 3" xfId="8" xr:uid="{DED1A930-E856-4B42-8A68-9187EAEBCC94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51BD-032D-4C79-B55A-18F6864F9BF0}">
  <dimension ref="A1:E6"/>
  <sheetViews>
    <sheetView topLeftCell="A13" workbookViewId="0">
      <selection activeCell="H9" sqref="H9"/>
    </sheetView>
  </sheetViews>
  <sheetFormatPr defaultColWidth="9" defaultRowHeight="15"/>
  <cols>
    <col min="1" max="16384" width="9" style="133"/>
  </cols>
  <sheetData>
    <row r="1" spans="1:5">
      <c r="A1" s="133" t="s">
        <v>296</v>
      </c>
      <c r="B1" s="133" t="s">
        <v>297</v>
      </c>
      <c r="C1" s="133" t="s">
        <v>620</v>
      </c>
    </row>
    <row r="2" spans="1:5">
      <c r="A2" s="134">
        <v>2.4642857142857153</v>
      </c>
      <c r="B2" s="134">
        <v>2.6071428571428554</v>
      </c>
      <c r="C2" s="141">
        <f>(-2*A2^2) - (B2^2) + (A2*B2) + (8*A2) + (3*B2)</f>
        <v>15.017857142857146</v>
      </c>
    </row>
    <row r="5" spans="1:5">
      <c r="A5" s="133" t="s">
        <v>619</v>
      </c>
    </row>
    <row r="6" spans="1:5">
      <c r="A6" s="133">
        <v>3</v>
      </c>
      <c r="B6" s="133">
        <v>1</v>
      </c>
      <c r="C6" s="133">
        <f>SUMPRODUCT(A6:B6,A2:B2)</f>
        <v>10.000000000000002</v>
      </c>
      <c r="D6" s="133" t="s">
        <v>278</v>
      </c>
      <c r="E6" s="140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6086-7CC8-4035-82C0-4B5E0BB66C79}">
  <dimension ref="A1:E15"/>
  <sheetViews>
    <sheetView showGridLines="0" workbookViewId="0">
      <selection activeCell="J15" sqref="J15"/>
    </sheetView>
  </sheetViews>
  <sheetFormatPr defaultColWidth="9" defaultRowHeight="15"/>
  <cols>
    <col min="1" max="1" width="2" style="133" customWidth="1"/>
    <col min="2" max="2" width="4.7109375" style="133" bestFit="1" customWidth="1"/>
    <col min="3" max="3" width="6" style="133" bestFit="1" customWidth="1"/>
    <col min="4" max="5" width="11.7109375" style="133" bestFit="1" customWidth="1"/>
    <col min="6" max="16384" width="9" style="133"/>
  </cols>
  <sheetData>
    <row r="1" spans="1:5">
      <c r="A1" s="139" t="s">
        <v>476</v>
      </c>
    </row>
    <row r="2" spans="1:5">
      <c r="A2" s="139" t="s">
        <v>618</v>
      </c>
    </row>
    <row r="3" spans="1:5">
      <c r="A3" s="139" t="s">
        <v>617</v>
      </c>
    </row>
    <row r="6" spans="1:5" ht="15.75" thickBot="1">
      <c r="A6" s="133" t="s">
        <v>477</v>
      </c>
    </row>
    <row r="7" spans="1:5">
      <c r="B7" s="137"/>
      <c r="C7" s="137"/>
      <c r="D7" s="137" t="s">
        <v>480</v>
      </c>
      <c r="E7" s="137" t="s">
        <v>482</v>
      </c>
    </row>
    <row r="8" spans="1:5" ht="15.75" thickBot="1">
      <c r="B8" s="136" t="s">
        <v>478</v>
      </c>
      <c r="C8" s="136" t="s">
        <v>479</v>
      </c>
      <c r="D8" s="136" t="s">
        <v>481</v>
      </c>
      <c r="E8" s="136" t="s">
        <v>616</v>
      </c>
    </row>
    <row r="9" spans="1:5">
      <c r="B9" s="138" t="s">
        <v>615</v>
      </c>
      <c r="C9" s="138" t="s">
        <v>296</v>
      </c>
      <c r="D9" s="138">
        <v>2.4642857142857153</v>
      </c>
      <c r="E9" s="138">
        <v>0</v>
      </c>
    </row>
    <row r="10" spans="1:5" ht="15.75" thickBot="1">
      <c r="B10" s="135" t="s">
        <v>614</v>
      </c>
      <c r="C10" s="135" t="s">
        <v>297</v>
      </c>
      <c r="D10" s="135">
        <v>2.6071428571428554</v>
      </c>
      <c r="E10" s="135">
        <v>0</v>
      </c>
    </row>
    <row r="12" spans="1:5" ht="15.75" thickBot="1">
      <c r="A12" s="133" t="s">
        <v>488</v>
      </c>
    </row>
    <row r="13" spans="1:5">
      <c r="B13" s="137"/>
      <c r="C13" s="137"/>
      <c r="D13" s="137" t="s">
        <v>480</v>
      </c>
      <c r="E13" s="137" t="s">
        <v>613</v>
      </c>
    </row>
    <row r="14" spans="1:5" ht="15.75" thickBot="1">
      <c r="B14" s="136" t="s">
        <v>478</v>
      </c>
      <c r="C14" s="136" t="s">
        <v>479</v>
      </c>
      <c r="D14" s="136" t="s">
        <v>481</v>
      </c>
      <c r="E14" s="136" t="s">
        <v>612</v>
      </c>
    </row>
    <row r="15" spans="1:5" ht="15.75" thickBot="1">
      <c r="B15" s="135" t="s">
        <v>611</v>
      </c>
      <c r="C15" s="135" t="s">
        <v>297</v>
      </c>
      <c r="D15" s="135">
        <v>10.000000000000002</v>
      </c>
      <c r="E15" s="135">
        <v>0.24999671274622132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3F1C-5A45-43E5-A048-56060299D179}">
  <dimension ref="A1:E2"/>
  <sheetViews>
    <sheetView workbookViewId="0">
      <selection activeCell="C23" sqref="C23"/>
    </sheetView>
  </sheetViews>
  <sheetFormatPr defaultColWidth="9" defaultRowHeight="15"/>
  <cols>
    <col min="1" max="16384" width="9" style="133"/>
  </cols>
  <sheetData>
    <row r="1" spans="1:5">
      <c r="A1" s="133" t="s">
        <v>610</v>
      </c>
      <c r="B1" s="133" t="s">
        <v>609</v>
      </c>
      <c r="C1" s="133" t="s">
        <v>608</v>
      </c>
      <c r="D1" s="133" t="s">
        <v>607</v>
      </c>
      <c r="E1" s="133" t="s">
        <v>606</v>
      </c>
    </row>
    <row r="2" spans="1:5">
      <c r="A2" s="134">
        <v>2.5</v>
      </c>
      <c r="B2" s="133">
        <f>(10-A2)</f>
        <v>7.5</v>
      </c>
      <c r="C2" s="133">
        <f>B2*A2</f>
        <v>18.75</v>
      </c>
      <c r="D2" s="133">
        <f>5 *A2</f>
        <v>12.5</v>
      </c>
      <c r="E2" s="133">
        <f>C2-D2</f>
        <v>6.25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5"/>
  <cols>
    <col min="1" max="1" width="2.28515625" customWidth="1"/>
    <col min="2" max="2" width="6.140625" bestFit="1" customWidth="1"/>
    <col min="3" max="3" width="40.7109375" bestFit="1" customWidth="1"/>
    <col min="4" max="4" width="6.140625" bestFit="1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>
      <c r="A1" s="1" t="s">
        <v>476</v>
      </c>
    </row>
    <row r="2" spans="1:8">
      <c r="A2" s="1" t="s">
        <v>501</v>
      </c>
    </row>
    <row r="3" spans="1:8">
      <c r="A3" s="1" t="s">
        <v>502</v>
      </c>
    </row>
    <row r="6" spans="1:8" ht="15.75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5.75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493</v>
      </c>
      <c r="C9" s="97" t="s">
        <v>494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5.75" thickBot="1">
      <c r="B10" s="98" t="s">
        <v>495</v>
      </c>
      <c r="C10" s="98" t="s">
        <v>496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5.75" thickBot="1">
      <c r="A12" t="s">
        <v>488</v>
      </c>
    </row>
    <row r="13" spans="1:8">
      <c r="B13" s="99"/>
      <c r="C13" s="99"/>
      <c r="D13" s="99" t="s">
        <v>480</v>
      </c>
      <c r="E13" s="99" t="s">
        <v>489</v>
      </c>
      <c r="F13" s="99" t="s">
        <v>491</v>
      </c>
      <c r="G13" s="99" t="s">
        <v>485</v>
      </c>
      <c r="H13" s="99" t="s">
        <v>485</v>
      </c>
    </row>
    <row r="14" spans="1:8" ht="15.75" thickBot="1">
      <c r="B14" s="100" t="s">
        <v>478</v>
      </c>
      <c r="C14" s="100" t="s">
        <v>479</v>
      </c>
      <c r="D14" s="100" t="s">
        <v>481</v>
      </c>
      <c r="E14" s="100" t="s">
        <v>490</v>
      </c>
      <c r="F14" s="100" t="s">
        <v>492</v>
      </c>
      <c r="G14" s="100" t="s">
        <v>486</v>
      </c>
      <c r="H14" s="100" t="s">
        <v>487</v>
      </c>
    </row>
    <row r="15" spans="1:8">
      <c r="B15" s="97" t="s">
        <v>497</v>
      </c>
      <c r="C15" s="97" t="s">
        <v>498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5.75" thickBot="1">
      <c r="B16" s="98" t="s">
        <v>499</v>
      </c>
      <c r="C16" s="98" t="s">
        <v>500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5"/>
  <cols>
    <col min="1" max="1" width="47.140625" bestFit="1" customWidth="1"/>
    <col min="2" max="2" width="12.28515625" bestFit="1" customWidth="1"/>
    <col min="3" max="3" width="8.140625" bestFit="1" customWidth="1"/>
    <col min="4" max="4" width="17" bestFit="1" customWidth="1"/>
    <col min="5" max="5" width="17.7109375" bestFit="1" customWidth="1"/>
    <col min="16" max="16" width="13.71093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473</v>
      </c>
    </row>
    <row r="26" spans="1:5">
      <c r="D26">
        <f>SUMPRODUCT(B12:C12,B16:C16)</f>
        <v>199600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5"/>
  <cols>
    <col min="1" max="1" width="47.140625" bestFit="1" customWidth="1"/>
    <col min="2" max="2" width="13" bestFit="1" customWidth="1"/>
    <col min="3" max="3" width="9.28515625" bestFit="1" customWidth="1"/>
    <col min="4" max="4" width="17" bestFit="1" customWidth="1"/>
    <col min="5" max="5" width="17.7109375" bestFit="1" customWidth="1"/>
    <col min="8" max="8" width="2.140625" bestFit="1" customWidth="1"/>
    <col min="16" max="16" width="13.71093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475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475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473</v>
      </c>
    </row>
    <row r="26" spans="1:5">
      <c r="D26">
        <f>SUMPRODUCT(B12:D12,B16:D16)</f>
        <v>200285.71428571429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workbookViewId="0">
      <selection activeCell="H21" sqref="H21"/>
    </sheetView>
  </sheetViews>
  <sheetFormatPr defaultRowHeight="15"/>
  <cols>
    <col min="1" max="1" width="2.28515625" customWidth="1"/>
    <col min="2" max="2" width="6.28515625" bestFit="1" customWidth="1"/>
    <col min="3" max="3" width="42.85546875" bestFit="1" customWidth="1"/>
    <col min="4" max="4" width="7" bestFit="1" customWidth="1"/>
    <col min="5" max="5" width="8.7109375" bestFit="1" customWidth="1"/>
    <col min="6" max="6" width="10.85546875" bestFit="1" customWidth="1"/>
    <col min="7" max="8" width="12" bestFit="1" customWidth="1"/>
  </cols>
  <sheetData>
    <row r="1" spans="1:8">
      <c r="A1" s="1" t="s">
        <v>476</v>
      </c>
    </row>
    <row r="2" spans="1:8">
      <c r="A2" s="1" t="s">
        <v>503</v>
      </c>
    </row>
    <row r="3" spans="1:8">
      <c r="A3" s="1" t="s">
        <v>504</v>
      </c>
    </row>
    <row r="6" spans="1:8" ht="15.75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5.75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505</v>
      </c>
      <c r="C9" s="97" t="s">
        <v>506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507</v>
      </c>
      <c r="C10" s="97" t="s">
        <v>508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509</v>
      </c>
      <c r="C11" s="97" t="s">
        <v>510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511</v>
      </c>
      <c r="C12" s="97" t="s">
        <v>512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513</v>
      </c>
      <c r="C13" s="97" t="s">
        <v>514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515</v>
      </c>
      <c r="C14" s="97" t="s">
        <v>516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517</v>
      </c>
      <c r="C15" s="97" t="s">
        <v>518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519</v>
      </c>
      <c r="C16" s="97" t="s">
        <v>520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521</v>
      </c>
      <c r="C17" s="97" t="s">
        <v>522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523</v>
      </c>
      <c r="C18" s="97" t="s">
        <v>524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525</v>
      </c>
      <c r="C19" s="97" t="s">
        <v>526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527</v>
      </c>
      <c r="C20" s="97" t="s">
        <v>528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529</v>
      </c>
      <c r="C21" s="97" t="s">
        <v>530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531</v>
      </c>
      <c r="C22" s="97" t="s">
        <v>532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533</v>
      </c>
      <c r="C23" s="97" t="s">
        <v>534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5.75" thickBot="1">
      <c r="B24" s="98" t="s">
        <v>535</v>
      </c>
      <c r="C24" s="98" t="s">
        <v>536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5.75" thickBot="1">
      <c r="A26" t="s">
        <v>488</v>
      </c>
    </row>
    <row r="27" spans="1:8">
      <c r="B27" s="99"/>
      <c r="C27" s="99"/>
      <c r="D27" s="99" t="s">
        <v>480</v>
      </c>
      <c r="E27" s="99" t="s">
        <v>489</v>
      </c>
      <c r="F27" s="99" t="s">
        <v>491</v>
      </c>
      <c r="G27" s="99" t="s">
        <v>485</v>
      </c>
      <c r="H27" s="99" t="s">
        <v>485</v>
      </c>
    </row>
    <row r="28" spans="1:8" ht="15.75" thickBot="1">
      <c r="B28" s="100" t="s">
        <v>478</v>
      </c>
      <c r="C28" s="100" t="s">
        <v>479</v>
      </c>
      <c r="D28" s="100" t="s">
        <v>481</v>
      </c>
      <c r="E28" s="100" t="s">
        <v>490</v>
      </c>
      <c r="F28" s="100" t="s">
        <v>492</v>
      </c>
      <c r="G28" s="100" t="s">
        <v>486</v>
      </c>
      <c r="H28" s="100" t="s">
        <v>487</v>
      </c>
    </row>
    <row r="29" spans="1:8">
      <c r="B29" s="97" t="s">
        <v>497</v>
      </c>
      <c r="C29" s="97" t="s">
        <v>537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538</v>
      </c>
      <c r="C30" s="97" t="s">
        <v>539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540</v>
      </c>
      <c r="C31" s="97" t="s">
        <v>541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542</v>
      </c>
      <c r="C32" s="97" t="s">
        <v>543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544</v>
      </c>
      <c r="C33" s="97" t="s">
        <v>545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546</v>
      </c>
      <c r="C34" s="97" t="s">
        <v>547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548</v>
      </c>
      <c r="C35" s="97" t="s">
        <v>549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550</v>
      </c>
      <c r="C36" s="97" t="s">
        <v>551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552</v>
      </c>
      <c r="C37" s="97" t="s">
        <v>498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553</v>
      </c>
      <c r="C38" s="97" t="s">
        <v>554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5.75" thickBot="1">
      <c r="B39" s="98" t="s">
        <v>555</v>
      </c>
      <c r="C39" s="98" t="s">
        <v>556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J33" sqref="J33"/>
    </sheetView>
  </sheetViews>
  <sheetFormatPr defaultRowHeight="15"/>
  <cols>
    <col min="1" max="1" width="33.1406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5"/>
  <sheetData>
    <row r="2" spans="1:12">
      <c r="A2" t="s">
        <v>557</v>
      </c>
      <c r="B2" s="52">
        <v>4.3333333333333339</v>
      </c>
      <c r="C2" s="52">
        <v>3.333333333333333</v>
      </c>
    </row>
    <row r="3" spans="1:12">
      <c r="A3" t="s">
        <v>558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559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560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561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571</v>
      </c>
    </row>
    <row r="9" spans="1:12">
      <c r="B9" s="8" t="s">
        <v>296</v>
      </c>
      <c r="C9" s="8" t="s">
        <v>297</v>
      </c>
      <c r="D9" s="8" t="s">
        <v>565</v>
      </c>
      <c r="E9" s="8" t="s">
        <v>566</v>
      </c>
      <c r="F9" s="8" t="s">
        <v>567</v>
      </c>
      <c r="G9" s="8" t="s">
        <v>570</v>
      </c>
      <c r="H9" s="8" t="s">
        <v>568</v>
      </c>
      <c r="I9" s="8" t="s">
        <v>569</v>
      </c>
    </row>
    <row r="10" spans="1:12">
      <c r="A10" t="s">
        <v>557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558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559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564</v>
      </c>
      <c r="L12">
        <v>40</v>
      </c>
    </row>
    <row r="13" spans="1:12">
      <c r="A13" t="s">
        <v>560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561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562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563</v>
      </c>
    </row>
  </sheetData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5"/>
  <cols>
    <col min="1" max="1" width="15.42578125" bestFit="1" customWidth="1"/>
    <col min="5" max="5" width="2.85546875" bestFit="1" customWidth="1"/>
    <col min="8" max="8" width="16.140625" bestFit="1" customWidth="1"/>
    <col min="14" max="14" width="2.85546875" bestFit="1" customWidth="1"/>
    <col min="15" max="15" width="3.85546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zoomScaleNormal="100" workbookViewId="0">
      <selection activeCell="H28" sqref="H28"/>
    </sheetView>
  </sheetViews>
  <sheetFormatPr defaultRowHeight="15"/>
  <cols>
    <col min="1" max="1" width="28.5703125" style="11" customWidth="1"/>
    <col min="2" max="2" width="13.140625" style="11" customWidth="1"/>
    <col min="3" max="7" width="9.140625" style="11"/>
    <col min="8" max="8" width="12.85546875" style="11" bestFit="1" customWidth="1"/>
    <col min="9" max="9" width="19" style="11" bestFit="1" customWidth="1"/>
    <col min="10" max="243" width="9.140625" style="11"/>
    <col min="244" max="244" width="26.5703125" style="11" customWidth="1"/>
    <col min="245" max="245" width="13.140625" style="11" customWidth="1"/>
    <col min="246" max="250" width="9.140625" style="11"/>
    <col min="251" max="251" width="10.85546875" style="11" customWidth="1"/>
    <col min="252" max="252" width="23" style="11" bestFit="1" customWidth="1"/>
    <col min="253" max="253" width="10.5703125" style="11" customWidth="1"/>
    <col min="254" max="254" width="10.85546875" style="11" customWidth="1"/>
    <col min="255" max="499" width="9.140625" style="11"/>
    <col min="500" max="500" width="26.5703125" style="11" customWidth="1"/>
    <col min="501" max="501" width="13.140625" style="11" customWidth="1"/>
    <col min="502" max="506" width="9.140625" style="11"/>
    <col min="507" max="507" width="10.85546875" style="11" customWidth="1"/>
    <col min="508" max="508" width="23" style="11" bestFit="1" customWidth="1"/>
    <col min="509" max="509" width="10.5703125" style="11" customWidth="1"/>
    <col min="510" max="510" width="10.85546875" style="11" customWidth="1"/>
    <col min="511" max="755" width="9.140625" style="11"/>
    <col min="756" max="756" width="26.5703125" style="11" customWidth="1"/>
    <col min="757" max="757" width="13.140625" style="11" customWidth="1"/>
    <col min="758" max="762" width="9.140625" style="11"/>
    <col min="763" max="763" width="10.85546875" style="11" customWidth="1"/>
    <col min="764" max="764" width="23" style="11" bestFit="1" customWidth="1"/>
    <col min="765" max="765" width="10.5703125" style="11" customWidth="1"/>
    <col min="766" max="766" width="10.85546875" style="11" customWidth="1"/>
    <col min="767" max="1011" width="9.140625" style="11"/>
    <col min="1012" max="1012" width="26.5703125" style="11" customWidth="1"/>
    <col min="1013" max="1013" width="13.140625" style="11" customWidth="1"/>
    <col min="1014" max="1018" width="9.140625" style="11"/>
    <col min="1019" max="1019" width="10.85546875" style="11" customWidth="1"/>
    <col min="1020" max="1020" width="23" style="11" bestFit="1" customWidth="1"/>
    <col min="1021" max="1021" width="10.5703125" style="11" customWidth="1"/>
    <col min="1022" max="1022" width="10.85546875" style="11" customWidth="1"/>
    <col min="1023" max="1267" width="9.140625" style="11"/>
    <col min="1268" max="1268" width="26.5703125" style="11" customWidth="1"/>
    <col min="1269" max="1269" width="13.140625" style="11" customWidth="1"/>
    <col min="1270" max="1274" width="9.140625" style="11"/>
    <col min="1275" max="1275" width="10.85546875" style="11" customWidth="1"/>
    <col min="1276" max="1276" width="23" style="11" bestFit="1" customWidth="1"/>
    <col min="1277" max="1277" width="10.5703125" style="11" customWidth="1"/>
    <col min="1278" max="1278" width="10.85546875" style="11" customWidth="1"/>
    <col min="1279" max="1523" width="9.140625" style="11"/>
    <col min="1524" max="1524" width="26.5703125" style="11" customWidth="1"/>
    <col min="1525" max="1525" width="13.140625" style="11" customWidth="1"/>
    <col min="1526" max="1530" width="9.140625" style="11"/>
    <col min="1531" max="1531" width="10.85546875" style="11" customWidth="1"/>
    <col min="1532" max="1532" width="23" style="11" bestFit="1" customWidth="1"/>
    <col min="1533" max="1533" width="10.5703125" style="11" customWidth="1"/>
    <col min="1534" max="1534" width="10.85546875" style="11" customWidth="1"/>
    <col min="1535" max="1779" width="9.140625" style="11"/>
    <col min="1780" max="1780" width="26.5703125" style="11" customWidth="1"/>
    <col min="1781" max="1781" width="13.140625" style="11" customWidth="1"/>
    <col min="1782" max="1786" width="9.140625" style="11"/>
    <col min="1787" max="1787" width="10.85546875" style="11" customWidth="1"/>
    <col min="1788" max="1788" width="23" style="11" bestFit="1" customWidth="1"/>
    <col min="1789" max="1789" width="10.5703125" style="11" customWidth="1"/>
    <col min="1790" max="1790" width="10.85546875" style="11" customWidth="1"/>
    <col min="1791" max="2035" width="9.140625" style="11"/>
    <col min="2036" max="2036" width="26.5703125" style="11" customWidth="1"/>
    <col min="2037" max="2037" width="13.140625" style="11" customWidth="1"/>
    <col min="2038" max="2042" width="9.140625" style="11"/>
    <col min="2043" max="2043" width="10.85546875" style="11" customWidth="1"/>
    <col min="2044" max="2044" width="23" style="11" bestFit="1" customWidth="1"/>
    <col min="2045" max="2045" width="10.5703125" style="11" customWidth="1"/>
    <col min="2046" max="2046" width="10.85546875" style="11" customWidth="1"/>
    <col min="2047" max="2291" width="9.140625" style="11"/>
    <col min="2292" max="2292" width="26.5703125" style="11" customWidth="1"/>
    <col min="2293" max="2293" width="13.140625" style="11" customWidth="1"/>
    <col min="2294" max="2298" width="9.140625" style="11"/>
    <col min="2299" max="2299" width="10.85546875" style="11" customWidth="1"/>
    <col min="2300" max="2300" width="23" style="11" bestFit="1" customWidth="1"/>
    <col min="2301" max="2301" width="10.5703125" style="11" customWidth="1"/>
    <col min="2302" max="2302" width="10.85546875" style="11" customWidth="1"/>
    <col min="2303" max="2547" width="9.140625" style="11"/>
    <col min="2548" max="2548" width="26.5703125" style="11" customWidth="1"/>
    <col min="2549" max="2549" width="13.140625" style="11" customWidth="1"/>
    <col min="2550" max="2554" width="9.140625" style="11"/>
    <col min="2555" max="2555" width="10.85546875" style="11" customWidth="1"/>
    <col min="2556" max="2556" width="23" style="11" bestFit="1" customWidth="1"/>
    <col min="2557" max="2557" width="10.5703125" style="11" customWidth="1"/>
    <col min="2558" max="2558" width="10.85546875" style="11" customWidth="1"/>
    <col min="2559" max="2803" width="9.140625" style="11"/>
    <col min="2804" max="2804" width="26.5703125" style="11" customWidth="1"/>
    <col min="2805" max="2805" width="13.140625" style="11" customWidth="1"/>
    <col min="2806" max="2810" width="9.140625" style="11"/>
    <col min="2811" max="2811" width="10.85546875" style="11" customWidth="1"/>
    <col min="2812" max="2812" width="23" style="11" bestFit="1" customWidth="1"/>
    <col min="2813" max="2813" width="10.5703125" style="11" customWidth="1"/>
    <col min="2814" max="2814" width="10.85546875" style="11" customWidth="1"/>
    <col min="2815" max="3059" width="9.140625" style="11"/>
    <col min="3060" max="3060" width="26.5703125" style="11" customWidth="1"/>
    <col min="3061" max="3061" width="13.140625" style="11" customWidth="1"/>
    <col min="3062" max="3066" width="9.140625" style="11"/>
    <col min="3067" max="3067" width="10.85546875" style="11" customWidth="1"/>
    <col min="3068" max="3068" width="23" style="11" bestFit="1" customWidth="1"/>
    <col min="3069" max="3069" width="10.5703125" style="11" customWidth="1"/>
    <col min="3070" max="3070" width="10.85546875" style="11" customWidth="1"/>
    <col min="3071" max="3315" width="9.140625" style="11"/>
    <col min="3316" max="3316" width="26.5703125" style="11" customWidth="1"/>
    <col min="3317" max="3317" width="13.140625" style="11" customWidth="1"/>
    <col min="3318" max="3322" width="9.140625" style="11"/>
    <col min="3323" max="3323" width="10.85546875" style="11" customWidth="1"/>
    <col min="3324" max="3324" width="23" style="11" bestFit="1" customWidth="1"/>
    <col min="3325" max="3325" width="10.5703125" style="11" customWidth="1"/>
    <col min="3326" max="3326" width="10.85546875" style="11" customWidth="1"/>
    <col min="3327" max="3571" width="9.140625" style="11"/>
    <col min="3572" max="3572" width="26.5703125" style="11" customWidth="1"/>
    <col min="3573" max="3573" width="13.140625" style="11" customWidth="1"/>
    <col min="3574" max="3578" width="9.140625" style="11"/>
    <col min="3579" max="3579" width="10.85546875" style="11" customWidth="1"/>
    <col min="3580" max="3580" width="23" style="11" bestFit="1" customWidth="1"/>
    <col min="3581" max="3581" width="10.5703125" style="11" customWidth="1"/>
    <col min="3582" max="3582" width="10.85546875" style="11" customWidth="1"/>
    <col min="3583" max="3827" width="9.140625" style="11"/>
    <col min="3828" max="3828" width="26.5703125" style="11" customWidth="1"/>
    <col min="3829" max="3829" width="13.140625" style="11" customWidth="1"/>
    <col min="3830" max="3834" width="9.140625" style="11"/>
    <col min="3835" max="3835" width="10.85546875" style="11" customWidth="1"/>
    <col min="3836" max="3836" width="23" style="11" bestFit="1" customWidth="1"/>
    <col min="3837" max="3837" width="10.5703125" style="11" customWidth="1"/>
    <col min="3838" max="3838" width="10.85546875" style="11" customWidth="1"/>
    <col min="3839" max="4083" width="9.140625" style="11"/>
    <col min="4084" max="4084" width="26.5703125" style="11" customWidth="1"/>
    <col min="4085" max="4085" width="13.140625" style="11" customWidth="1"/>
    <col min="4086" max="4090" width="9.140625" style="11"/>
    <col min="4091" max="4091" width="10.85546875" style="11" customWidth="1"/>
    <col min="4092" max="4092" width="23" style="11" bestFit="1" customWidth="1"/>
    <col min="4093" max="4093" width="10.5703125" style="11" customWidth="1"/>
    <col min="4094" max="4094" width="10.85546875" style="11" customWidth="1"/>
    <col min="4095" max="4339" width="9.140625" style="11"/>
    <col min="4340" max="4340" width="26.5703125" style="11" customWidth="1"/>
    <col min="4341" max="4341" width="13.140625" style="11" customWidth="1"/>
    <col min="4342" max="4346" width="9.140625" style="11"/>
    <col min="4347" max="4347" width="10.85546875" style="11" customWidth="1"/>
    <col min="4348" max="4348" width="23" style="11" bestFit="1" customWidth="1"/>
    <col min="4349" max="4349" width="10.5703125" style="11" customWidth="1"/>
    <col min="4350" max="4350" width="10.85546875" style="11" customWidth="1"/>
    <col min="4351" max="4595" width="9.140625" style="11"/>
    <col min="4596" max="4596" width="26.5703125" style="11" customWidth="1"/>
    <col min="4597" max="4597" width="13.140625" style="11" customWidth="1"/>
    <col min="4598" max="4602" width="9.140625" style="11"/>
    <col min="4603" max="4603" width="10.85546875" style="11" customWidth="1"/>
    <col min="4604" max="4604" width="23" style="11" bestFit="1" customWidth="1"/>
    <col min="4605" max="4605" width="10.5703125" style="11" customWidth="1"/>
    <col min="4606" max="4606" width="10.85546875" style="11" customWidth="1"/>
    <col min="4607" max="4851" width="9.140625" style="11"/>
    <col min="4852" max="4852" width="26.5703125" style="11" customWidth="1"/>
    <col min="4853" max="4853" width="13.140625" style="11" customWidth="1"/>
    <col min="4854" max="4858" width="9.140625" style="11"/>
    <col min="4859" max="4859" width="10.85546875" style="11" customWidth="1"/>
    <col min="4860" max="4860" width="23" style="11" bestFit="1" customWidth="1"/>
    <col min="4861" max="4861" width="10.5703125" style="11" customWidth="1"/>
    <col min="4862" max="4862" width="10.85546875" style="11" customWidth="1"/>
    <col min="4863" max="5107" width="9.140625" style="11"/>
    <col min="5108" max="5108" width="26.5703125" style="11" customWidth="1"/>
    <col min="5109" max="5109" width="13.140625" style="11" customWidth="1"/>
    <col min="5110" max="5114" width="9.140625" style="11"/>
    <col min="5115" max="5115" width="10.85546875" style="11" customWidth="1"/>
    <col min="5116" max="5116" width="23" style="11" bestFit="1" customWidth="1"/>
    <col min="5117" max="5117" width="10.5703125" style="11" customWidth="1"/>
    <col min="5118" max="5118" width="10.85546875" style="11" customWidth="1"/>
    <col min="5119" max="5363" width="9.140625" style="11"/>
    <col min="5364" max="5364" width="26.5703125" style="11" customWidth="1"/>
    <col min="5365" max="5365" width="13.140625" style="11" customWidth="1"/>
    <col min="5366" max="5370" width="9.140625" style="11"/>
    <col min="5371" max="5371" width="10.85546875" style="11" customWidth="1"/>
    <col min="5372" max="5372" width="23" style="11" bestFit="1" customWidth="1"/>
    <col min="5373" max="5373" width="10.5703125" style="11" customWidth="1"/>
    <col min="5374" max="5374" width="10.85546875" style="11" customWidth="1"/>
    <col min="5375" max="5619" width="9.140625" style="11"/>
    <col min="5620" max="5620" width="26.5703125" style="11" customWidth="1"/>
    <col min="5621" max="5621" width="13.140625" style="11" customWidth="1"/>
    <col min="5622" max="5626" width="9.140625" style="11"/>
    <col min="5627" max="5627" width="10.85546875" style="11" customWidth="1"/>
    <col min="5628" max="5628" width="23" style="11" bestFit="1" customWidth="1"/>
    <col min="5629" max="5629" width="10.5703125" style="11" customWidth="1"/>
    <col min="5630" max="5630" width="10.85546875" style="11" customWidth="1"/>
    <col min="5631" max="5875" width="9.140625" style="11"/>
    <col min="5876" max="5876" width="26.5703125" style="11" customWidth="1"/>
    <col min="5877" max="5877" width="13.140625" style="11" customWidth="1"/>
    <col min="5878" max="5882" width="9.140625" style="11"/>
    <col min="5883" max="5883" width="10.85546875" style="11" customWidth="1"/>
    <col min="5884" max="5884" width="23" style="11" bestFit="1" customWidth="1"/>
    <col min="5885" max="5885" width="10.5703125" style="11" customWidth="1"/>
    <col min="5886" max="5886" width="10.85546875" style="11" customWidth="1"/>
    <col min="5887" max="6131" width="9.140625" style="11"/>
    <col min="6132" max="6132" width="26.5703125" style="11" customWidth="1"/>
    <col min="6133" max="6133" width="13.140625" style="11" customWidth="1"/>
    <col min="6134" max="6138" width="9.140625" style="11"/>
    <col min="6139" max="6139" width="10.85546875" style="11" customWidth="1"/>
    <col min="6140" max="6140" width="23" style="11" bestFit="1" customWidth="1"/>
    <col min="6141" max="6141" width="10.5703125" style="11" customWidth="1"/>
    <col min="6142" max="6142" width="10.85546875" style="11" customWidth="1"/>
    <col min="6143" max="6387" width="9.140625" style="11"/>
    <col min="6388" max="6388" width="26.5703125" style="11" customWidth="1"/>
    <col min="6389" max="6389" width="13.140625" style="11" customWidth="1"/>
    <col min="6390" max="6394" width="9.140625" style="11"/>
    <col min="6395" max="6395" width="10.85546875" style="11" customWidth="1"/>
    <col min="6396" max="6396" width="23" style="11" bestFit="1" customWidth="1"/>
    <col min="6397" max="6397" width="10.5703125" style="11" customWidth="1"/>
    <col min="6398" max="6398" width="10.85546875" style="11" customWidth="1"/>
    <col min="6399" max="6643" width="9.140625" style="11"/>
    <col min="6644" max="6644" width="26.5703125" style="11" customWidth="1"/>
    <col min="6645" max="6645" width="13.140625" style="11" customWidth="1"/>
    <col min="6646" max="6650" width="9.140625" style="11"/>
    <col min="6651" max="6651" width="10.85546875" style="11" customWidth="1"/>
    <col min="6652" max="6652" width="23" style="11" bestFit="1" customWidth="1"/>
    <col min="6653" max="6653" width="10.5703125" style="11" customWidth="1"/>
    <col min="6654" max="6654" width="10.85546875" style="11" customWidth="1"/>
    <col min="6655" max="6899" width="9.140625" style="11"/>
    <col min="6900" max="6900" width="26.5703125" style="11" customWidth="1"/>
    <col min="6901" max="6901" width="13.140625" style="11" customWidth="1"/>
    <col min="6902" max="6906" width="9.140625" style="11"/>
    <col min="6907" max="6907" width="10.85546875" style="11" customWidth="1"/>
    <col min="6908" max="6908" width="23" style="11" bestFit="1" customWidth="1"/>
    <col min="6909" max="6909" width="10.5703125" style="11" customWidth="1"/>
    <col min="6910" max="6910" width="10.85546875" style="11" customWidth="1"/>
    <col min="6911" max="7155" width="9.140625" style="11"/>
    <col min="7156" max="7156" width="26.5703125" style="11" customWidth="1"/>
    <col min="7157" max="7157" width="13.140625" style="11" customWidth="1"/>
    <col min="7158" max="7162" width="9.140625" style="11"/>
    <col min="7163" max="7163" width="10.85546875" style="11" customWidth="1"/>
    <col min="7164" max="7164" width="23" style="11" bestFit="1" customWidth="1"/>
    <col min="7165" max="7165" width="10.5703125" style="11" customWidth="1"/>
    <col min="7166" max="7166" width="10.85546875" style="11" customWidth="1"/>
    <col min="7167" max="7411" width="9.140625" style="11"/>
    <col min="7412" max="7412" width="26.5703125" style="11" customWidth="1"/>
    <col min="7413" max="7413" width="13.140625" style="11" customWidth="1"/>
    <col min="7414" max="7418" width="9.140625" style="11"/>
    <col min="7419" max="7419" width="10.85546875" style="11" customWidth="1"/>
    <col min="7420" max="7420" width="23" style="11" bestFit="1" customWidth="1"/>
    <col min="7421" max="7421" width="10.5703125" style="11" customWidth="1"/>
    <col min="7422" max="7422" width="10.85546875" style="11" customWidth="1"/>
    <col min="7423" max="7667" width="9.140625" style="11"/>
    <col min="7668" max="7668" width="26.5703125" style="11" customWidth="1"/>
    <col min="7669" max="7669" width="13.140625" style="11" customWidth="1"/>
    <col min="7670" max="7674" width="9.140625" style="11"/>
    <col min="7675" max="7675" width="10.85546875" style="11" customWidth="1"/>
    <col min="7676" max="7676" width="23" style="11" bestFit="1" customWidth="1"/>
    <col min="7677" max="7677" width="10.5703125" style="11" customWidth="1"/>
    <col min="7678" max="7678" width="10.85546875" style="11" customWidth="1"/>
    <col min="7679" max="7923" width="9.140625" style="11"/>
    <col min="7924" max="7924" width="26.5703125" style="11" customWidth="1"/>
    <col min="7925" max="7925" width="13.140625" style="11" customWidth="1"/>
    <col min="7926" max="7930" width="9.140625" style="11"/>
    <col min="7931" max="7931" width="10.85546875" style="11" customWidth="1"/>
    <col min="7932" max="7932" width="23" style="11" bestFit="1" customWidth="1"/>
    <col min="7933" max="7933" width="10.5703125" style="11" customWidth="1"/>
    <col min="7934" max="7934" width="10.85546875" style="11" customWidth="1"/>
    <col min="7935" max="8179" width="9.140625" style="11"/>
    <col min="8180" max="8180" width="26.5703125" style="11" customWidth="1"/>
    <col min="8181" max="8181" width="13.140625" style="11" customWidth="1"/>
    <col min="8182" max="8186" width="9.140625" style="11"/>
    <col min="8187" max="8187" width="10.85546875" style="11" customWidth="1"/>
    <col min="8188" max="8188" width="23" style="11" bestFit="1" customWidth="1"/>
    <col min="8189" max="8189" width="10.5703125" style="11" customWidth="1"/>
    <col min="8190" max="8190" width="10.85546875" style="11" customWidth="1"/>
    <col min="8191" max="8435" width="9.140625" style="11"/>
    <col min="8436" max="8436" width="26.5703125" style="11" customWidth="1"/>
    <col min="8437" max="8437" width="13.140625" style="11" customWidth="1"/>
    <col min="8438" max="8442" width="9.140625" style="11"/>
    <col min="8443" max="8443" width="10.85546875" style="11" customWidth="1"/>
    <col min="8444" max="8444" width="23" style="11" bestFit="1" customWidth="1"/>
    <col min="8445" max="8445" width="10.5703125" style="11" customWidth="1"/>
    <col min="8446" max="8446" width="10.85546875" style="11" customWidth="1"/>
    <col min="8447" max="8691" width="9.140625" style="11"/>
    <col min="8692" max="8692" width="26.5703125" style="11" customWidth="1"/>
    <col min="8693" max="8693" width="13.140625" style="11" customWidth="1"/>
    <col min="8694" max="8698" width="9.140625" style="11"/>
    <col min="8699" max="8699" width="10.85546875" style="11" customWidth="1"/>
    <col min="8700" max="8700" width="23" style="11" bestFit="1" customWidth="1"/>
    <col min="8701" max="8701" width="10.5703125" style="11" customWidth="1"/>
    <col min="8702" max="8702" width="10.85546875" style="11" customWidth="1"/>
    <col min="8703" max="8947" width="9.140625" style="11"/>
    <col min="8948" max="8948" width="26.5703125" style="11" customWidth="1"/>
    <col min="8949" max="8949" width="13.140625" style="11" customWidth="1"/>
    <col min="8950" max="8954" width="9.140625" style="11"/>
    <col min="8955" max="8955" width="10.85546875" style="11" customWidth="1"/>
    <col min="8956" max="8956" width="23" style="11" bestFit="1" customWidth="1"/>
    <col min="8957" max="8957" width="10.5703125" style="11" customWidth="1"/>
    <col min="8958" max="8958" width="10.85546875" style="11" customWidth="1"/>
    <col min="8959" max="9203" width="9.140625" style="11"/>
    <col min="9204" max="9204" width="26.5703125" style="11" customWidth="1"/>
    <col min="9205" max="9205" width="13.140625" style="11" customWidth="1"/>
    <col min="9206" max="9210" width="9.140625" style="11"/>
    <col min="9211" max="9211" width="10.85546875" style="11" customWidth="1"/>
    <col min="9212" max="9212" width="23" style="11" bestFit="1" customWidth="1"/>
    <col min="9213" max="9213" width="10.5703125" style="11" customWidth="1"/>
    <col min="9214" max="9214" width="10.85546875" style="11" customWidth="1"/>
    <col min="9215" max="9459" width="9.140625" style="11"/>
    <col min="9460" max="9460" width="26.5703125" style="11" customWidth="1"/>
    <col min="9461" max="9461" width="13.140625" style="11" customWidth="1"/>
    <col min="9462" max="9466" width="9.140625" style="11"/>
    <col min="9467" max="9467" width="10.85546875" style="11" customWidth="1"/>
    <col min="9468" max="9468" width="23" style="11" bestFit="1" customWidth="1"/>
    <col min="9469" max="9469" width="10.5703125" style="11" customWidth="1"/>
    <col min="9470" max="9470" width="10.85546875" style="11" customWidth="1"/>
    <col min="9471" max="9715" width="9.140625" style="11"/>
    <col min="9716" max="9716" width="26.5703125" style="11" customWidth="1"/>
    <col min="9717" max="9717" width="13.140625" style="11" customWidth="1"/>
    <col min="9718" max="9722" width="9.140625" style="11"/>
    <col min="9723" max="9723" width="10.85546875" style="11" customWidth="1"/>
    <col min="9724" max="9724" width="23" style="11" bestFit="1" customWidth="1"/>
    <col min="9725" max="9725" width="10.5703125" style="11" customWidth="1"/>
    <col min="9726" max="9726" width="10.85546875" style="11" customWidth="1"/>
    <col min="9727" max="9971" width="9.140625" style="11"/>
    <col min="9972" max="9972" width="26.5703125" style="11" customWidth="1"/>
    <col min="9973" max="9973" width="13.140625" style="11" customWidth="1"/>
    <col min="9974" max="9978" width="9.140625" style="11"/>
    <col min="9979" max="9979" width="10.85546875" style="11" customWidth="1"/>
    <col min="9980" max="9980" width="23" style="11" bestFit="1" customWidth="1"/>
    <col min="9981" max="9981" width="10.5703125" style="11" customWidth="1"/>
    <col min="9982" max="9982" width="10.85546875" style="11" customWidth="1"/>
    <col min="9983" max="10227" width="9.140625" style="11"/>
    <col min="10228" max="10228" width="26.5703125" style="11" customWidth="1"/>
    <col min="10229" max="10229" width="13.140625" style="11" customWidth="1"/>
    <col min="10230" max="10234" width="9.140625" style="11"/>
    <col min="10235" max="10235" width="10.85546875" style="11" customWidth="1"/>
    <col min="10236" max="10236" width="23" style="11" bestFit="1" customWidth="1"/>
    <col min="10237" max="10237" width="10.5703125" style="11" customWidth="1"/>
    <col min="10238" max="10238" width="10.85546875" style="11" customWidth="1"/>
    <col min="10239" max="10483" width="9.140625" style="11"/>
    <col min="10484" max="10484" width="26.5703125" style="11" customWidth="1"/>
    <col min="10485" max="10485" width="13.140625" style="11" customWidth="1"/>
    <col min="10486" max="10490" width="9.140625" style="11"/>
    <col min="10491" max="10491" width="10.85546875" style="11" customWidth="1"/>
    <col min="10492" max="10492" width="23" style="11" bestFit="1" customWidth="1"/>
    <col min="10493" max="10493" width="10.5703125" style="11" customWidth="1"/>
    <col min="10494" max="10494" width="10.85546875" style="11" customWidth="1"/>
    <col min="10495" max="10739" width="9.140625" style="11"/>
    <col min="10740" max="10740" width="26.5703125" style="11" customWidth="1"/>
    <col min="10741" max="10741" width="13.140625" style="11" customWidth="1"/>
    <col min="10742" max="10746" width="9.140625" style="11"/>
    <col min="10747" max="10747" width="10.85546875" style="11" customWidth="1"/>
    <col min="10748" max="10748" width="23" style="11" bestFit="1" customWidth="1"/>
    <col min="10749" max="10749" width="10.5703125" style="11" customWidth="1"/>
    <col min="10750" max="10750" width="10.85546875" style="11" customWidth="1"/>
    <col min="10751" max="10995" width="9.140625" style="11"/>
    <col min="10996" max="10996" width="26.5703125" style="11" customWidth="1"/>
    <col min="10997" max="10997" width="13.140625" style="11" customWidth="1"/>
    <col min="10998" max="11002" width="9.140625" style="11"/>
    <col min="11003" max="11003" width="10.85546875" style="11" customWidth="1"/>
    <col min="11004" max="11004" width="23" style="11" bestFit="1" customWidth="1"/>
    <col min="11005" max="11005" width="10.5703125" style="11" customWidth="1"/>
    <col min="11006" max="11006" width="10.85546875" style="11" customWidth="1"/>
    <col min="11007" max="11251" width="9.140625" style="11"/>
    <col min="11252" max="11252" width="26.5703125" style="11" customWidth="1"/>
    <col min="11253" max="11253" width="13.140625" style="11" customWidth="1"/>
    <col min="11254" max="11258" width="9.140625" style="11"/>
    <col min="11259" max="11259" width="10.85546875" style="11" customWidth="1"/>
    <col min="11260" max="11260" width="23" style="11" bestFit="1" customWidth="1"/>
    <col min="11261" max="11261" width="10.5703125" style="11" customWidth="1"/>
    <col min="11262" max="11262" width="10.85546875" style="11" customWidth="1"/>
    <col min="11263" max="11507" width="9.140625" style="11"/>
    <col min="11508" max="11508" width="26.5703125" style="11" customWidth="1"/>
    <col min="11509" max="11509" width="13.140625" style="11" customWidth="1"/>
    <col min="11510" max="11514" width="9.140625" style="11"/>
    <col min="11515" max="11515" width="10.85546875" style="11" customWidth="1"/>
    <col min="11516" max="11516" width="23" style="11" bestFit="1" customWidth="1"/>
    <col min="11517" max="11517" width="10.5703125" style="11" customWidth="1"/>
    <col min="11518" max="11518" width="10.85546875" style="11" customWidth="1"/>
    <col min="11519" max="11763" width="9.140625" style="11"/>
    <col min="11764" max="11764" width="26.5703125" style="11" customWidth="1"/>
    <col min="11765" max="11765" width="13.140625" style="11" customWidth="1"/>
    <col min="11766" max="11770" width="9.140625" style="11"/>
    <col min="11771" max="11771" width="10.85546875" style="11" customWidth="1"/>
    <col min="11772" max="11772" width="23" style="11" bestFit="1" customWidth="1"/>
    <col min="11773" max="11773" width="10.5703125" style="11" customWidth="1"/>
    <col min="11774" max="11774" width="10.85546875" style="11" customWidth="1"/>
    <col min="11775" max="12019" width="9.140625" style="11"/>
    <col min="12020" max="12020" width="26.5703125" style="11" customWidth="1"/>
    <col min="12021" max="12021" width="13.140625" style="11" customWidth="1"/>
    <col min="12022" max="12026" width="9.140625" style="11"/>
    <col min="12027" max="12027" width="10.85546875" style="11" customWidth="1"/>
    <col min="12028" max="12028" width="23" style="11" bestFit="1" customWidth="1"/>
    <col min="12029" max="12029" width="10.5703125" style="11" customWidth="1"/>
    <col min="12030" max="12030" width="10.85546875" style="11" customWidth="1"/>
    <col min="12031" max="12275" width="9.140625" style="11"/>
    <col min="12276" max="12276" width="26.5703125" style="11" customWidth="1"/>
    <col min="12277" max="12277" width="13.140625" style="11" customWidth="1"/>
    <col min="12278" max="12282" width="9.140625" style="11"/>
    <col min="12283" max="12283" width="10.85546875" style="11" customWidth="1"/>
    <col min="12284" max="12284" width="23" style="11" bestFit="1" customWidth="1"/>
    <col min="12285" max="12285" width="10.5703125" style="11" customWidth="1"/>
    <col min="12286" max="12286" width="10.85546875" style="11" customWidth="1"/>
    <col min="12287" max="12531" width="9.140625" style="11"/>
    <col min="12532" max="12532" width="26.5703125" style="11" customWidth="1"/>
    <col min="12533" max="12533" width="13.140625" style="11" customWidth="1"/>
    <col min="12534" max="12538" width="9.140625" style="11"/>
    <col min="12539" max="12539" width="10.85546875" style="11" customWidth="1"/>
    <col min="12540" max="12540" width="23" style="11" bestFit="1" customWidth="1"/>
    <col min="12541" max="12541" width="10.5703125" style="11" customWidth="1"/>
    <col min="12542" max="12542" width="10.85546875" style="11" customWidth="1"/>
    <col min="12543" max="12787" width="9.140625" style="11"/>
    <col min="12788" max="12788" width="26.5703125" style="11" customWidth="1"/>
    <col min="12789" max="12789" width="13.140625" style="11" customWidth="1"/>
    <col min="12790" max="12794" width="9.140625" style="11"/>
    <col min="12795" max="12795" width="10.85546875" style="11" customWidth="1"/>
    <col min="12796" max="12796" width="23" style="11" bestFit="1" customWidth="1"/>
    <col min="12797" max="12797" width="10.5703125" style="11" customWidth="1"/>
    <col min="12798" max="12798" width="10.85546875" style="11" customWidth="1"/>
    <col min="12799" max="13043" width="9.140625" style="11"/>
    <col min="13044" max="13044" width="26.5703125" style="11" customWidth="1"/>
    <col min="13045" max="13045" width="13.140625" style="11" customWidth="1"/>
    <col min="13046" max="13050" width="9.140625" style="11"/>
    <col min="13051" max="13051" width="10.85546875" style="11" customWidth="1"/>
    <col min="13052" max="13052" width="23" style="11" bestFit="1" customWidth="1"/>
    <col min="13053" max="13053" width="10.5703125" style="11" customWidth="1"/>
    <col min="13054" max="13054" width="10.85546875" style="11" customWidth="1"/>
    <col min="13055" max="13299" width="9.140625" style="11"/>
    <col min="13300" max="13300" width="26.5703125" style="11" customWidth="1"/>
    <col min="13301" max="13301" width="13.140625" style="11" customWidth="1"/>
    <col min="13302" max="13306" width="9.140625" style="11"/>
    <col min="13307" max="13307" width="10.85546875" style="11" customWidth="1"/>
    <col min="13308" max="13308" width="23" style="11" bestFit="1" customWidth="1"/>
    <col min="13309" max="13309" width="10.5703125" style="11" customWidth="1"/>
    <col min="13310" max="13310" width="10.85546875" style="11" customWidth="1"/>
    <col min="13311" max="13555" width="9.140625" style="11"/>
    <col min="13556" max="13556" width="26.5703125" style="11" customWidth="1"/>
    <col min="13557" max="13557" width="13.140625" style="11" customWidth="1"/>
    <col min="13558" max="13562" width="9.140625" style="11"/>
    <col min="13563" max="13563" width="10.85546875" style="11" customWidth="1"/>
    <col min="13564" max="13564" width="23" style="11" bestFit="1" customWidth="1"/>
    <col min="13565" max="13565" width="10.5703125" style="11" customWidth="1"/>
    <col min="13566" max="13566" width="10.85546875" style="11" customWidth="1"/>
    <col min="13567" max="13811" width="9.140625" style="11"/>
    <col min="13812" max="13812" width="26.5703125" style="11" customWidth="1"/>
    <col min="13813" max="13813" width="13.140625" style="11" customWidth="1"/>
    <col min="13814" max="13818" width="9.140625" style="11"/>
    <col min="13819" max="13819" width="10.85546875" style="11" customWidth="1"/>
    <col min="13820" max="13820" width="23" style="11" bestFit="1" customWidth="1"/>
    <col min="13821" max="13821" width="10.5703125" style="11" customWidth="1"/>
    <col min="13822" max="13822" width="10.85546875" style="11" customWidth="1"/>
    <col min="13823" max="14067" width="9.140625" style="11"/>
    <col min="14068" max="14068" width="26.5703125" style="11" customWidth="1"/>
    <col min="14069" max="14069" width="13.140625" style="11" customWidth="1"/>
    <col min="14070" max="14074" width="9.140625" style="11"/>
    <col min="14075" max="14075" width="10.85546875" style="11" customWidth="1"/>
    <col min="14076" max="14076" width="23" style="11" bestFit="1" customWidth="1"/>
    <col min="14077" max="14077" width="10.5703125" style="11" customWidth="1"/>
    <col min="14078" max="14078" width="10.85546875" style="11" customWidth="1"/>
    <col min="14079" max="14323" width="9.140625" style="11"/>
    <col min="14324" max="14324" width="26.5703125" style="11" customWidth="1"/>
    <col min="14325" max="14325" width="13.140625" style="11" customWidth="1"/>
    <col min="14326" max="14330" width="9.140625" style="11"/>
    <col min="14331" max="14331" width="10.85546875" style="11" customWidth="1"/>
    <col min="14332" max="14332" width="23" style="11" bestFit="1" customWidth="1"/>
    <col min="14333" max="14333" width="10.5703125" style="11" customWidth="1"/>
    <col min="14334" max="14334" width="10.85546875" style="11" customWidth="1"/>
    <col min="14335" max="14579" width="9.140625" style="11"/>
    <col min="14580" max="14580" width="26.5703125" style="11" customWidth="1"/>
    <col min="14581" max="14581" width="13.140625" style="11" customWidth="1"/>
    <col min="14582" max="14586" width="9.140625" style="11"/>
    <col min="14587" max="14587" width="10.85546875" style="11" customWidth="1"/>
    <col min="14588" max="14588" width="23" style="11" bestFit="1" customWidth="1"/>
    <col min="14589" max="14589" width="10.5703125" style="11" customWidth="1"/>
    <col min="14590" max="14590" width="10.85546875" style="11" customWidth="1"/>
    <col min="14591" max="14835" width="9.140625" style="11"/>
    <col min="14836" max="14836" width="26.5703125" style="11" customWidth="1"/>
    <col min="14837" max="14837" width="13.140625" style="11" customWidth="1"/>
    <col min="14838" max="14842" width="9.140625" style="11"/>
    <col min="14843" max="14843" width="10.85546875" style="11" customWidth="1"/>
    <col min="14844" max="14844" width="23" style="11" bestFit="1" customWidth="1"/>
    <col min="14845" max="14845" width="10.5703125" style="11" customWidth="1"/>
    <col min="14846" max="14846" width="10.85546875" style="11" customWidth="1"/>
    <col min="14847" max="15091" width="9.140625" style="11"/>
    <col min="15092" max="15092" width="26.5703125" style="11" customWidth="1"/>
    <col min="15093" max="15093" width="13.140625" style="11" customWidth="1"/>
    <col min="15094" max="15098" width="9.140625" style="11"/>
    <col min="15099" max="15099" width="10.85546875" style="11" customWidth="1"/>
    <col min="15100" max="15100" width="23" style="11" bestFit="1" customWidth="1"/>
    <col min="15101" max="15101" width="10.5703125" style="11" customWidth="1"/>
    <col min="15102" max="15102" width="10.85546875" style="11" customWidth="1"/>
    <col min="15103" max="15347" width="9.140625" style="11"/>
    <col min="15348" max="15348" width="26.5703125" style="11" customWidth="1"/>
    <col min="15349" max="15349" width="13.140625" style="11" customWidth="1"/>
    <col min="15350" max="15354" width="9.140625" style="11"/>
    <col min="15355" max="15355" width="10.85546875" style="11" customWidth="1"/>
    <col min="15356" max="15356" width="23" style="11" bestFit="1" customWidth="1"/>
    <col min="15357" max="15357" width="10.5703125" style="11" customWidth="1"/>
    <col min="15358" max="15358" width="10.85546875" style="11" customWidth="1"/>
    <col min="15359" max="15603" width="9.140625" style="11"/>
    <col min="15604" max="15604" width="26.5703125" style="11" customWidth="1"/>
    <col min="15605" max="15605" width="13.140625" style="11" customWidth="1"/>
    <col min="15606" max="15610" width="9.140625" style="11"/>
    <col min="15611" max="15611" width="10.85546875" style="11" customWidth="1"/>
    <col min="15612" max="15612" width="23" style="11" bestFit="1" customWidth="1"/>
    <col min="15613" max="15613" width="10.5703125" style="11" customWidth="1"/>
    <col min="15614" max="15614" width="10.85546875" style="11" customWidth="1"/>
    <col min="15615" max="15859" width="9.140625" style="11"/>
    <col min="15860" max="15860" width="26.5703125" style="11" customWidth="1"/>
    <col min="15861" max="15861" width="13.140625" style="11" customWidth="1"/>
    <col min="15862" max="15866" width="9.140625" style="11"/>
    <col min="15867" max="15867" width="10.85546875" style="11" customWidth="1"/>
    <col min="15868" max="15868" width="23" style="11" bestFit="1" customWidth="1"/>
    <col min="15869" max="15869" width="10.5703125" style="11" customWidth="1"/>
    <col min="15870" max="15870" width="10.85546875" style="11" customWidth="1"/>
    <col min="15871" max="16115" width="9.140625" style="11"/>
    <col min="16116" max="16116" width="26.5703125" style="11" customWidth="1"/>
    <col min="16117" max="16117" width="13.140625" style="11" customWidth="1"/>
    <col min="16118" max="16122" width="9.140625" style="11"/>
    <col min="16123" max="16123" width="10.85546875" style="11" customWidth="1"/>
    <col min="16124" max="16124" width="23" style="11" bestFit="1" customWidth="1"/>
    <col min="16125" max="16125" width="10.5703125" style="11" customWidth="1"/>
    <col min="16126" max="16126" width="10.85546875" style="11" customWidth="1"/>
    <col min="16127" max="16384" width="9.1406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573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577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572</v>
      </c>
      <c r="I20" s="11" t="s">
        <v>575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576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574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F35" sqref="F35"/>
    </sheetView>
  </sheetViews>
  <sheetFormatPr defaultRowHeight="15"/>
  <cols>
    <col min="1" max="1" width="1.42578125" customWidth="1"/>
    <col min="2" max="2" width="7.42578125" bestFit="1" customWidth="1"/>
    <col min="3" max="3" width="7.140625" bestFit="1" customWidth="1"/>
    <col min="4" max="4" width="5.5703125" bestFit="1" customWidth="1"/>
    <col min="5" max="5" width="9.5703125" bestFit="1" customWidth="1"/>
    <col min="6" max="6" width="11" bestFit="1" customWidth="1"/>
    <col min="7" max="7" width="9.5703125" bestFit="1" customWidth="1"/>
    <col min="8" max="8" width="17.140625" customWidth="1"/>
    <col min="9" max="9" width="11" bestFit="1" customWidth="1"/>
    <col min="10" max="10" width="9.5703125" bestFit="1" customWidth="1"/>
    <col min="11" max="11" width="9.1406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5.75" thickBot="1"/>
    <row r="24" spans="2:11" ht="15.75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5"/>
  <cols>
    <col min="1" max="1" width="23.5703125" style="11" customWidth="1"/>
    <col min="2" max="2" width="12.140625" style="11" customWidth="1"/>
    <col min="3" max="3" width="11.5703125" style="11" customWidth="1"/>
    <col min="4" max="4" width="12" style="11" customWidth="1"/>
    <col min="5" max="5" width="10.85546875" style="11" customWidth="1"/>
    <col min="6" max="6" width="15.85546875" style="11" bestFit="1" customWidth="1"/>
    <col min="7" max="253" width="9.140625" style="11"/>
    <col min="254" max="254" width="23.5703125" style="11" customWidth="1"/>
    <col min="255" max="255" width="12.140625" style="11" customWidth="1"/>
    <col min="256" max="256" width="11.5703125" style="11" customWidth="1"/>
    <col min="257" max="257" width="12" style="11" customWidth="1"/>
    <col min="258" max="258" width="10.85546875" style="11" customWidth="1"/>
    <col min="259" max="259" width="21.140625" style="11" bestFit="1" customWidth="1"/>
    <col min="260" max="260" width="14.5703125" style="11" customWidth="1"/>
    <col min="261" max="509" width="9.140625" style="11"/>
    <col min="510" max="510" width="23.5703125" style="11" customWidth="1"/>
    <col min="511" max="511" width="12.140625" style="11" customWidth="1"/>
    <col min="512" max="512" width="11.5703125" style="11" customWidth="1"/>
    <col min="513" max="513" width="12" style="11" customWidth="1"/>
    <col min="514" max="514" width="10.85546875" style="11" customWidth="1"/>
    <col min="515" max="515" width="21.140625" style="11" bestFit="1" customWidth="1"/>
    <col min="516" max="516" width="14.5703125" style="11" customWidth="1"/>
    <col min="517" max="765" width="9.140625" style="11"/>
    <col min="766" max="766" width="23.5703125" style="11" customWidth="1"/>
    <col min="767" max="767" width="12.140625" style="11" customWidth="1"/>
    <col min="768" max="768" width="11.5703125" style="11" customWidth="1"/>
    <col min="769" max="769" width="12" style="11" customWidth="1"/>
    <col min="770" max="770" width="10.85546875" style="11" customWidth="1"/>
    <col min="771" max="771" width="21.140625" style="11" bestFit="1" customWidth="1"/>
    <col min="772" max="772" width="14.5703125" style="11" customWidth="1"/>
    <col min="773" max="1021" width="9.140625" style="11"/>
    <col min="1022" max="1022" width="23.5703125" style="11" customWidth="1"/>
    <col min="1023" max="1023" width="12.140625" style="11" customWidth="1"/>
    <col min="1024" max="1024" width="11.5703125" style="11" customWidth="1"/>
    <col min="1025" max="1025" width="12" style="11" customWidth="1"/>
    <col min="1026" max="1026" width="10.85546875" style="11" customWidth="1"/>
    <col min="1027" max="1027" width="21.140625" style="11" bestFit="1" customWidth="1"/>
    <col min="1028" max="1028" width="14.5703125" style="11" customWidth="1"/>
    <col min="1029" max="1277" width="9.140625" style="11"/>
    <col min="1278" max="1278" width="23.5703125" style="11" customWidth="1"/>
    <col min="1279" max="1279" width="12.140625" style="11" customWidth="1"/>
    <col min="1280" max="1280" width="11.5703125" style="11" customWidth="1"/>
    <col min="1281" max="1281" width="12" style="11" customWidth="1"/>
    <col min="1282" max="1282" width="10.85546875" style="11" customWidth="1"/>
    <col min="1283" max="1283" width="21.140625" style="11" bestFit="1" customWidth="1"/>
    <col min="1284" max="1284" width="14.5703125" style="11" customWidth="1"/>
    <col min="1285" max="1533" width="9.140625" style="11"/>
    <col min="1534" max="1534" width="23.5703125" style="11" customWidth="1"/>
    <col min="1535" max="1535" width="12.140625" style="11" customWidth="1"/>
    <col min="1536" max="1536" width="11.5703125" style="11" customWidth="1"/>
    <col min="1537" max="1537" width="12" style="11" customWidth="1"/>
    <col min="1538" max="1538" width="10.85546875" style="11" customWidth="1"/>
    <col min="1539" max="1539" width="21.140625" style="11" bestFit="1" customWidth="1"/>
    <col min="1540" max="1540" width="14.5703125" style="11" customWidth="1"/>
    <col min="1541" max="1789" width="9.140625" style="11"/>
    <col min="1790" max="1790" width="23.5703125" style="11" customWidth="1"/>
    <col min="1791" max="1791" width="12.140625" style="11" customWidth="1"/>
    <col min="1792" max="1792" width="11.5703125" style="11" customWidth="1"/>
    <col min="1793" max="1793" width="12" style="11" customWidth="1"/>
    <col min="1794" max="1794" width="10.85546875" style="11" customWidth="1"/>
    <col min="1795" max="1795" width="21.140625" style="11" bestFit="1" customWidth="1"/>
    <col min="1796" max="1796" width="14.5703125" style="11" customWidth="1"/>
    <col min="1797" max="2045" width="9.140625" style="11"/>
    <col min="2046" max="2046" width="23.5703125" style="11" customWidth="1"/>
    <col min="2047" max="2047" width="12.140625" style="11" customWidth="1"/>
    <col min="2048" max="2048" width="11.5703125" style="11" customWidth="1"/>
    <col min="2049" max="2049" width="12" style="11" customWidth="1"/>
    <col min="2050" max="2050" width="10.85546875" style="11" customWidth="1"/>
    <col min="2051" max="2051" width="21.140625" style="11" bestFit="1" customWidth="1"/>
    <col min="2052" max="2052" width="14.5703125" style="11" customWidth="1"/>
    <col min="2053" max="2301" width="9.140625" style="11"/>
    <col min="2302" max="2302" width="23.5703125" style="11" customWidth="1"/>
    <col min="2303" max="2303" width="12.140625" style="11" customWidth="1"/>
    <col min="2304" max="2304" width="11.5703125" style="11" customWidth="1"/>
    <col min="2305" max="2305" width="12" style="11" customWidth="1"/>
    <col min="2306" max="2306" width="10.85546875" style="11" customWidth="1"/>
    <col min="2307" max="2307" width="21.140625" style="11" bestFit="1" customWidth="1"/>
    <col min="2308" max="2308" width="14.5703125" style="11" customWidth="1"/>
    <col min="2309" max="2557" width="9.140625" style="11"/>
    <col min="2558" max="2558" width="23.5703125" style="11" customWidth="1"/>
    <col min="2559" max="2559" width="12.140625" style="11" customWidth="1"/>
    <col min="2560" max="2560" width="11.5703125" style="11" customWidth="1"/>
    <col min="2561" max="2561" width="12" style="11" customWidth="1"/>
    <col min="2562" max="2562" width="10.85546875" style="11" customWidth="1"/>
    <col min="2563" max="2563" width="21.140625" style="11" bestFit="1" customWidth="1"/>
    <col min="2564" max="2564" width="14.5703125" style="11" customWidth="1"/>
    <col min="2565" max="2813" width="9.140625" style="11"/>
    <col min="2814" max="2814" width="23.5703125" style="11" customWidth="1"/>
    <col min="2815" max="2815" width="12.140625" style="11" customWidth="1"/>
    <col min="2816" max="2816" width="11.5703125" style="11" customWidth="1"/>
    <col min="2817" max="2817" width="12" style="11" customWidth="1"/>
    <col min="2818" max="2818" width="10.85546875" style="11" customWidth="1"/>
    <col min="2819" max="2819" width="21.140625" style="11" bestFit="1" customWidth="1"/>
    <col min="2820" max="2820" width="14.5703125" style="11" customWidth="1"/>
    <col min="2821" max="3069" width="9.140625" style="11"/>
    <col min="3070" max="3070" width="23.5703125" style="11" customWidth="1"/>
    <col min="3071" max="3071" width="12.140625" style="11" customWidth="1"/>
    <col min="3072" max="3072" width="11.5703125" style="11" customWidth="1"/>
    <col min="3073" max="3073" width="12" style="11" customWidth="1"/>
    <col min="3074" max="3074" width="10.85546875" style="11" customWidth="1"/>
    <col min="3075" max="3075" width="21.140625" style="11" bestFit="1" customWidth="1"/>
    <col min="3076" max="3076" width="14.5703125" style="11" customWidth="1"/>
    <col min="3077" max="3325" width="9.140625" style="11"/>
    <col min="3326" max="3326" width="23.5703125" style="11" customWidth="1"/>
    <col min="3327" max="3327" width="12.140625" style="11" customWidth="1"/>
    <col min="3328" max="3328" width="11.5703125" style="11" customWidth="1"/>
    <col min="3329" max="3329" width="12" style="11" customWidth="1"/>
    <col min="3330" max="3330" width="10.85546875" style="11" customWidth="1"/>
    <col min="3331" max="3331" width="21.140625" style="11" bestFit="1" customWidth="1"/>
    <col min="3332" max="3332" width="14.5703125" style="11" customWidth="1"/>
    <col min="3333" max="3581" width="9.140625" style="11"/>
    <col min="3582" max="3582" width="23.5703125" style="11" customWidth="1"/>
    <col min="3583" max="3583" width="12.140625" style="11" customWidth="1"/>
    <col min="3584" max="3584" width="11.5703125" style="11" customWidth="1"/>
    <col min="3585" max="3585" width="12" style="11" customWidth="1"/>
    <col min="3586" max="3586" width="10.85546875" style="11" customWidth="1"/>
    <col min="3587" max="3587" width="21.140625" style="11" bestFit="1" customWidth="1"/>
    <col min="3588" max="3588" width="14.5703125" style="11" customWidth="1"/>
    <col min="3589" max="3837" width="9.140625" style="11"/>
    <col min="3838" max="3838" width="23.5703125" style="11" customWidth="1"/>
    <col min="3839" max="3839" width="12.140625" style="11" customWidth="1"/>
    <col min="3840" max="3840" width="11.5703125" style="11" customWidth="1"/>
    <col min="3841" max="3841" width="12" style="11" customWidth="1"/>
    <col min="3842" max="3842" width="10.85546875" style="11" customWidth="1"/>
    <col min="3843" max="3843" width="21.140625" style="11" bestFit="1" customWidth="1"/>
    <col min="3844" max="3844" width="14.5703125" style="11" customWidth="1"/>
    <col min="3845" max="4093" width="9.140625" style="11"/>
    <col min="4094" max="4094" width="23.5703125" style="11" customWidth="1"/>
    <col min="4095" max="4095" width="12.140625" style="11" customWidth="1"/>
    <col min="4096" max="4096" width="11.5703125" style="11" customWidth="1"/>
    <col min="4097" max="4097" width="12" style="11" customWidth="1"/>
    <col min="4098" max="4098" width="10.85546875" style="11" customWidth="1"/>
    <col min="4099" max="4099" width="21.140625" style="11" bestFit="1" customWidth="1"/>
    <col min="4100" max="4100" width="14.5703125" style="11" customWidth="1"/>
    <col min="4101" max="4349" width="9.140625" style="11"/>
    <col min="4350" max="4350" width="23.5703125" style="11" customWidth="1"/>
    <col min="4351" max="4351" width="12.140625" style="11" customWidth="1"/>
    <col min="4352" max="4352" width="11.5703125" style="11" customWidth="1"/>
    <col min="4353" max="4353" width="12" style="11" customWidth="1"/>
    <col min="4354" max="4354" width="10.85546875" style="11" customWidth="1"/>
    <col min="4355" max="4355" width="21.140625" style="11" bestFit="1" customWidth="1"/>
    <col min="4356" max="4356" width="14.5703125" style="11" customWidth="1"/>
    <col min="4357" max="4605" width="9.140625" style="11"/>
    <col min="4606" max="4606" width="23.5703125" style="11" customWidth="1"/>
    <col min="4607" max="4607" width="12.140625" style="11" customWidth="1"/>
    <col min="4608" max="4608" width="11.5703125" style="11" customWidth="1"/>
    <col min="4609" max="4609" width="12" style="11" customWidth="1"/>
    <col min="4610" max="4610" width="10.85546875" style="11" customWidth="1"/>
    <col min="4611" max="4611" width="21.140625" style="11" bestFit="1" customWidth="1"/>
    <col min="4612" max="4612" width="14.5703125" style="11" customWidth="1"/>
    <col min="4613" max="4861" width="9.140625" style="11"/>
    <col min="4862" max="4862" width="23.5703125" style="11" customWidth="1"/>
    <col min="4863" max="4863" width="12.140625" style="11" customWidth="1"/>
    <col min="4864" max="4864" width="11.5703125" style="11" customWidth="1"/>
    <col min="4865" max="4865" width="12" style="11" customWidth="1"/>
    <col min="4866" max="4866" width="10.85546875" style="11" customWidth="1"/>
    <col min="4867" max="4867" width="21.140625" style="11" bestFit="1" customWidth="1"/>
    <col min="4868" max="4868" width="14.5703125" style="11" customWidth="1"/>
    <col min="4869" max="5117" width="9.140625" style="11"/>
    <col min="5118" max="5118" width="23.5703125" style="11" customWidth="1"/>
    <col min="5119" max="5119" width="12.140625" style="11" customWidth="1"/>
    <col min="5120" max="5120" width="11.5703125" style="11" customWidth="1"/>
    <col min="5121" max="5121" width="12" style="11" customWidth="1"/>
    <col min="5122" max="5122" width="10.85546875" style="11" customWidth="1"/>
    <col min="5123" max="5123" width="21.140625" style="11" bestFit="1" customWidth="1"/>
    <col min="5124" max="5124" width="14.5703125" style="11" customWidth="1"/>
    <col min="5125" max="5373" width="9.140625" style="11"/>
    <col min="5374" max="5374" width="23.5703125" style="11" customWidth="1"/>
    <col min="5375" max="5375" width="12.140625" style="11" customWidth="1"/>
    <col min="5376" max="5376" width="11.5703125" style="11" customWidth="1"/>
    <col min="5377" max="5377" width="12" style="11" customWidth="1"/>
    <col min="5378" max="5378" width="10.85546875" style="11" customWidth="1"/>
    <col min="5379" max="5379" width="21.140625" style="11" bestFit="1" customWidth="1"/>
    <col min="5380" max="5380" width="14.5703125" style="11" customWidth="1"/>
    <col min="5381" max="5629" width="9.140625" style="11"/>
    <col min="5630" max="5630" width="23.5703125" style="11" customWidth="1"/>
    <col min="5631" max="5631" width="12.140625" style="11" customWidth="1"/>
    <col min="5632" max="5632" width="11.5703125" style="11" customWidth="1"/>
    <col min="5633" max="5633" width="12" style="11" customWidth="1"/>
    <col min="5634" max="5634" width="10.85546875" style="11" customWidth="1"/>
    <col min="5635" max="5635" width="21.140625" style="11" bestFit="1" customWidth="1"/>
    <col min="5636" max="5636" width="14.5703125" style="11" customWidth="1"/>
    <col min="5637" max="5885" width="9.140625" style="11"/>
    <col min="5886" max="5886" width="23.5703125" style="11" customWidth="1"/>
    <col min="5887" max="5887" width="12.140625" style="11" customWidth="1"/>
    <col min="5888" max="5888" width="11.5703125" style="11" customWidth="1"/>
    <col min="5889" max="5889" width="12" style="11" customWidth="1"/>
    <col min="5890" max="5890" width="10.85546875" style="11" customWidth="1"/>
    <col min="5891" max="5891" width="21.140625" style="11" bestFit="1" customWidth="1"/>
    <col min="5892" max="5892" width="14.5703125" style="11" customWidth="1"/>
    <col min="5893" max="6141" width="9.140625" style="11"/>
    <col min="6142" max="6142" width="23.5703125" style="11" customWidth="1"/>
    <col min="6143" max="6143" width="12.140625" style="11" customWidth="1"/>
    <col min="6144" max="6144" width="11.5703125" style="11" customWidth="1"/>
    <col min="6145" max="6145" width="12" style="11" customWidth="1"/>
    <col min="6146" max="6146" width="10.85546875" style="11" customWidth="1"/>
    <col min="6147" max="6147" width="21.140625" style="11" bestFit="1" customWidth="1"/>
    <col min="6148" max="6148" width="14.5703125" style="11" customWidth="1"/>
    <col min="6149" max="6397" width="9.140625" style="11"/>
    <col min="6398" max="6398" width="23.5703125" style="11" customWidth="1"/>
    <col min="6399" max="6399" width="12.140625" style="11" customWidth="1"/>
    <col min="6400" max="6400" width="11.5703125" style="11" customWidth="1"/>
    <col min="6401" max="6401" width="12" style="11" customWidth="1"/>
    <col min="6402" max="6402" width="10.85546875" style="11" customWidth="1"/>
    <col min="6403" max="6403" width="21.140625" style="11" bestFit="1" customWidth="1"/>
    <col min="6404" max="6404" width="14.5703125" style="11" customWidth="1"/>
    <col min="6405" max="6653" width="9.140625" style="11"/>
    <col min="6654" max="6654" width="23.5703125" style="11" customWidth="1"/>
    <col min="6655" max="6655" width="12.140625" style="11" customWidth="1"/>
    <col min="6656" max="6656" width="11.5703125" style="11" customWidth="1"/>
    <col min="6657" max="6657" width="12" style="11" customWidth="1"/>
    <col min="6658" max="6658" width="10.85546875" style="11" customWidth="1"/>
    <col min="6659" max="6659" width="21.140625" style="11" bestFit="1" customWidth="1"/>
    <col min="6660" max="6660" width="14.5703125" style="11" customWidth="1"/>
    <col min="6661" max="6909" width="9.140625" style="11"/>
    <col min="6910" max="6910" width="23.5703125" style="11" customWidth="1"/>
    <col min="6911" max="6911" width="12.140625" style="11" customWidth="1"/>
    <col min="6912" max="6912" width="11.5703125" style="11" customWidth="1"/>
    <col min="6913" max="6913" width="12" style="11" customWidth="1"/>
    <col min="6914" max="6914" width="10.85546875" style="11" customWidth="1"/>
    <col min="6915" max="6915" width="21.140625" style="11" bestFit="1" customWidth="1"/>
    <col min="6916" max="6916" width="14.5703125" style="11" customWidth="1"/>
    <col min="6917" max="7165" width="9.140625" style="11"/>
    <col min="7166" max="7166" width="23.5703125" style="11" customWidth="1"/>
    <col min="7167" max="7167" width="12.140625" style="11" customWidth="1"/>
    <col min="7168" max="7168" width="11.5703125" style="11" customWidth="1"/>
    <col min="7169" max="7169" width="12" style="11" customWidth="1"/>
    <col min="7170" max="7170" width="10.85546875" style="11" customWidth="1"/>
    <col min="7171" max="7171" width="21.140625" style="11" bestFit="1" customWidth="1"/>
    <col min="7172" max="7172" width="14.5703125" style="11" customWidth="1"/>
    <col min="7173" max="7421" width="9.140625" style="11"/>
    <col min="7422" max="7422" width="23.5703125" style="11" customWidth="1"/>
    <col min="7423" max="7423" width="12.140625" style="11" customWidth="1"/>
    <col min="7424" max="7424" width="11.5703125" style="11" customWidth="1"/>
    <col min="7425" max="7425" width="12" style="11" customWidth="1"/>
    <col min="7426" max="7426" width="10.85546875" style="11" customWidth="1"/>
    <col min="7427" max="7427" width="21.140625" style="11" bestFit="1" customWidth="1"/>
    <col min="7428" max="7428" width="14.5703125" style="11" customWidth="1"/>
    <col min="7429" max="7677" width="9.140625" style="11"/>
    <col min="7678" max="7678" width="23.5703125" style="11" customWidth="1"/>
    <col min="7679" max="7679" width="12.140625" style="11" customWidth="1"/>
    <col min="7680" max="7680" width="11.5703125" style="11" customWidth="1"/>
    <col min="7681" max="7681" width="12" style="11" customWidth="1"/>
    <col min="7682" max="7682" width="10.85546875" style="11" customWidth="1"/>
    <col min="7683" max="7683" width="21.140625" style="11" bestFit="1" customWidth="1"/>
    <col min="7684" max="7684" width="14.5703125" style="11" customWidth="1"/>
    <col min="7685" max="7933" width="9.140625" style="11"/>
    <col min="7934" max="7934" width="23.5703125" style="11" customWidth="1"/>
    <col min="7935" max="7935" width="12.140625" style="11" customWidth="1"/>
    <col min="7936" max="7936" width="11.5703125" style="11" customWidth="1"/>
    <col min="7937" max="7937" width="12" style="11" customWidth="1"/>
    <col min="7938" max="7938" width="10.85546875" style="11" customWidth="1"/>
    <col min="7939" max="7939" width="21.140625" style="11" bestFit="1" customWidth="1"/>
    <col min="7940" max="7940" width="14.5703125" style="11" customWidth="1"/>
    <col min="7941" max="8189" width="9.140625" style="11"/>
    <col min="8190" max="8190" width="23.5703125" style="11" customWidth="1"/>
    <col min="8191" max="8191" width="12.140625" style="11" customWidth="1"/>
    <col min="8192" max="8192" width="11.5703125" style="11" customWidth="1"/>
    <col min="8193" max="8193" width="12" style="11" customWidth="1"/>
    <col min="8194" max="8194" width="10.85546875" style="11" customWidth="1"/>
    <col min="8195" max="8195" width="21.140625" style="11" bestFit="1" customWidth="1"/>
    <col min="8196" max="8196" width="14.5703125" style="11" customWidth="1"/>
    <col min="8197" max="8445" width="9.140625" style="11"/>
    <col min="8446" max="8446" width="23.5703125" style="11" customWidth="1"/>
    <col min="8447" max="8447" width="12.140625" style="11" customWidth="1"/>
    <col min="8448" max="8448" width="11.5703125" style="11" customWidth="1"/>
    <col min="8449" max="8449" width="12" style="11" customWidth="1"/>
    <col min="8450" max="8450" width="10.85546875" style="11" customWidth="1"/>
    <col min="8451" max="8451" width="21.140625" style="11" bestFit="1" customWidth="1"/>
    <col min="8452" max="8452" width="14.5703125" style="11" customWidth="1"/>
    <col min="8453" max="8701" width="9.140625" style="11"/>
    <col min="8702" max="8702" width="23.5703125" style="11" customWidth="1"/>
    <col min="8703" max="8703" width="12.140625" style="11" customWidth="1"/>
    <col min="8704" max="8704" width="11.5703125" style="11" customWidth="1"/>
    <col min="8705" max="8705" width="12" style="11" customWidth="1"/>
    <col min="8706" max="8706" width="10.85546875" style="11" customWidth="1"/>
    <col min="8707" max="8707" width="21.140625" style="11" bestFit="1" customWidth="1"/>
    <col min="8708" max="8708" width="14.5703125" style="11" customWidth="1"/>
    <col min="8709" max="8957" width="9.140625" style="11"/>
    <col min="8958" max="8958" width="23.5703125" style="11" customWidth="1"/>
    <col min="8959" max="8959" width="12.140625" style="11" customWidth="1"/>
    <col min="8960" max="8960" width="11.5703125" style="11" customWidth="1"/>
    <col min="8961" max="8961" width="12" style="11" customWidth="1"/>
    <col min="8962" max="8962" width="10.85546875" style="11" customWidth="1"/>
    <col min="8963" max="8963" width="21.140625" style="11" bestFit="1" customWidth="1"/>
    <col min="8964" max="8964" width="14.5703125" style="11" customWidth="1"/>
    <col min="8965" max="9213" width="9.140625" style="11"/>
    <col min="9214" max="9214" width="23.5703125" style="11" customWidth="1"/>
    <col min="9215" max="9215" width="12.140625" style="11" customWidth="1"/>
    <col min="9216" max="9216" width="11.5703125" style="11" customWidth="1"/>
    <col min="9217" max="9217" width="12" style="11" customWidth="1"/>
    <col min="9218" max="9218" width="10.85546875" style="11" customWidth="1"/>
    <col min="9219" max="9219" width="21.140625" style="11" bestFit="1" customWidth="1"/>
    <col min="9220" max="9220" width="14.5703125" style="11" customWidth="1"/>
    <col min="9221" max="9469" width="9.140625" style="11"/>
    <col min="9470" max="9470" width="23.5703125" style="11" customWidth="1"/>
    <col min="9471" max="9471" width="12.140625" style="11" customWidth="1"/>
    <col min="9472" max="9472" width="11.5703125" style="11" customWidth="1"/>
    <col min="9473" max="9473" width="12" style="11" customWidth="1"/>
    <col min="9474" max="9474" width="10.85546875" style="11" customWidth="1"/>
    <col min="9475" max="9475" width="21.140625" style="11" bestFit="1" customWidth="1"/>
    <col min="9476" max="9476" width="14.5703125" style="11" customWidth="1"/>
    <col min="9477" max="9725" width="9.140625" style="11"/>
    <col min="9726" max="9726" width="23.5703125" style="11" customWidth="1"/>
    <col min="9727" max="9727" width="12.140625" style="11" customWidth="1"/>
    <col min="9728" max="9728" width="11.5703125" style="11" customWidth="1"/>
    <col min="9729" max="9729" width="12" style="11" customWidth="1"/>
    <col min="9730" max="9730" width="10.85546875" style="11" customWidth="1"/>
    <col min="9731" max="9731" width="21.140625" style="11" bestFit="1" customWidth="1"/>
    <col min="9732" max="9732" width="14.5703125" style="11" customWidth="1"/>
    <col min="9733" max="9981" width="9.140625" style="11"/>
    <col min="9982" max="9982" width="23.5703125" style="11" customWidth="1"/>
    <col min="9983" max="9983" width="12.140625" style="11" customWidth="1"/>
    <col min="9984" max="9984" width="11.5703125" style="11" customWidth="1"/>
    <col min="9985" max="9985" width="12" style="11" customWidth="1"/>
    <col min="9986" max="9986" width="10.85546875" style="11" customWidth="1"/>
    <col min="9987" max="9987" width="21.140625" style="11" bestFit="1" customWidth="1"/>
    <col min="9988" max="9988" width="14.5703125" style="11" customWidth="1"/>
    <col min="9989" max="10237" width="9.140625" style="11"/>
    <col min="10238" max="10238" width="23.5703125" style="11" customWidth="1"/>
    <col min="10239" max="10239" width="12.140625" style="11" customWidth="1"/>
    <col min="10240" max="10240" width="11.5703125" style="11" customWidth="1"/>
    <col min="10241" max="10241" width="12" style="11" customWidth="1"/>
    <col min="10242" max="10242" width="10.85546875" style="11" customWidth="1"/>
    <col min="10243" max="10243" width="21.140625" style="11" bestFit="1" customWidth="1"/>
    <col min="10244" max="10244" width="14.5703125" style="11" customWidth="1"/>
    <col min="10245" max="10493" width="9.140625" style="11"/>
    <col min="10494" max="10494" width="23.5703125" style="11" customWidth="1"/>
    <col min="10495" max="10495" width="12.140625" style="11" customWidth="1"/>
    <col min="10496" max="10496" width="11.5703125" style="11" customWidth="1"/>
    <col min="10497" max="10497" width="12" style="11" customWidth="1"/>
    <col min="10498" max="10498" width="10.85546875" style="11" customWidth="1"/>
    <col min="10499" max="10499" width="21.140625" style="11" bestFit="1" customWidth="1"/>
    <col min="10500" max="10500" width="14.5703125" style="11" customWidth="1"/>
    <col min="10501" max="10749" width="9.140625" style="11"/>
    <col min="10750" max="10750" width="23.5703125" style="11" customWidth="1"/>
    <col min="10751" max="10751" width="12.140625" style="11" customWidth="1"/>
    <col min="10752" max="10752" width="11.5703125" style="11" customWidth="1"/>
    <col min="10753" max="10753" width="12" style="11" customWidth="1"/>
    <col min="10754" max="10754" width="10.85546875" style="11" customWidth="1"/>
    <col min="10755" max="10755" width="21.140625" style="11" bestFit="1" customWidth="1"/>
    <col min="10756" max="10756" width="14.5703125" style="11" customWidth="1"/>
    <col min="10757" max="11005" width="9.140625" style="11"/>
    <col min="11006" max="11006" width="23.5703125" style="11" customWidth="1"/>
    <col min="11007" max="11007" width="12.140625" style="11" customWidth="1"/>
    <col min="11008" max="11008" width="11.5703125" style="11" customWidth="1"/>
    <col min="11009" max="11009" width="12" style="11" customWidth="1"/>
    <col min="11010" max="11010" width="10.85546875" style="11" customWidth="1"/>
    <col min="11011" max="11011" width="21.140625" style="11" bestFit="1" customWidth="1"/>
    <col min="11012" max="11012" width="14.5703125" style="11" customWidth="1"/>
    <col min="11013" max="11261" width="9.140625" style="11"/>
    <col min="11262" max="11262" width="23.5703125" style="11" customWidth="1"/>
    <col min="11263" max="11263" width="12.140625" style="11" customWidth="1"/>
    <col min="11264" max="11264" width="11.5703125" style="11" customWidth="1"/>
    <col min="11265" max="11265" width="12" style="11" customWidth="1"/>
    <col min="11266" max="11266" width="10.85546875" style="11" customWidth="1"/>
    <col min="11267" max="11267" width="21.140625" style="11" bestFit="1" customWidth="1"/>
    <col min="11268" max="11268" width="14.5703125" style="11" customWidth="1"/>
    <col min="11269" max="11517" width="9.140625" style="11"/>
    <col min="11518" max="11518" width="23.5703125" style="11" customWidth="1"/>
    <col min="11519" max="11519" width="12.140625" style="11" customWidth="1"/>
    <col min="11520" max="11520" width="11.5703125" style="11" customWidth="1"/>
    <col min="11521" max="11521" width="12" style="11" customWidth="1"/>
    <col min="11522" max="11522" width="10.85546875" style="11" customWidth="1"/>
    <col min="11523" max="11523" width="21.140625" style="11" bestFit="1" customWidth="1"/>
    <col min="11524" max="11524" width="14.5703125" style="11" customWidth="1"/>
    <col min="11525" max="11773" width="9.140625" style="11"/>
    <col min="11774" max="11774" width="23.5703125" style="11" customWidth="1"/>
    <col min="11775" max="11775" width="12.140625" style="11" customWidth="1"/>
    <col min="11776" max="11776" width="11.5703125" style="11" customWidth="1"/>
    <col min="11777" max="11777" width="12" style="11" customWidth="1"/>
    <col min="11778" max="11778" width="10.85546875" style="11" customWidth="1"/>
    <col min="11779" max="11779" width="21.140625" style="11" bestFit="1" customWidth="1"/>
    <col min="11780" max="11780" width="14.5703125" style="11" customWidth="1"/>
    <col min="11781" max="12029" width="9.140625" style="11"/>
    <col min="12030" max="12030" width="23.5703125" style="11" customWidth="1"/>
    <col min="12031" max="12031" width="12.140625" style="11" customWidth="1"/>
    <col min="12032" max="12032" width="11.5703125" style="11" customWidth="1"/>
    <col min="12033" max="12033" width="12" style="11" customWidth="1"/>
    <col min="12034" max="12034" width="10.85546875" style="11" customWidth="1"/>
    <col min="12035" max="12035" width="21.140625" style="11" bestFit="1" customWidth="1"/>
    <col min="12036" max="12036" width="14.5703125" style="11" customWidth="1"/>
    <col min="12037" max="12285" width="9.140625" style="11"/>
    <col min="12286" max="12286" width="23.5703125" style="11" customWidth="1"/>
    <col min="12287" max="12287" width="12.140625" style="11" customWidth="1"/>
    <col min="12288" max="12288" width="11.5703125" style="11" customWidth="1"/>
    <col min="12289" max="12289" width="12" style="11" customWidth="1"/>
    <col min="12290" max="12290" width="10.85546875" style="11" customWidth="1"/>
    <col min="12291" max="12291" width="21.140625" style="11" bestFit="1" customWidth="1"/>
    <col min="12292" max="12292" width="14.5703125" style="11" customWidth="1"/>
    <col min="12293" max="12541" width="9.140625" style="11"/>
    <col min="12542" max="12542" width="23.5703125" style="11" customWidth="1"/>
    <col min="12543" max="12543" width="12.140625" style="11" customWidth="1"/>
    <col min="12544" max="12544" width="11.5703125" style="11" customWidth="1"/>
    <col min="12545" max="12545" width="12" style="11" customWidth="1"/>
    <col min="12546" max="12546" width="10.85546875" style="11" customWidth="1"/>
    <col min="12547" max="12547" width="21.140625" style="11" bestFit="1" customWidth="1"/>
    <col min="12548" max="12548" width="14.5703125" style="11" customWidth="1"/>
    <col min="12549" max="12797" width="9.140625" style="11"/>
    <col min="12798" max="12798" width="23.5703125" style="11" customWidth="1"/>
    <col min="12799" max="12799" width="12.140625" style="11" customWidth="1"/>
    <col min="12800" max="12800" width="11.5703125" style="11" customWidth="1"/>
    <col min="12801" max="12801" width="12" style="11" customWidth="1"/>
    <col min="12802" max="12802" width="10.85546875" style="11" customWidth="1"/>
    <col min="12803" max="12803" width="21.140625" style="11" bestFit="1" customWidth="1"/>
    <col min="12804" max="12804" width="14.5703125" style="11" customWidth="1"/>
    <col min="12805" max="13053" width="9.140625" style="11"/>
    <col min="13054" max="13054" width="23.5703125" style="11" customWidth="1"/>
    <col min="13055" max="13055" width="12.140625" style="11" customWidth="1"/>
    <col min="13056" max="13056" width="11.5703125" style="11" customWidth="1"/>
    <col min="13057" max="13057" width="12" style="11" customWidth="1"/>
    <col min="13058" max="13058" width="10.85546875" style="11" customWidth="1"/>
    <col min="13059" max="13059" width="21.140625" style="11" bestFit="1" customWidth="1"/>
    <col min="13060" max="13060" width="14.5703125" style="11" customWidth="1"/>
    <col min="13061" max="13309" width="9.140625" style="11"/>
    <col min="13310" max="13310" width="23.5703125" style="11" customWidth="1"/>
    <col min="13311" max="13311" width="12.140625" style="11" customWidth="1"/>
    <col min="13312" max="13312" width="11.5703125" style="11" customWidth="1"/>
    <col min="13313" max="13313" width="12" style="11" customWidth="1"/>
    <col min="13314" max="13314" width="10.85546875" style="11" customWidth="1"/>
    <col min="13315" max="13315" width="21.140625" style="11" bestFit="1" customWidth="1"/>
    <col min="13316" max="13316" width="14.5703125" style="11" customWidth="1"/>
    <col min="13317" max="13565" width="9.140625" style="11"/>
    <col min="13566" max="13566" width="23.5703125" style="11" customWidth="1"/>
    <col min="13567" max="13567" width="12.140625" style="11" customWidth="1"/>
    <col min="13568" max="13568" width="11.5703125" style="11" customWidth="1"/>
    <col min="13569" max="13569" width="12" style="11" customWidth="1"/>
    <col min="13570" max="13570" width="10.85546875" style="11" customWidth="1"/>
    <col min="13571" max="13571" width="21.140625" style="11" bestFit="1" customWidth="1"/>
    <col min="13572" max="13572" width="14.5703125" style="11" customWidth="1"/>
    <col min="13573" max="13821" width="9.140625" style="11"/>
    <col min="13822" max="13822" width="23.5703125" style="11" customWidth="1"/>
    <col min="13823" max="13823" width="12.140625" style="11" customWidth="1"/>
    <col min="13824" max="13824" width="11.5703125" style="11" customWidth="1"/>
    <col min="13825" max="13825" width="12" style="11" customWidth="1"/>
    <col min="13826" max="13826" width="10.85546875" style="11" customWidth="1"/>
    <col min="13827" max="13827" width="21.140625" style="11" bestFit="1" customWidth="1"/>
    <col min="13828" max="13828" width="14.5703125" style="11" customWidth="1"/>
    <col min="13829" max="14077" width="9.140625" style="11"/>
    <col min="14078" max="14078" width="23.5703125" style="11" customWidth="1"/>
    <col min="14079" max="14079" width="12.140625" style="11" customWidth="1"/>
    <col min="14080" max="14080" width="11.5703125" style="11" customWidth="1"/>
    <col min="14081" max="14081" width="12" style="11" customWidth="1"/>
    <col min="14082" max="14082" width="10.85546875" style="11" customWidth="1"/>
    <col min="14083" max="14083" width="21.140625" style="11" bestFit="1" customWidth="1"/>
    <col min="14084" max="14084" width="14.5703125" style="11" customWidth="1"/>
    <col min="14085" max="14333" width="9.140625" style="11"/>
    <col min="14334" max="14334" width="23.5703125" style="11" customWidth="1"/>
    <col min="14335" max="14335" width="12.140625" style="11" customWidth="1"/>
    <col min="14336" max="14336" width="11.5703125" style="11" customWidth="1"/>
    <col min="14337" max="14337" width="12" style="11" customWidth="1"/>
    <col min="14338" max="14338" width="10.85546875" style="11" customWidth="1"/>
    <col min="14339" max="14339" width="21.140625" style="11" bestFit="1" customWidth="1"/>
    <col min="14340" max="14340" width="14.5703125" style="11" customWidth="1"/>
    <col min="14341" max="14589" width="9.140625" style="11"/>
    <col min="14590" max="14590" width="23.5703125" style="11" customWidth="1"/>
    <col min="14591" max="14591" width="12.140625" style="11" customWidth="1"/>
    <col min="14592" max="14592" width="11.5703125" style="11" customWidth="1"/>
    <col min="14593" max="14593" width="12" style="11" customWidth="1"/>
    <col min="14594" max="14594" width="10.85546875" style="11" customWidth="1"/>
    <col min="14595" max="14595" width="21.140625" style="11" bestFit="1" customWidth="1"/>
    <col min="14596" max="14596" width="14.5703125" style="11" customWidth="1"/>
    <col min="14597" max="14845" width="9.140625" style="11"/>
    <col min="14846" max="14846" width="23.5703125" style="11" customWidth="1"/>
    <col min="14847" max="14847" width="12.140625" style="11" customWidth="1"/>
    <col min="14848" max="14848" width="11.5703125" style="11" customWidth="1"/>
    <col min="14849" max="14849" width="12" style="11" customWidth="1"/>
    <col min="14850" max="14850" width="10.85546875" style="11" customWidth="1"/>
    <col min="14851" max="14851" width="21.140625" style="11" bestFit="1" customWidth="1"/>
    <col min="14852" max="14852" width="14.5703125" style="11" customWidth="1"/>
    <col min="14853" max="15101" width="9.140625" style="11"/>
    <col min="15102" max="15102" width="23.5703125" style="11" customWidth="1"/>
    <col min="15103" max="15103" width="12.140625" style="11" customWidth="1"/>
    <col min="15104" max="15104" width="11.5703125" style="11" customWidth="1"/>
    <col min="15105" max="15105" width="12" style="11" customWidth="1"/>
    <col min="15106" max="15106" width="10.85546875" style="11" customWidth="1"/>
    <col min="15107" max="15107" width="21.140625" style="11" bestFit="1" customWidth="1"/>
    <col min="15108" max="15108" width="14.5703125" style="11" customWidth="1"/>
    <col min="15109" max="15357" width="9.140625" style="11"/>
    <col min="15358" max="15358" width="23.5703125" style="11" customWidth="1"/>
    <col min="15359" max="15359" width="12.140625" style="11" customWidth="1"/>
    <col min="15360" max="15360" width="11.5703125" style="11" customWidth="1"/>
    <col min="15361" max="15361" width="12" style="11" customWidth="1"/>
    <col min="15362" max="15362" width="10.85546875" style="11" customWidth="1"/>
    <col min="15363" max="15363" width="21.140625" style="11" bestFit="1" customWidth="1"/>
    <col min="15364" max="15364" width="14.5703125" style="11" customWidth="1"/>
    <col min="15365" max="15613" width="9.140625" style="11"/>
    <col min="15614" max="15614" width="23.5703125" style="11" customWidth="1"/>
    <col min="15615" max="15615" width="12.140625" style="11" customWidth="1"/>
    <col min="15616" max="15616" width="11.5703125" style="11" customWidth="1"/>
    <col min="15617" max="15617" width="12" style="11" customWidth="1"/>
    <col min="15618" max="15618" width="10.85546875" style="11" customWidth="1"/>
    <col min="15619" max="15619" width="21.140625" style="11" bestFit="1" customWidth="1"/>
    <col min="15620" max="15620" width="14.5703125" style="11" customWidth="1"/>
    <col min="15621" max="15869" width="9.140625" style="11"/>
    <col min="15870" max="15870" width="23.5703125" style="11" customWidth="1"/>
    <col min="15871" max="15871" width="12.140625" style="11" customWidth="1"/>
    <col min="15872" max="15872" width="11.5703125" style="11" customWidth="1"/>
    <col min="15873" max="15873" width="12" style="11" customWidth="1"/>
    <col min="15874" max="15874" width="10.85546875" style="11" customWidth="1"/>
    <col min="15875" max="15875" width="21.140625" style="11" bestFit="1" customWidth="1"/>
    <col min="15876" max="15876" width="14.5703125" style="11" customWidth="1"/>
    <col min="15877" max="16125" width="9.140625" style="11"/>
    <col min="16126" max="16126" width="23.5703125" style="11" customWidth="1"/>
    <col min="16127" max="16127" width="12.140625" style="11" customWidth="1"/>
    <col min="16128" max="16128" width="11.5703125" style="11" customWidth="1"/>
    <col min="16129" max="16129" width="12" style="11" customWidth="1"/>
    <col min="16130" max="16130" width="10.85546875" style="11" customWidth="1"/>
    <col min="16131" max="16131" width="21.140625" style="11" bestFit="1" customWidth="1"/>
    <col min="16132" max="16132" width="14.5703125" style="11" customWidth="1"/>
    <col min="16133" max="16384" width="9.1406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5"/>
  <cols>
    <col min="1" max="1" width="12.5703125" style="11" customWidth="1"/>
    <col min="2" max="2" width="14.42578125" style="11" customWidth="1"/>
    <col min="3" max="6" width="9.140625" style="11"/>
    <col min="7" max="7" width="12.5703125" style="11" customWidth="1"/>
    <col min="8" max="8" width="10.5703125" style="11" customWidth="1"/>
    <col min="9" max="9" width="12.85546875" style="11" customWidth="1"/>
    <col min="10" max="19" width="9.140625" style="11"/>
    <col min="20" max="31" width="3.85546875" style="11" bestFit="1" customWidth="1"/>
    <col min="32" max="256" width="9.140625" style="11"/>
    <col min="257" max="257" width="12.5703125" style="11" customWidth="1"/>
    <col min="258" max="258" width="14.42578125" style="11" customWidth="1"/>
    <col min="259" max="262" width="9.14062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9.140625" style="11"/>
    <col min="513" max="513" width="12.5703125" style="11" customWidth="1"/>
    <col min="514" max="514" width="14.42578125" style="11" customWidth="1"/>
    <col min="515" max="518" width="9.14062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9.140625" style="11"/>
    <col min="769" max="769" width="12.5703125" style="11" customWidth="1"/>
    <col min="770" max="770" width="14.42578125" style="11" customWidth="1"/>
    <col min="771" max="774" width="9.14062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9.140625" style="11"/>
    <col min="1025" max="1025" width="12.5703125" style="11" customWidth="1"/>
    <col min="1026" max="1026" width="14.42578125" style="11" customWidth="1"/>
    <col min="1027" max="1030" width="9.14062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9.140625" style="11"/>
    <col min="1281" max="1281" width="12.5703125" style="11" customWidth="1"/>
    <col min="1282" max="1282" width="14.42578125" style="11" customWidth="1"/>
    <col min="1283" max="1286" width="9.14062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9.140625" style="11"/>
    <col min="1537" max="1537" width="12.5703125" style="11" customWidth="1"/>
    <col min="1538" max="1538" width="14.42578125" style="11" customWidth="1"/>
    <col min="1539" max="1542" width="9.14062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9.140625" style="11"/>
    <col min="1793" max="1793" width="12.5703125" style="11" customWidth="1"/>
    <col min="1794" max="1794" width="14.42578125" style="11" customWidth="1"/>
    <col min="1795" max="1798" width="9.14062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9.140625" style="11"/>
    <col min="2049" max="2049" width="12.5703125" style="11" customWidth="1"/>
    <col min="2050" max="2050" width="14.42578125" style="11" customWidth="1"/>
    <col min="2051" max="2054" width="9.14062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9.140625" style="11"/>
    <col min="2305" max="2305" width="12.5703125" style="11" customWidth="1"/>
    <col min="2306" max="2306" width="14.42578125" style="11" customWidth="1"/>
    <col min="2307" max="2310" width="9.14062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9.140625" style="11"/>
    <col min="2561" max="2561" width="12.5703125" style="11" customWidth="1"/>
    <col min="2562" max="2562" width="14.42578125" style="11" customWidth="1"/>
    <col min="2563" max="2566" width="9.14062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9.140625" style="11"/>
    <col min="2817" max="2817" width="12.5703125" style="11" customWidth="1"/>
    <col min="2818" max="2818" width="14.42578125" style="11" customWidth="1"/>
    <col min="2819" max="2822" width="9.14062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9.140625" style="11"/>
    <col min="3073" max="3073" width="12.5703125" style="11" customWidth="1"/>
    <col min="3074" max="3074" width="14.42578125" style="11" customWidth="1"/>
    <col min="3075" max="3078" width="9.14062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9.140625" style="11"/>
    <col min="3329" max="3329" width="12.5703125" style="11" customWidth="1"/>
    <col min="3330" max="3330" width="14.42578125" style="11" customWidth="1"/>
    <col min="3331" max="3334" width="9.14062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9.140625" style="11"/>
    <col min="3585" max="3585" width="12.5703125" style="11" customWidth="1"/>
    <col min="3586" max="3586" width="14.42578125" style="11" customWidth="1"/>
    <col min="3587" max="3590" width="9.14062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9.140625" style="11"/>
    <col min="3841" max="3841" width="12.5703125" style="11" customWidth="1"/>
    <col min="3842" max="3842" width="14.42578125" style="11" customWidth="1"/>
    <col min="3843" max="3846" width="9.14062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9.140625" style="11"/>
    <col min="4097" max="4097" width="12.5703125" style="11" customWidth="1"/>
    <col min="4098" max="4098" width="14.42578125" style="11" customWidth="1"/>
    <col min="4099" max="4102" width="9.14062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9.140625" style="11"/>
    <col min="4353" max="4353" width="12.5703125" style="11" customWidth="1"/>
    <col min="4354" max="4354" width="14.42578125" style="11" customWidth="1"/>
    <col min="4355" max="4358" width="9.14062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9.140625" style="11"/>
    <col min="4609" max="4609" width="12.5703125" style="11" customWidth="1"/>
    <col min="4610" max="4610" width="14.42578125" style="11" customWidth="1"/>
    <col min="4611" max="4614" width="9.14062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9.140625" style="11"/>
    <col min="4865" max="4865" width="12.5703125" style="11" customWidth="1"/>
    <col min="4866" max="4866" width="14.42578125" style="11" customWidth="1"/>
    <col min="4867" max="4870" width="9.14062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9.140625" style="11"/>
    <col min="5121" max="5121" width="12.5703125" style="11" customWidth="1"/>
    <col min="5122" max="5122" width="14.42578125" style="11" customWidth="1"/>
    <col min="5123" max="5126" width="9.14062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9.140625" style="11"/>
    <col min="5377" max="5377" width="12.5703125" style="11" customWidth="1"/>
    <col min="5378" max="5378" width="14.42578125" style="11" customWidth="1"/>
    <col min="5379" max="5382" width="9.14062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9.140625" style="11"/>
    <col min="5633" max="5633" width="12.5703125" style="11" customWidth="1"/>
    <col min="5634" max="5634" width="14.42578125" style="11" customWidth="1"/>
    <col min="5635" max="5638" width="9.14062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9.140625" style="11"/>
    <col min="5889" max="5889" width="12.5703125" style="11" customWidth="1"/>
    <col min="5890" max="5890" width="14.42578125" style="11" customWidth="1"/>
    <col min="5891" max="5894" width="9.14062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9.140625" style="11"/>
    <col min="6145" max="6145" width="12.5703125" style="11" customWidth="1"/>
    <col min="6146" max="6146" width="14.42578125" style="11" customWidth="1"/>
    <col min="6147" max="6150" width="9.14062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9.140625" style="11"/>
    <col min="6401" max="6401" width="12.5703125" style="11" customWidth="1"/>
    <col min="6402" max="6402" width="14.42578125" style="11" customWidth="1"/>
    <col min="6403" max="6406" width="9.14062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9.140625" style="11"/>
    <col min="6657" max="6657" width="12.5703125" style="11" customWidth="1"/>
    <col min="6658" max="6658" width="14.42578125" style="11" customWidth="1"/>
    <col min="6659" max="6662" width="9.14062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9.140625" style="11"/>
    <col min="6913" max="6913" width="12.5703125" style="11" customWidth="1"/>
    <col min="6914" max="6914" width="14.42578125" style="11" customWidth="1"/>
    <col min="6915" max="6918" width="9.14062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9.140625" style="11"/>
    <col min="7169" max="7169" width="12.5703125" style="11" customWidth="1"/>
    <col min="7170" max="7170" width="14.42578125" style="11" customWidth="1"/>
    <col min="7171" max="7174" width="9.14062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9.140625" style="11"/>
    <col min="7425" max="7425" width="12.5703125" style="11" customWidth="1"/>
    <col min="7426" max="7426" width="14.42578125" style="11" customWidth="1"/>
    <col min="7427" max="7430" width="9.14062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9.140625" style="11"/>
    <col min="7681" max="7681" width="12.5703125" style="11" customWidth="1"/>
    <col min="7682" max="7682" width="14.42578125" style="11" customWidth="1"/>
    <col min="7683" max="7686" width="9.14062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9.140625" style="11"/>
    <col min="7937" max="7937" width="12.5703125" style="11" customWidth="1"/>
    <col min="7938" max="7938" width="14.42578125" style="11" customWidth="1"/>
    <col min="7939" max="7942" width="9.14062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9.140625" style="11"/>
    <col min="8193" max="8193" width="12.5703125" style="11" customWidth="1"/>
    <col min="8194" max="8194" width="14.42578125" style="11" customWidth="1"/>
    <col min="8195" max="8198" width="9.14062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9.140625" style="11"/>
    <col min="8449" max="8449" width="12.5703125" style="11" customWidth="1"/>
    <col min="8450" max="8450" width="14.42578125" style="11" customWidth="1"/>
    <col min="8451" max="8454" width="9.14062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9.140625" style="11"/>
    <col min="8705" max="8705" width="12.5703125" style="11" customWidth="1"/>
    <col min="8706" max="8706" width="14.42578125" style="11" customWidth="1"/>
    <col min="8707" max="8710" width="9.14062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9.140625" style="11"/>
    <col min="8961" max="8961" width="12.5703125" style="11" customWidth="1"/>
    <col min="8962" max="8962" width="14.42578125" style="11" customWidth="1"/>
    <col min="8963" max="8966" width="9.14062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9.140625" style="11"/>
    <col min="9217" max="9217" width="12.5703125" style="11" customWidth="1"/>
    <col min="9218" max="9218" width="14.42578125" style="11" customWidth="1"/>
    <col min="9219" max="9222" width="9.14062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9.140625" style="11"/>
    <col min="9473" max="9473" width="12.5703125" style="11" customWidth="1"/>
    <col min="9474" max="9474" width="14.42578125" style="11" customWidth="1"/>
    <col min="9475" max="9478" width="9.14062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9.140625" style="11"/>
    <col min="9729" max="9729" width="12.5703125" style="11" customWidth="1"/>
    <col min="9730" max="9730" width="14.42578125" style="11" customWidth="1"/>
    <col min="9731" max="9734" width="9.14062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9.140625" style="11"/>
    <col min="9985" max="9985" width="12.5703125" style="11" customWidth="1"/>
    <col min="9986" max="9986" width="14.42578125" style="11" customWidth="1"/>
    <col min="9987" max="9990" width="9.14062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9.140625" style="11"/>
    <col min="10241" max="10241" width="12.5703125" style="11" customWidth="1"/>
    <col min="10242" max="10242" width="14.42578125" style="11" customWidth="1"/>
    <col min="10243" max="10246" width="9.14062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9.140625" style="11"/>
    <col min="10497" max="10497" width="12.5703125" style="11" customWidth="1"/>
    <col min="10498" max="10498" width="14.42578125" style="11" customWidth="1"/>
    <col min="10499" max="10502" width="9.14062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9.140625" style="11"/>
    <col min="10753" max="10753" width="12.5703125" style="11" customWidth="1"/>
    <col min="10754" max="10754" width="14.42578125" style="11" customWidth="1"/>
    <col min="10755" max="10758" width="9.14062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9.140625" style="11"/>
    <col min="11009" max="11009" width="12.5703125" style="11" customWidth="1"/>
    <col min="11010" max="11010" width="14.42578125" style="11" customWidth="1"/>
    <col min="11011" max="11014" width="9.14062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9.140625" style="11"/>
    <col min="11265" max="11265" width="12.5703125" style="11" customWidth="1"/>
    <col min="11266" max="11266" width="14.42578125" style="11" customWidth="1"/>
    <col min="11267" max="11270" width="9.14062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9.140625" style="11"/>
    <col min="11521" max="11521" width="12.5703125" style="11" customWidth="1"/>
    <col min="11522" max="11522" width="14.42578125" style="11" customWidth="1"/>
    <col min="11523" max="11526" width="9.14062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9.140625" style="11"/>
    <col min="11777" max="11777" width="12.5703125" style="11" customWidth="1"/>
    <col min="11778" max="11778" width="14.42578125" style="11" customWidth="1"/>
    <col min="11779" max="11782" width="9.14062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9.140625" style="11"/>
    <col min="12033" max="12033" width="12.5703125" style="11" customWidth="1"/>
    <col min="12034" max="12034" width="14.42578125" style="11" customWidth="1"/>
    <col min="12035" max="12038" width="9.14062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9.140625" style="11"/>
    <col min="12289" max="12289" width="12.5703125" style="11" customWidth="1"/>
    <col min="12290" max="12290" width="14.42578125" style="11" customWidth="1"/>
    <col min="12291" max="12294" width="9.14062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9.140625" style="11"/>
    <col min="12545" max="12545" width="12.5703125" style="11" customWidth="1"/>
    <col min="12546" max="12546" width="14.42578125" style="11" customWidth="1"/>
    <col min="12547" max="12550" width="9.14062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9.140625" style="11"/>
    <col min="12801" max="12801" width="12.5703125" style="11" customWidth="1"/>
    <col min="12802" max="12802" width="14.42578125" style="11" customWidth="1"/>
    <col min="12803" max="12806" width="9.14062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9.140625" style="11"/>
    <col min="13057" max="13057" width="12.5703125" style="11" customWidth="1"/>
    <col min="13058" max="13058" width="14.42578125" style="11" customWidth="1"/>
    <col min="13059" max="13062" width="9.14062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9.140625" style="11"/>
    <col min="13313" max="13313" width="12.5703125" style="11" customWidth="1"/>
    <col min="13314" max="13314" width="14.42578125" style="11" customWidth="1"/>
    <col min="13315" max="13318" width="9.14062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9.140625" style="11"/>
    <col min="13569" max="13569" width="12.5703125" style="11" customWidth="1"/>
    <col min="13570" max="13570" width="14.42578125" style="11" customWidth="1"/>
    <col min="13571" max="13574" width="9.14062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9.140625" style="11"/>
    <col min="13825" max="13825" width="12.5703125" style="11" customWidth="1"/>
    <col min="13826" max="13826" width="14.42578125" style="11" customWidth="1"/>
    <col min="13827" max="13830" width="9.14062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9.140625" style="11"/>
    <col min="14081" max="14081" width="12.5703125" style="11" customWidth="1"/>
    <col min="14082" max="14082" width="14.42578125" style="11" customWidth="1"/>
    <col min="14083" max="14086" width="9.14062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9.140625" style="11"/>
    <col min="14337" max="14337" width="12.5703125" style="11" customWidth="1"/>
    <col min="14338" max="14338" width="14.42578125" style="11" customWidth="1"/>
    <col min="14339" max="14342" width="9.14062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9.140625" style="11"/>
    <col min="14593" max="14593" width="12.5703125" style="11" customWidth="1"/>
    <col min="14594" max="14594" width="14.42578125" style="11" customWidth="1"/>
    <col min="14595" max="14598" width="9.14062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9.140625" style="11"/>
    <col min="14849" max="14849" width="12.5703125" style="11" customWidth="1"/>
    <col min="14850" max="14850" width="14.42578125" style="11" customWidth="1"/>
    <col min="14851" max="14854" width="9.14062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9.140625" style="11"/>
    <col min="15105" max="15105" width="12.5703125" style="11" customWidth="1"/>
    <col min="15106" max="15106" width="14.42578125" style="11" customWidth="1"/>
    <col min="15107" max="15110" width="9.14062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9.140625" style="11"/>
    <col min="15361" max="15361" width="12.5703125" style="11" customWidth="1"/>
    <col min="15362" max="15362" width="14.42578125" style="11" customWidth="1"/>
    <col min="15363" max="15366" width="9.14062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9.140625" style="11"/>
    <col min="15617" max="15617" width="12.5703125" style="11" customWidth="1"/>
    <col min="15618" max="15618" width="14.42578125" style="11" customWidth="1"/>
    <col min="15619" max="15622" width="9.14062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9.140625" style="11"/>
    <col min="15873" max="15873" width="12.5703125" style="11" customWidth="1"/>
    <col min="15874" max="15874" width="14.42578125" style="11" customWidth="1"/>
    <col min="15875" max="15878" width="9.14062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9.140625" style="11"/>
    <col min="16129" max="16129" width="12.5703125" style="11" customWidth="1"/>
    <col min="16130" max="16130" width="14.42578125" style="11" customWidth="1"/>
    <col min="16131" max="16134" width="9.14062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9.1406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5"/>
  <cols>
    <col min="1" max="1" width="12.5703125" style="11" customWidth="1"/>
    <col min="2" max="2" width="14.42578125" style="11" customWidth="1"/>
    <col min="3" max="6" width="8.85546875" style="11"/>
    <col min="7" max="7" width="12.5703125" style="11" customWidth="1"/>
    <col min="8" max="8" width="10.5703125" style="11" customWidth="1"/>
    <col min="9" max="9" width="12.85546875" style="11" customWidth="1"/>
    <col min="10" max="10" width="8.85546875" style="11"/>
    <col min="11" max="11" width="7.5703125" style="11" bestFit="1" customWidth="1"/>
    <col min="12" max="14" width="8.85546875" style="11"/>
    <col min="15" max="15" width="15.140625" style="11" customWidth="1"/>
    <col min="16" max="256" width="8.85546875" style="11"/>
    <col min="257" max="257" width="12.5703125" style="11" customWidth="1"/>
    <col min="258" max="258" width="14.42578125" style="11" customWidth="1"/>
    <col min="259" max="262" width="8.8554687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8.85546875" style="11"/>
    <col min="513" max="513" width="12.5703125" style="11" customWidth="1"/>
    <col min="514" max="514" width="14.42578125" style="11" customWidth="1"/>
    <col min="515" max="518" width="8.8554687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8.85546875" style="11"/>
    <col min="769" max="769" width="12.5703125" style="11" customWidth="1"/>
    <col min="770" max="770" width="14.42578125" style="11" customWidth="1"/>
    <col min="771" max="774" width="8.8554687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8.85546875" style="11"/>
    <col min="1025" max="1025" width="12.5703125" style="11" customWidth="1"/>
    <col min="1026" max="1026" width="14.42578125" style="11" customWidth="1"/>
    <col min="1027" max="1030" width="8.8554687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8.85546875" style="11"/>
    <col min="1281" max="1281" width="12.5703125" style="11" customWidth="1"/>
    <col min="1282" max="1282" width="14.42578125" style="11" customWidth="1"/>
    <col min="1283" max="1286" width="8.8554687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8.85546875" style="11"/>
    <col min="1537" max="1537" width="12.5703125" style="11" customWidth="1"/>
    <col min="1538" max="1538" width="14.42578125" style="11" customWidth="1"/>
    <col min="1539" max="1542" width="8.8554687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8.85546875" style="11"/>
    <col min="1793" max="1793" width="12.5703125" style="11" customWidth="1"/>
    <col min="1794" max="1794" width="14.42578125" style="11" customWidth="1"/>
    <col min="1795" max="1798" width="8.8554687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8.85546875" style="11"/>
    <col min="2049" max="2049" width="12.5703125" style="11" customWidth="1"/>
    <col min="2050" max="2050" width="14.42578125" style="11" customWidth="1"/>
    <col min="2051" max="2054" width="8.8554687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8.85546875" style="11"/>
    <col min="2305" max="2305" width="12.5703125" style="11" customWidth="1"/>
    <col min="2306" max="2306" width="14.42578125" style="11" customWidth="1"/>
    <col min="2307" max="2310" width="8.8554687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8.85546875" style="11"/>
    <col min="2561" max="2561" width="12.5703125" style="11" customWidth="1"/>
    <col min="2562" max="2562" width="14.42578125" style="11" customWidth="1"/>
    <col min="2563" max="2566" width="8.8554687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8.85546875" style="11"/>
    <col min="2817" max="2817" width="12.5703125" style="11" customWidth="1"/>
    <col min="2818" max="2818" width="14.42578125" style="11" customWidth="1"/>
    <col min="2819" max="2822" width="8.8554687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8.85546875" style="11"/>
    <col min="3073" max="3073" width="12.5703125" style="11" customWidth="1"/>
    <col min="3074" max="3074" width="14.42578125" style="11" customWidth="1"/>
    <col min="3075" max="3078" width="8.8554687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8.85546875" style="11"/>
    <col min="3329" max="3329" width="12.5703125" style="11" customWidth="1"/>
    <col min="3330" max="3330" width="14.42578125" style="11" customWidth="1"/>
    <col min="3331" max="3334" width="8.8554687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8.85546875" style="11"/>
    <col min="3585" max="3585" width="12.5703125" style="11" customWidth="1"/>
    <col min="3586" max="3586" width="14.42578125" style="11" customWidth="1"/>
    <col min="3587" max="3590" width="8.8554687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8.85546875" style="11"/>
    <col min="3841" max="3841" width="12.5703125" style="11" customWidth="1"/>
    <col min="3842" max="3842" width="14.42578125" style="11" customWidth="1"/>
    <col min="3843" max="3846" width="8.8554687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8.85546875" style="11"/>
    <col min="4097" max="4097" width="12.5703125" style="11" customWidth="1"/>
    <col min="4098" max="4098" width="14.42578125" style="11" customWidth="1"/>
    <col min="4099" max="4102" width="8.8554687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8.85546875" style="11"/>
    <col min="4353" max="4353" width="12.5703125" style="11" customWidth="1"/>
    <col min="4354" max="4354" width="14.42578125" style="11" customWidth="1"/>
    <col min="4355" max="4358" width="8.8554687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8.85546875" style="11"/>
    <col min="4609" max="4609" width="12.5703125" style="11" customWidth="1"/>
    <col min="4610" max="4610" width="14.42578125" style="11" customWidth="1"/>
    <col min="4611" max="4614" width="8.8554687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8.85546875" style="11"/>
    <col min="4865" max="4865" width="12.5703125" style="11" customWidth="1"/>
    <col min="4866" max="4866" width="14.42578125" style="11" customWidth="1"/>
    <col min="4867" max="4870" width="8.8554687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8.85546875" style="11"/>
    <col min="5121" max="5121" width="12.5703125" style="11" customWidth="1"/>
    <col min="5122" max="5122" width="14.42578125" style="11" customWidth="1"/>
    <col min="5123" max="5126" width="8.8554687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8.85546875" style="11"/>
    <col min="5377" max="5377" width="12.5703125" style="11" customWidth="1"/>
    <col min="5378" max="5378" width="14.42578125" style="11" customWidth="1"/>
    <col min="5379" max="5382" width="8.8554687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8.85546875" style="11"/>
    <col min="5633" max="5633" width="12.5703125" style="11" customWidth="1"/>
    <col min="5634" max="5634" width="14.42578125" style="11" customWidth="1"/>
    <col min="5635" max="5638" width="8.8554687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8.85546875" style="11"/>
    <col min="5889" max="5889" width="12.5703125" style="11" customWidth="1"/>
    <col min="5890" max="5890" width="14.42578125" style="11" customWidth="1"/>
    <col min="5891" max="5894" width="8.8554687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8.85546875" style="11"/>
    <col min="6145" max="6145" width="12.5703125" style="11" customWidth="1"/>
    <col min="6146" max="6146" width="14.42578125" style="11" customWidth="1"/>
    <col min="6147" max="6150" width="8.8554687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8.85546875" style="11"/>
    <col min="6401" max="6401" width="12.5703125" style="11" customWidth="1"/>
    <col min="6402" max="6402" width="14.42578125" style="11" customWidth="1"/>
    <col min="6403" max="6406" width="8.8554687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8.85546875" style="11"/>
    <col min="6657" max="6657" width="12.5703125" style="11" customWidth="1"/>
    <col min="6658" max="6658" width="14.42578125" style="11" customWidth="1"/>
    <col min="6659" max="6662" width="8.8554687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8.85546875" style="11"/>
    <col min="6913" max="6913" width="12.5703125" style="11" customWidth="1"/>
    <col min="6914" max="6914" width="14.42578125" style="11" customWidth="1"/>
    <col min="6915" max="6918" width="8.8554687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8.85546875" style="11"/>
    <col min="7169" max="7169" width="12.5703125" style="11" customWidth="1"/>
    <col min="7170" max="7170" width="14.42578125" style="11" customWidth="1"/>
    <col min="7171" max="7174" width="8.8554687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8.85546875" style="11"/>
    <col min="7425" max="7425" width="12.5703125" style="11" customWidth="1"/>
    <col min="7426" max="7426" width="14.42578125" style="11" customWidth="1"/>
    <col min="7427" max="7430" width="8.8554687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8.85546875" style="11"/>
    <col min="7681" max="7681" width="12.5703125" style="11" customWidth="1"/>
    <col min="7682" max="7682" width="14.42578125" style="11" customWidth="1"/>
    <col min="7683" max="7686" width="8.8554687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8.85546875" style="11"/>
    <col min="7937" max="7937" width="12.5703125" style="11" customWidth="1"/>
    <col min="7938" max="7938" width="14.42578125" style="11" customWidth="1"/>
    <col min="7939" max="7942" width="8.8554687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8.85546875" style="11"/>
    <col min="8193" max="8193" width="12.5703125" style="11" customWidth="1"/>
    <col min="8194" max="8194" width="14.42578125" style="11" customWidth="1"/>
    <col min="8195" max="8198" width="8.8554687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8.85546875" style="11"/>
    <col min="8449" max="8449" width="12.5703125" style="11" customWidth="1"/>
    <col min="8450" max="8450" width="14.42578125" style="11" customWidth="1"/>
    <col min="8451" max="8454" width="8.8554687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8.85546875" style="11"/>
    <col min="8705" max="8705" width="12.5703125" style="11" customWidth="1"/>
    <col min="8706" max="8706" width="14.42578125" style="11" customWidth="1"/>
    <col min="8707" max="8710" width="8.8554687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8.85546875" style="11"/>
    <col min="8961" max="8961" width="12.5703125" style="11" customWidth="1"/>
    <col min="8962" max="8962" width="14.42578125" style="11" customWidth="1"/>
    <col min="8963" max="8966" width="8.8554687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8.85546875" style="11"/>
    <col min="9217" max="9217" width="12.5703125" style="11" customWidth="1"/>
    <col min="9218" max="9218" width="14.42578125" style="11" customWidth="1"/>
    <col min="9219" max="9222" width="8.8554687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8.85546875" style="11"/>
    <col min="9473" max="9473" width="12.5703125" style="11" customWidth="1"/>
    <col min="9474" max="9474" width="14.42578125" style="11" customWidth="1"/>
    <col min="9475" max="9478" width="8.8554687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8.85546875" style="11"/>
    <col min="9729" max="9729" width="12.5703125" style="11" customWidth="1"/>
    <col min="9730" max="9730" width="14.42578125" style="11" customWidth="1"/>
    <col min="9731" max="9734" width="8.8554687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8.85546875" style="11"/>
    <col min="9985" max="9985" width="12.5703125" style="11" customWidth="1"/>
    <col min="9986" max="9986" width="14.42578125" style="11" customWidth="1"/>
    <col min="9987" max="9990" width="8.8554687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8.85546875" style="11"/>
    <col min="10241" max="10241" width="12.5703125" style="11" customWidth="1"/>
    <col min="10242" max="10242" width="14.42578125" style="11" customWidth="1"/>
    <col min="10243" max="10246" width="8.8554687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8.85546875" style="11"/>
    <col min="10497" max="10497" width="12.5703125" style="11" customWidth="1"/>
    <col min="10498" max="10498" width="14.42578125" style="11" customWidth="1"/>
    <col min="10499" max="10502" width="8.8554687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8.85546875" style="11"/>
    <col min="10753" max="10753" width="12.5703125" style="11" customWidth="1"/>
    <col min="10754" max="10754" width="14.42578125" style="11" customWidth="1"/>
    <col min="10755" max="10758" width="8.8554687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8.85546875" style="11"/>
    <col min="11009" max="11009" width="12.5703125" style="11" customWidth="1"/>
    <col min="11010" max="11010" width="14.42578125" style="11" customWidth="1"/>
    <col min="11011" max="11014" width="8.8554687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8.85546875" style="11"/>
    <col min="11265" max="11265" width="12.5703125" style="11" customWidth="1"/>
    <col min="11266" max="11266" width="14.42578125" style="11" customWidth="1"/>
    <col min="11267" max="11270" width="8.8554687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8.85546875" style="11"/>
    <col min="11521" max="11521" width="12.5703125" style="11" customWidth="1"/>
    <col min="11522" max="11522" width="14.42578125" style="11" customWidth="1"/>
    <col min="11523" max="11526" width="8.8554687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8.85546875" style="11"/>
    <col min="11777" max="11777" width="12.5703125" style="11" customWidth="1"/>
    <col min="11778" max="11778" width="14.42578125" style="11" customWidth="1"/>
    <col min="11779" max="11782" width="8.8554687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8.85546875" style="11"/>
    <col min="12033" max="12033" width="12.5703125" style="11" customWidth="1"/>
    <col min="12034" max="12034" width="14.42578125" style="11" customWidth="1"/>
    <col min="12035" max="12038" width="8.8554687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8.85546875" style="11"/>
    <col min="12289" max="12289" width="12.5703125" style="11" customWidth="1"/>
    <col min="12290" max="12290" width="14.42578125" style="11" customWidth="1"/>
    <col min="12291" max="12294" width="8.8554687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8.85546875" style="11"/>
    <col min="12545" max="12545" width="12.5703125" style="11" customWidth="1"/>
    <col min="12546" max="12546" width="14.42578125" style="11" customWidth="1"/>
    <col min="12547" max="12550" width="8.8554687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8.85546875" style="11"/>
    <col min="12801" max="12801" width="12.5703125" style="11" customWidth="1"/>
    <col min="12802" max="12802" width="14.42578125" style="11" customWidth="1"/>
    <col min="12803" max="12806" width="8.8554687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8.85546875" style="11"/>
    <col min="13057" max="13057" width="12.5703125" style="11" customWidth="1"/>
    <col min="13058" max="13058" width="14.42578125" style="11" customWidth="1"/>
    <col min="13059" max="13062" width="8.8554687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8.85546875" style="11"/>
    <col min="13313" max="13313" width="12.5703125" style="11" customWidth="1"/>
    <col min="13314" max="13314" width="14.42578125" style="11" customWidth="1"/>
    <col min="13315" max="13318" width="8.8554687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8.85546875" style="11"/>
    <col min="13569" max="13569" width="12.5703125" style="11" customWidth="1"/>
    <col min="13570" max="13570" width="14.42578125" style="11" customWidth="1"/>
    <col min="13571" max="13574" width="8.8554687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8.85546875" style="11"/>
    <col min="13825" max="13825" width="12.5703125" style="11" customWidth="1"/>
    <col min="13826" max="13826" width="14.42578125" style="11" customWidth="1"/>
    <col min="13827" max="13830" width="8.8554687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8.85546875" style="11"/>
    <col min="14081" max="14081" width="12.5703125" style="11" customWidth="1"/>
    <col min="14082" max="14082" width="14.42578125" style="11" customWidth="1"/>
    <col min="14083" max="14086" width="8.8554687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8.85546875" style="11"/>
    <col min="14337" max="14337" width="12.5703125" style="11" customWidth="1"/>
    <col min="14338" max="14338" width="14.42578125" style="11" customWidth="1"/>
    <col min="14339" max="14342" width="8.8554687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8.85546875" style="11"/>
    <col min="14593" max="14593" width="12.5703125" style="11" customWidth="1"/>
    <col min="14594" max="14594" width="14.42578125" style="11" customWidth="1"/>
    <col min="14595" max="14598" width="8.8554687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8.85546875" style="11"/>
    <col min="14849" max="14849" width="12.5703125" style="11" customWidth="1"/>
    <col min="14850" max="14850" width="14.42578125" style="11" customWidth="1"/>
    <col min="14851" max="14854" width="8.8554687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8.85546875" style="11"/>
    <col min="15105" max="15105" width="12.5703125" style="11" customWidth="1"/>
    <col min="15106" max="15106" width="14.42578125" style="11" customWidth="1"/>
    <col min="15107" max="15110" width="8.8554687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8.85546875" style="11"/>
    <col min="15361" max="15361" width="12.5703125" style="11" customWidth="1"/>
    <col min="15362" max="15362" width="14.42578125" style="11" customWidth="1"/>
    <col min="15363" max="15366" width="8.8554687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8.85546875" style="11"/>
    <col min="15617" max="15617" width="12.5703125" style="11" customWidth="1"/>
    <col min="15618" max="15618" width="14.42578125" style="11" customWidth="1"/>
    <col min="15619" max="15622" width="8.8554687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8.85546875" style="11"/>
    <col min="15873" max="15873" width="12.5703125" style="11" customWidth="1"/>
    <col min="15874" max="15874" width="14.42578125" style="11" customWidth="1"/>
    <col min="15875" max="15878" width="8.8554687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8.85546875" style="11"/>
    <col min="16129" max="16129" width="12.5703125" style="11" customWidth="1"/>
    <col min="16130" max="16130" width="14.42578125" style="11" customWidth="1"/>
    <col min="16131" max="16134" width="8.8554687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8.85546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5"/>
  <cols>
    <col min="1" max="1" width="13.5703125" bestFit="1" customWidth="1"/>
    <col min="2" max="2" width="10" bestFit="1" customWidth="1"/>
  </cols>
  <sheetData>
    <row r="1" spans="1:9">
      <c r="A1" t="s">
        <v>414</v>
      </c>
      <c r="B1" s="79">
        <v>8</v>
      </c>
    </row>
    <row r="2" spans="1:9">
      <c r="A2" t="s">
        <v>415</v>
      </c>
    </row>
    <row r="4" spans="1:9">
      <c r="B4" t="s">
        <v>417</v>
      </c>
    </row>
    <row r="6" spans="1:9">
      <c r="A6" t="s">
        <v>369</v>
      </c>
      <c r="B6" t="s">
        <v>416</v>
      </c>
      <c r="C6" t="s">
        <v>418</v>
      </c>
      <c r="D6" t="s">
        <v>419</v>
      </c>
      <c r="E6" t="s">
        <v>420</v>
      </c>
      <c r="F6" t="s">
        <v>421</v>
      </c>
      <c r="G6" t="s">
        <v>422</v>
      </c>
      <c r="H6" t="s">
        <v>423</v>
      </c>
      <c r="I6" t="s">
        <v>424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426</v>
      </c>
    </row>
    <row r="16" spans="1:9">
      <c r="C16" s="73" t="s">
        <v>278</v>
      </c>
    </row>
    <row r="17" spans="2:2">
      <c r="B17" t="s">
        <v>425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5"/>
  <cols>
    <col min="1" max="1" width="14.85546875" bestFit="1" customWidth="1"/>
  </cols>
  <sheetData>
    <row r="1" spans="1:8">
      <c r="B1" t="s">
        <v>427</v>
      </c>
      <c r="C1" t="s">
        <v>428</v>
      </c>
      <c r="D1" t="s">
        <v>429</v>
      </c>
      <c r="E1" t="s">
        <v>430</v>
      </c>
    </row>
    <row r="2" spans="1:8">
      <c r="A2" t="s">
        <v>431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432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433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434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435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topLeftCell="K1" zoomScale="90" zoomScaleNormal="90" workbookViewId="0">
      <selection activeCell="X7" sqref="X7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5" width="8.85546875" style="11" customWidth="1"/>
    <col min="6" max="6" width="6" style="11" bestFit="1" customWidth="1"/>
    <col min="7" max="7" width="7.5703125" style="11" customWidth="1"/>
    <col min="8" max="8" width="4.42578125" style="11" customWidth="1"/>
    <col min="9" max="11" width="12.140625" style="11" customWidth="1"/>
    <col min="12" max="12" width="19.140625" style="11" customWidth="1"/>
    <col min="13" max="13" width="2.85546875" style="11" customWidth="1"/>
    <col min="14" max="14" width="16.140625" style="11" bestFit="1" customWidth="1"/>
    <col min="15" max="15" width="9" style="11" customWidth="1"/>
    <col min="16" max="16" width="21.140625" style="11" bestFit="1" customWidth="1"/>
    <col min="17" max="17" width="10.42578125" style="11" bestFit="1" customWidth="1"/>
    <col min="18" max="18" width="10.85546875" style="11" bestFit="1" customWidth="1"/>
    <col min="19" max="25" width="8.7109375" style="11"/>
    <col min="26" max="26" width="10.85546875" style="11" bestFit="1" customWidth="1"/>
    <col min="27" max="259" width="8.7109375" style="11"/>
    <col min="260" max="260" width="20.140625" style="11" customWidth="1"/>
    <col min="261" max="261" width="16.140625" style="11" customWidth="1"/>
    <col min="262" max="262" width="12" style="11" customWidth="1"/>
    <col min="263" max="263" width="8.85546875" style="11" customWidth="1"/>
    <col min="264" max="264" width="9.42578125" style="11" customWidth="1"/>
    <col min="265" max="265" width="11.5703125" style="11" customWidth="1"/>
    <col min="266" max="266" width="12" style="11" bestFit="1" customWidth="1"/>
    <col min="267" max="267" width="12.140625" style="11" customWidth="1"/>
    <col min="268" max="268" width="20.140625" style="11" bestFit="1" customWidth="1"/>
    <col min="269" max="269" width="10.5703125" style="11" bestFit="1" customWidth="1"/>
    <col min="270" max="270" width="16.140625" style="11" bestFit="1" customWidth="1"/>
    <col min="271" max="271" width="9" style="11" customWidth="1"/>
    <col min="272" max="272" width="21.140625" style="11" bestFit="1" customWidth="1"/>
    <col min="273" max="515" width="8.7109375" style="11"/>
    <col min="516" max="516" width="20.140625" style="11" customWidth="1"/>
    <col min="517" max="517" width="16.140625" style="11" customWidth="1"/>
    <col min="518" max="518" width="12" style="11" customWidth="1"/>
    <col min="519" max="519" width="8.85546875" style="11" customWidth="1"/>
    <col min="520" max="520" width="9.42578125" style="11" customWidth="1"/>
    <col min="521" max="521" width="11.5703125" style="11" customWidth="1"/>
    <col min="522" max="522" width="12" style="11" bestFit="1" customWidth="1"/>
    <col min="523" max="523" width="12.140625" style="11" customWidth="1"/>
    <col min="524" max="524" width="20.140625" style="11" bestFit="1" customWidth="1"/>
    <col min="525" max="525" width="10.5703125" style="11" bestFit="1" customWidth="1"/>
    <col min="526" max="526" width="16.140625" style="11" bestFit="1" customWidth="1"/>
    <col min="527" max="527" width="9" style="11" customWidth="1"/>
    <col min="528" max="528" width="21.140625" style="11" bestFit="1" customWidth="1"/>
    <col min="529" max="771" width="8.7109375" style="11"/>
    <col min="772" max="772" width="20.140625" style="11" customWidth="1"/>
    <col min="773" max="773" width="16.140625" style="11" customWidth="1"/>
    <col min="774" max="774" width="12" style="11" customWidth="1"/>
    <col min="775" max="775" width="8.85546875" style="11" customWidth="1"/>
    <col min="776" max="776" width="9.42578125" style="11" customWidth="1"/>
    <col min="777" max="777" width="11.5703125" style="11" customWidth="1"/>
    <col min="778" max="778" width="12" style="11" bestFit="1" customWidth="1"/>
    <col min="779" max="779" width="12.140625" style="11" customWidth="1"/>
    <col min="780" max="780" width="20.140625" style="11" bestFit="1" customWidth="1"/>
    <col min="781" max="781" width="10.5703125" style="11" bestFit="1" customWidth="1"/>
    <col min="782" max="782" width="16.140625" style="11" bestFit="1" customWidth="1"/>
    <col min="783" max="783" width="9" style="11" customWidth="1"/>
    <col min="784" max="784" width="21.140625" style="11" bestFit="1" customWidth="1"/>
    <col min="785" max="1027" width="8.7109375" style="11"/>
    <col min="1028" max="1028" width="20.140625" style="11" customWidth="1"/>
    <col min="1029" max="1029" width="16.140625" style="11" customWidth="1"/>
    <col min="1030" max="1030" width="12" style="11" customWidth="1"/>
    <col min="1031" max="1031" width="8.85546875" style="11" customWidth="1"/>
    <col min="1032" max="1032" width="9.42578125" style="11" customWidth="1"/>
    <col min="1033" max="1033" width="11.5703125" style="11" customWidth="1"/>
    <col min="1034" max="1034" width="12" style="11" bestFit="1" customWidth="1"/>
    <col min="1035" max="1035" width="12.140625" style="11" customWidth="1"/>
    <col min="1036" max="1036" width="20.140625" style="11" bestFit="1" customWidth="1"/>
    <col min="1037" max="1037" width="10.5703125" style="11" bestFit="1" customWidth="1"/>
    <col min="1038" max="1038" width="16.140625" style="11" bestFit="1" customWidth="1"/>
    <col min="1039" max="1039" width="9" style="11" customWidth="1"/>
    <col min="1040" max="1040" width="21.140625" style="11" bestFit="1" customWidth="1"/>
    <col min="1041" max="1283" width="8.7109375" style="11"/>
    <col min="1284" max="1284" width="20.140625" style="11" customWidth="1"/>
    <col min="1285" max="1285" width="16.140625" style="11" customWidth="1"/>
    <col min="1286" max="1286" width="12" style="11" customWidth="1"/>
    <col min="1287" max="1287" width="8.85546875" style="11" customWidth="1"/>
    <col min="1288" max="1288" width="9.42578125" style="11" customWidth="1"/>
    <col min="1289" max="1289" width="11.5703125" style="11" customWidth="1"/>
    <col min="1290" max="1290" width="12" style="11" bestFit="1" customWidth="1"/>
    <col min="1291" max="1291" width="12.140625" style="11" customWidth="1"/>
    <col min="1292" max="1292" width="20.140625" style="11" bestFit="1" customWidth="1"/>
    <col min="1293" max="1293" width="10.5703125" style="11" bestFit="1" customWidth="1"/>
    <col min="1294" max="1294" width="16.140625" style="11" bestFit="1" customWidth="1"/>
    <col min="1295" max="1295" width="9" style="11" customWidth="1"/>
    <col min="1296" max="1296" width="21.140625" style="11" bestFit="1" customWidth="1"/>
    <col min="1297" max="1539" width="8.7109375" style="11"/>
    <col min="1540" max="1540" width="20.140625" style="11" customWidth="1"/>
    <col min="1541" max="1541" width="16.140625" style="11" customWidth="1"/>
    <col min="1542" max="1542" width="12" style="11" customWidth="1"/>
    <col min="1543" max="1543" width="8.85546875" style="11" customWidth="1"/>
    <col min="1544" max="1544" width="9.42578125" style="11" customWidth="1"/>
    <col min="1545" max="1545" width="11.5703125" style="11" customWidth="1"/>
    <col min="1546" max="1546" width="12" style="11" bestFit="1" customWidth="1"/>
    <col min="1547" max="1547" width="12.140625" style="11" customWidth="1"/>
    <col min="1548" max="1548" width="20.140625" style="11" bestFit="1" customWidth="1"/>
    <col min="1549" max="1549" width="10.5703125" style="11" bestFit="1" customWidth="1"/>
    <col min="1550" max="1550" width="16.140625" style="11" bestFit="1" customWidth="1"/>
    <col min="1551" max="1551" width="9" style="11" customWidth="1"/>
    <col min="1552" max="1552" width="21.140625" style="11" bestFit="1" customWidth="1"/>
    <col min="1553" max="1795" width="8.7109375" style="11"/>
    <col min="1796" max="1796" width="20.140625" style="11" customWidth="1"/>
    <col min="1797" max="1797" width="16.140625" style="11" customWidth="1"/>
    <col min="1798" max="1798" width="12" style="11" customWidth="1"/>
    <col min="1799" max="1799" width="8.85546875" style="11" customWidth="1"/>
    <col min="1800" max="1800" width="9.42578125" style="11" customWidth="1"/>
    <col min="1801" max="1801" width="11.5703125" style="11" customWidth="1"/>
    <col min="1802" max="1802" width="12" style="11" bestFit="1" customWidth="1"/>
    <col min="1803" max="1803" width="12.140625" style="11" customWidth="1"/>
    <col min="1804" max="1804" width="20.140625" style="11" bestFit="1" customWidth="1"/>
    <col min="1805" max="1805" width="10.5703125" style="11" bestFit="1" customWidth="1"/>
    <col min="1806" max="1806" width="16.140625" style="11" bestFit="1" customWidth="1"/>
    <col min="1807" max="1807" width="9" style="11" customWidth="1"/>
    <col min="1808" max="1808" width="21.140625" style="11" bestFit="1" customWidth="1"/>
    <col min="1809" max="2051" width="8.7109375" style="11"/>
    <col min="2052" max="2052" width="20.140625" style="11" customWidth="1"/>
    <col min="2053" max="2053" width="16.140625" style="11" customWidth="1"/>
    <col min="2054" max="2054" width="12" style="11" customWidth="1"/>
    <col min="2055" max="2055" width="8.85546875" style="11" customWidth="1"/>
    <col min="2056" max="2056" width="9.42578125" style="11" customWidth="1"/>
    <col min="2057" max="2057" width="11.5703125" style="11" customWidth="1"/>
    <col min="2058" max="2058" width="12" style="11" bestFit="1" customWidth="1"/>
    <col min="2059" max="2059" width="12.140625" style="11" customWidth="1"/>
    <col min="2060" max="2060" width="20.140625" style="11" bestFit="1" customWidth="1"/>
    <col min="2061" max="2061" width="10.5703125" style="11" bestFit="1" customWidth="1"/>
    <col min="2062" max="2062" width="16.140625" style="11" bestFit="1" customWidth="1"/>
    <col min="2063" max="2063" width="9" style="11" customWidth="1"/>
    <col min="2064" max="2064" width="21.140625" style="11" bestFit="1" customWidth="1"/>
    <col min="2065" max="2307" width="8.7109375" style="11"/>
    <col min="2308" max="2308" width="20.140625" style="11" customWidth="1"/>
    <col min="2309" max="2309" width="16.140625" style="11" customWidth="1"/>
    <col min="2310" max="2310" width="12" style="11" customWidth="1"/>
    <col min="2311" max="2311" width="8.85546875" style="11" customWidth="1"/>
    <col min="2312" max="2312" width="9.42578125" style="11" customWidth="1"/>
    <col min="2313" max="2313" width="11.5703125" style="11" customWidth="1"/>
    <col min="2314" max="2314" width="12" style="11" bestFit="1" customWidth="1"/>
    <col min="2315" max="2315" width="12.140625" style="11" customWidth="1"/>
    <col min="2316" max="2316" width="20.140625" style="11" bestFit="1" customWidth="1"/>
    <col min="2317" max="2317" width="10.5703125" style="11" bestFit="1" customWidth="1"/>
    <col min="2318" max="2318" width="16.140625" style="11" bestFit="1" customWidth="1"/>
    <col min="2319" max="2319" width="9" style="11" customWidth="1"/>
    <col min="2320" max="2320" width="21.140625" style="11" bestFit="1" customWidth="1"/>
    <col min="2321" max="2563" width="8.7109375" style="11"/>
    <col min="2564" max="2564" width="20.140625" style="11" customWidth="1"/>
    <col min="2565" max="2565" width="16.140625" style="11" customWidth="1"/>
    <col min="2566" max="2566" width="12" style="11" customWidth="1"/>
    <col min="2567" max="2567" width="8.85546875" style="11" customWidth="1"/>
    <col min="2568" max="2568" width="9.42578125" style="11" customWidth="1"/>
    <col min="2569" max="2569" width="11.5703125" style="11" customWidth="1"/>
    <col min="2570" max="2570" width="12" style="11" bestFit="1" customWidth="1"/>
    <col min="2571" max="2571" width="12.140625" style="11" customWidth="1"/>
    <col min="2572" max="2572" width="20.140625" style="11" bestFit="1" customWidth="1"/>
    <col min="2573" max="2573" width="10.5703125" style="11" bestFit="1" customWidth="1"/>
    <col min="2574" max="2574" width="16.140625" style="11" bestFit="1" customWidth="1"/>
    <col min="2575" max="2575" width="9" style="11" customWidth="1"/>
    <col min="2576" max="2576" width="21.140625" style="11" bestFit="1" customWidth="1"/>
    <col min="2577" max="2819" width="8.7109375" style="11"/>
    <col min="2820" max="2820" width="20.140625" style="11" customWidth="1"/>
    <col min="2821" max="2821" width="16.140625" style="11" customWidth="1"/>
    <col min="2822" max="2822" width="12" style="11" customWidth="1"/>
    <col min="2823" max="2823" width="8.85546875" style="11" customWidth="1"/>
    <col min="2824" max="2824" width="9.42578125" style="11" customWidth="1"/>
    <col min="2825" max="2825" width="11.5703125" style="11" customWidth="1"/>
    <col min="2826" max="2826" width="12" style="11" bestFit="1" customWidth="1"/>
    <col min="2827" max="2827" width="12.140625" style="11" customWidth="1"/>
    <col min="2828" max="2828" width="20.140625" style="11" bestFit="1" customWidth="1"/>
    <col min="2829" max="2829" width="10.5703125" style="11" bestFit="1" customWidth="1"/>
    <col min="2830" max="2830" width="16.140625" style="11" bestFit="1" customWidth="1"/>
    <col min="2831" max="2831" width="9" style="11" customWidth="1"/>
    <col min="2832" max="2832" width="21.140625" style="11" bestFit="1" customWidth="1"/>
    <col min="2833" max="3075" width="8.7109375" style="11"/>
    <col min="3076" max="3076" width="20.140625" style="11" customWidth="1"/>
    <col min="3077" max="3077" width="16.140625" style="11" customWidth="1"/>
    <col min="3078" max="3078" width="12" style="11" customWidth="1"/>
    <col min="3079" max="3079" width="8.85546875" style="11" customWidth="1"/>
    <col min="3080" max="3080" width="9.42578125" style="11" customWidth="1"/>
    <col min="3081" max="3081" width="11.5703125" style="11" customWidth="1"/>
    <col min="3082" max="3082" width="12" style="11" bestFit="1" customWidth="1"/>
    <col min="3083" max="3083" width="12.140625" style="11" customWidth="1"/>
    <col min="3084" max="3084" width="20.140625" style="11" bestFit="1" customWidth="1"/>
    <col min="3085" max="3085" width="10.5703125" style="11" bestFit="1" customWidth="1"/>
    <col min="3086" max="3086" width="16.140625" style="11" bestFit="1" customWidth="1"/>
    <col min="3087" max="3087" width="9" style="11" customWidth="1"/>
    <col min="3088" max="3088" width="21.140625" style="11" bestFit="1" customWidth="1"/>
    <col min="3089" max="3331" width="8.7109375" style="11"/>
    <col min="3332" max="3332" width="20.140625" style="11" customWidth="1"/>
    <col min="3333" max="3333" width="16.140625" style="11" customWidth="1"/>
    <col min="3334" max="3334" width="12" style="11" customWidth="1"/>
    <col min="3335" max="3335" width="8.85546875" style="11" customWidth="1"/>
    <col min="3336" max="3336" width="9.42578125" style="11" customWidth="1"/>
    <col min="3337" max="3337" width="11.5703125" style="11" customWidth="1"/>
    <col min="3338" max="3338" width="12" style="11" bestFit="1" customWidth="1"/>
    <col min="3339" max="3339" width="12.140625" style="11" customWidth="1"/>
    <col min="3340" max="3340" width="20.140625" style="11" bestFit="1" customWidth="1"/>
    <col min="3341" max="3341" width="10.5703125" style="11" bestFit="1" customWidth="1"/>
    <col min="3342" max="3342" width="16.140625" style="11" bestFit="1" customWidth="1"/>
    <col min="3343" max="3343" width="9" style="11" customWidth="1"/>
    <col min="3344" max="3344" width="21.140625" style="11" bestFit="1" customWidth="1"/>
    <col min="3345" max="3587" width="8.7109375" style="11"/>
    <col min="3588" max="3588" width="20.140625" style="11" customWidth="1"/>
    <col min="3589" max="3589" width="16.140625" style="11" customWidth="1"/>
    <col min="3590" max="3590" width="12" style="11" customWidth="1"/>
    <col min="3591" max="3591" width="8.85546875" style="11" customWidth="1"/>
    <col min="3592" max="3592" width="9.42578125" style="11" customWidth="1"/>
    <col min="3593" max="3593" width="11.5703125" style="11" customWidth="1"/>
    <col min="3594" max="3594" width="12" style="11" bestFit="1" customWidth="1"/>
    <col min="3595" max="3595" width="12.140625" style="11" customWidth="1"/>
    <col min="3596" max="3596" width="20.140625" style="11" bestFit="1" customWidth="1"/>
    <col min="3597" max="3597" width="10.5703125" style="11" bestFit="1" customWidth="1"/>
    <col min="3598" max="3598" width="16.140625" style="11" bestFit="1" customWidth="1"/>
    <col min="3599" max="3599" width="9" style="11" customWidth="1"/>
    <col min="3600" max="3600" width="21.140625" style="11" bestFit="1" customWidth="1"/>
    <col min="3601" max="3843" width="8.7109375" style="11"/>
    <col min="3844" max="3844" width="20.140625" style="11" customWidth="1"/>
    <col min="3845" max="3845" width="16.140625" style="11" customWidth="1"/>
    <col min="3846" max="3846" width="12" style="11" customWidth="1"/>
    <col min="3847" max="3847" width="8.85546875" style="11" customWidth="1"/>
    <col min="3848" max="3848" width="9.42578125" style="11" customWidth="1"/>
    <col min="3849" max="3849" width="11.5703125" style="11" customWidth="1"/>
    <col min="3850" max="3850" width="12" style="11" bestFit="1" customWidth="1"/>
    <col min="3851" max="3851" width="12.140625" style="11" customWidth="1"/>
    <col min="3852" max="3852" width="20.140625" style="11" bestFit="1" customWidth="1"/>
    <col min="3853" max="3853" width="10.5703125" style="11" bestFit="1" customWidth="1"/>
    <col min="3854" max="3854" width="16.140625" style="11" bestFit="1" customWidth="1"/>
    <col min="3855" max="3855" width="9" style="11" customWidth="1"/>
    <col min="3856" max="3856" width="21.140625" style="11" bestFit="1" customWidth="1"/>
    <col min="3857" max="4099" width="8.7109375" style="11"/>
    <col min="4100" max="4100" width="20.140625" style="11" customWidth="1"/>
    <col min="4101" max="4101" width="16.140625" style="11" customWidth="1"/>
    <col min="4102" max="4102" width="12" style="11" customWidth="1"/>
    <col min="4103" max="4103" width="8.85546875" style="11" customWidth="1"/>
    <col min="4104" max="4104" width="9.42578125" style="11" customWidth="1"/>
    <col min="4105" max="4105" width="11.5703125" style="11" customWidth="1"/>
    <col min="4106" max="4106" width="12" style="11" bestFit="1" customWidth="1"/>
    <col min="4107" max="4107" width="12.140625" style="11" customWidth="1"/>
    <col min="4108" max="4108" width="20.140625" style="11" bestFit="1" customWidth="1"/>
    <col min="4109" max="4109" width="10.5703125" style="11" bestFit="1" customWidth="1"/>
    <col min="4110" max="4110" width="16.140625" style="11" bestFit="1" customWidth="1"/>
    <col min="4111" max="4111" width="9" style="11" customWidth="1"/>
    <col min="4112" max="4112" width="21.140625" style="11" bestFit="1" customWidth="1"/>
    <col min="4113" max="4355" width="8.7109375" style="11"/>
    <col min="4356" max="4356" width="20.140625" style="11" customWidth="1"/>
    <col min="4357" max="4357" width="16.140625" style="11" customWidth="1"/>
    <col min="4358" max="4358" width="12" style="11" customWidth="1"/>
    <col min="4359" max="4359" width="8.85546875" style="11" customWidth="1"/>
    <col min="4360" max="4360" width="9.42578125" style="11" customWidth="1"/>
    <col min="4361" max="4361" width="11.5703125" style="11" customWidth="1"/>
    <col min="4362" max="4362" width="12" style="11" bestFit="1" customWidth="1"/>
    <col min="4363" max="4363" width="12.140625" style="11" customWidth="1"/>
    <col min="4364" max="4364" width="20.140625" style="11" bestFit="1" customWidth="1"/>
    <col min="4365" max="4365" width="10.5703125" style="11" bestFit="1" customWidth="1"/>
    <col min="4366" max="4366" width="16.140625" style="11" bestFit="1" customWidth="1"/>
    <col min="4367" max="4367" width="9" style="11" customWidth="1"/>
    <col min="4368" max="4368" width="21.140625" style="11" bestFit="1" customWidth="1"/>
    <col min="4369" max="4611" width="8.7109375" style="11"/>
    <col min="4612" max="4612" width="20.140625" style="11" customWidth="1"/>
    <col min="4613" max="4613" width="16.140625" style="11" customWidth="1"/>
    <col min="4614" max="4614" width="12" style="11" customWidth="1"/>
    <col min="4615" max="4615" width="8.85546875" style="11" customWidth="1"/>
    <col min="4616" max="4616" width="9.42578125" style="11" customWidth="1"/>
    <col min="4617" max="4617" width="11.5703125" style="11" customWidth="1"/>
    <col min="4618" max="4618" width="12" style="11" bestFit="1" customWidth="1"/>
    <col min="4619" max="4619" width="12.140625" style="11" customWidth="1"/>
    <col min="4620" max="4620" width="20.140625" style="11" bestFit="1" customWidth="1"/>
    <col min="4621" max="4621" width="10.5703125" style="11" bestFit="1" customWidth="1"/>
    <col min="4622" max="4622" width="16.140625" style="11" bestFit="1" customWidth="1"/>
    <col min="4623" max="4623" width="9" style="11" customWidth="1"/>
    <col min="4624" max="4624" width="21.140625" style="11" bestFit="1" customWidth="1"/>
    <col min="4625" max="4867" width="8.7109375" style="11"/>
    <col min="4868" max="4868" width="20.140625" style="11" customWidth="1"/>
    <col min="4869" max="4869" width="16.140625" style="11" customWidth="1"/>
    <col min="4870" max="4870" width="12" style="11" customWidth="1"/>
    <col min="4871" max="4871" width="8.85546875" style="11" customWidth="1"/>
    <col min="4872" max="4872" width="9.42578125" style="11" customWidth="1"/>
    <col min="4873" max="4873" width="11.5703125" style="11" customWidth="1"/>
    <col min="4874" max="4874" width="12" style="11" bestFit="1" customWidth="1"/>
    <col min="4875" max="4875" width="12.140625" style="11" customWidth="1"/>
    <col min="4876" max="4876" width="20.140625" style="11" bestFit="1" customWidth="1"/>
    <col min="4877" max="4877" width="10.5703125" style="11" bestFit="1" customWidth="1"/>
    <col min="4878" max="4878" width="16.140625" style="11" bestFit="1" customWidth="1"/>
    <col min="4879" max="4879" width="9" style="11" customWidth="1"/>
    <col min="4880" max="4880" width="21.140625" style="11" bestFit="1" customWidth="1"/>
    <col min="4881" max="5123" width="8.7109375" style="11"/>
    <col min="5124" max="5124" width="20.140625" style="11" customWidth="1"/>
    <col min="5125" max="5125" width="16.140625" style="11" customWidth="1"/>
    <col min="5126" max="5126" width="12" style="11" customWidth="1"/>
    <col min="5127" max="5127" width="8.85546875" style="11" customWidth="1"/>
    <col min="5128" max="5128" width="9.42578125" style="11" customWidth="1"/>
    <col min="5129" max="5129" width="11.5703125" style="11" customWidth="1"/>
    <col min="5130" max="5130" width="12" style="11" bestFit="1" customWidth="1"/>
    <col min="5131" max="5131" width="12.140625" style="11" customWidth="1"/>
    <col min="5132" max="5132" width="20.140625" style="11" bestFit="1" customWidth="1"/>
    <col min="5133" max="5133" width="10.5703125" style="11" bestFit="1" customWidth="1"/>
    <col min="5134" max="5134" width="16.140625" style="11" bestFit="1" customWidth="1"/>
    <col min="5135" max="5135" width="9" style="11" customWidth="1"/>
    <col min="5136" max="5136" width="21.140625" style="11" bestFit="1" customWidth="1"/>
    <col min="5137" max="5379" width="8.7109375" style="11"/>
    <col min="5380" max="5380" width="20.140625" style="11" customWidth="1"/>
    <col min="5381" max="5381" width="16.140625" style="11" customWidth="1"/>
    <col min="5382" max="5382" width="12" style="11" customWidth="1"/>
    <col min="5383" max="5383" width="8.85546875" style="11" customWidth="1"/>
    <col min="5384" max="5384" width="9.42578125" style="11" customWidth="1"/>
    <col min="5385" max="5385" width="11.5703125" style="11" customWidth="1"/>
    <col min="5386" max="5386" width="12" style="11" bestFit="1" customWidth="1"/>
    <col min="5387" max="5387" width="12.140625" style="11" customWidth="1"/>
    <col min="5388" max="5388" width="20.140625" style="11" bestFit="1" customWidth="1"/>
    <col min="5389" max="5389" width="10.5703125" style="11" bestFit="1" customWidth="1"/>
    <col min="5390" max="5390" width="16.140625" style="11" bestFit="1" customWidth="1"/>
    <col min="5391" max="5391" width="9" style="11" customWidth="1"/>
    <col min="5392" max="5392" width="21.140625" style="11" bestFit="1" customWidth="1"/>
    <col min="5393" max="5635" width="8.7109375" style="11"/>
    <col min="5636" max="5636" width="20.140625" style="11" customWidth="1"/>
    <col min="5637" max="5637" width="16.140625" style="11" customWidth="1"/>
    <col min="5638" max="5638" width="12" style="11" customWidth="1"/>
    <col min="5639" max="5639" width="8.85546875" style="11" customWidth="1"/>
    <col min="5640" max="5640" width="9.42578125" style="11" customWidth="1"/>
    <col min="5641" max="5641" width="11.5703125" style="11" customWidth="1"/>
    <col min="5642" max="5642" width="12" style="11" bestFit="1" customWidth="1"/>
    <col min="5643" max="5643" width="12.140625" style="11" customWidth="1"/>
    <col min="5644" max="5644" width="20.140625" style="11" bestFit="1" customWidth="1"/>
    <col min="5645" max="5645" width="10.5703125" style="11" bestFit="1" customWidth="1"/>
    <col min="5646" max="5646" width="16.140625" style="11" bestFit="1" customWidth="1"/>
    <col min="5647" max="5647" width="9" style="11" customWidth="1"/>
    <col min="5648" max="5648" width="21.140625" style="11" bestFit="1" customWidth="1"/>
    <col min="5649" max="5891" width="8.7109375" style="11"/>
    <col min="5892" max="5892" width="20.140625" style="11" customWidth="1"/>
    <col min="5893" max="5893" width="16.140625" style="11" customWidth="1"/>
    <col min="5894" max="5894" width="12" style="11" customWidth="1"/>
    <col min="5895" max="5895" width="8.85546875" style="11" customWidth="1"/>
    <col min="5896" max="5896" width="9.42578125" style="11" customWidth="1"/>
    <col min="5897" max="5897" width="11.5703125" style="11" customWidth="1"/>
    <col min="5898" max="5898" width="12" style="11" bestFit="1" customWidth="1"/>
    <col min="5899" max="5899" width="12.140625" style="11" customWidth="1"/>
    <col min="5900" max="5900" width="20.140625" style="11" bestFit="1" customWidth="1"/>
    <col min="5901" max="5901" width="10.5703125" style="11" bestFit="1" customWidth="1"/>
    <col min="5902" max="5902" width="16.140625" style="11" bestFit="1" customWidth="1"/>
    <col min="5903" max="5903" width="9" style="11" customWidth="1"/>
    <col min="5904" max="5904" width="21.140625" style="11" bestFit="1" customWidth="1"/>
    <col min="5905" max="6147" width="8.7109375" style="11"/>
    <col min="6148" max="6148" width="20.140625" style="11" customWidth="1"/>
    <col min="6149" max="6149" width="16.140625" style="11" customWidth="1"/>
    <col min="6150" max="6150" width="12" style="11" customWidth="1"/>
    <col min="6151" max="6151" width="8.85546875" style="11" customWidth="1"/>
    <col min="6152" max="6152" width="9.42578125" style="11" customWidth="1"/>
    <col min="6153" max="6153" width="11.5703125" style="11" customWidth="1"/>
    <col min="6154" max="6154" width="12" style="11" bestFit="1" customWidth="1"/>
    <col min="6155" max="6155" width="12.140625" style="11" customWidth="1"/>
    <col min="6156" max="6156" width="20.140625" style="11" bestFit="1" customWidth="1"/>
    <col min="6157" max="6157" width="10.5703125" style="11" bestFit="1" customWidth="1"/>
    <col min="6158" max="6158" width="16.140625" style="11" bestFit="1" customWidth="1"/>
    <col min="6159" max="6159" width="9" style="11" customWidth="1"/>
    <col min="6160" max="6160" width="21.140625" style="11" bestFit="1" customWidth="1"/>
    <col min="6161" max="6403" width="8.7109375" style="11"/>
    <col min="6404" max="6404" width="20.140625" style="11" customWidth="1"/>
    <col min="6405" max="6405" width="16.140625" style="11" customWidth="1"/>
    <col min="6406" max="6406" width="12" style="11" customWidth="1"/>
    <col min="6407" max="6407" width="8.85546875" style="11" customWidth="1"/>
    <col min="6408" max="6408" width="9.42578125" style="11" customWidth="1"/>
    <col min="6409" max="6409" width="11.5703125" style="11" customWidth="1"/>
    <col min="6410" max="6410" width="12" style="11" bestFit="1" customWidth="1"/>
    <col min="6411" max="6411" width="12.140625" style="11" customWidth="1"/>
    <col min="6412" max="6412" width="20.140625" style="11" bestFit="1" customWidth="1"/>
    <col min="6413" max="6413" width="10.5703125" style="11" bestFit="1" customWidth="1"/>
    <col min="6414" max="6414" width="16.140625" style="11" bestFit="1" customWidth="1"/>
    <col min="6415" max="6415" width="9" style="11" customWidth="1"/>
    <col min="6416" max="6416" width="21.140625" style="11" bestFit="1" customWidth="1"/>
    <col min="6417" max="6659" width="8.7109375" style="11"/>
    <col min="6660" max="6660" width="20.140625" style="11" customWidth="1"/>
    <col min="6661" max="6661" width="16.140625" style="11" customWidth="1"/>
    <col min="6662" max="6662" width="12" style="11" customWidth="1"/>
    <col min="6663" max="6663" width="8.85546875" style="11" customWidth="1"/>
    <col min="6664" max="6664" width="9.42578125" style="11" customWidth="1"/>
    <col min="6665" max="6665" width="11.5703125" style="11" customWidth="1"/>
    <col min="6666" max="6666" width="12" style="11" bestFit="1" customWidth="1"/>
    <col min="6667" max="6667" width="12.140625" style="11" customWidth="1"/>
    <col min="6668" max="6668" width="20.140625" style="11" bestFit="1" customWidth="1"/>
    <col min="6669" max="6669" width="10.5703125" style="11" bestFit="1" customWidth="1"/>
    <col min="6670" max="6670" width="16.140625" style="11" bestFit="1" customWidth="1"/>
    <col min="6671" max="6671" width="9" style="11" customWidth="1"/>
    <col min="6672" max="6672" width="21.140625" style="11" bestFit="1" customWidth="1"/>
    <col min="6673" max="6915" width="8.7109375" style="11"/>
    <col min="6916" max="6916" width="20.140625" style="11" customWidth="1"/>
    <col min="6917" max="6917" width="16.140625" style="11" customWidth="1"/>
    <col min="6918" max="6918" width="12" style="11" customWidth="1"/>
    <col min="6919" max="6919" width="8.85546875" style="11" customWidth="1"/>
    <col min="6920" max="6920" width="9.42578125" style="11" customWidth="1"/>
    <col min="6921" max="6921" width="11.5703125" style="11" customWidth="1"/>
    <col min="6922" max="6922" width="12" style="11" bestFit="1" customWidth="1"/>
    <col min="6923" max="6923" width="12.140625" style="11" customWidth="1"/>
    <col min="6924" max="6924" width="20.140625" style="11" bestFit="1" customWidth="1"/>
    <col min="6925" max="6925" width="10.5703125" style="11" bestFit="1" customWidth="1"/>
    <col min="6926" max="6926" width="16.140625" style="11" bestFit="1" customWidth="1"/>
    <col min="6927" max="6927" width="9" style="11" customWidth="1"/>
    <col min="6928" max="6928" width="21.140625" style="11" bestFit="1" customWidth="1"/>
    <col min="6929" max="7171" width="8.7109375" style="11"/>
    <col min="7172" max="7172" width="20.140625" style="11" customWidth="1"/>
    <col min="7173" max="7173" width="16.140625" style="11" customWidth="1"/>
    <col min="7174" max="7174" width="12" style="11" customWidth="1"/>
    <col min="7175" max="7175" width="8.85546875" style="11" customWidth="1"/>
    <col min="7176" max="7176" width="9.42578125" style="11" customWidth="1"/>
    <col min="7177" max="7177" width="11.5703125" style="11" customWidth="1"/>
    <col min="7178" max="7178" width="12" style="11" bestFit="1" customWidth="1"/>
    <col min="7179" max="7179" width="12.140625" style="11" customWidth="1"/>
    <col min="7180" max="7180" width="20.140625" style="11" bestFit="1" customWidth="1"/>
    <col min="7181" max="7181" width="10.5703125" style="11" bestFit="1" customWidth="1"/>
    <col min="7182" max="7182" width="16.140625" style="11" bestFit="1" customWidth="1"/>
    <col min="7183" max="7183" width="9" style="11" customWidth="1"/>
    <col min="7184" max="7184" width="21.140625" style="11" bestFit="1" customWidth="1"/>
    <col min="7185" max="7427" width="8.7109375" style="11"/>
    <col min="7428" max="7428" width="20.140625" style="11" customWidth="1"/>
    <col min="7429" max="7429" width="16.140625" style="11" customWidth="1"/>
    <col min="7430" max="7430" width="12" style="11" customWidth="1"/>
    <col min="7431" max="7431" width="8.85546875" style="11" customWidth="1"/>
    <col min="7432" max="7432" width="9.42578125" style="11" customWidth="1"/>
    <col min="7433" max="7433" width="11.5703125" style="11" customWidth="1"/>
    <col min="7434" max="7434" width="12" style="11" bestFit="1" customWidth="1"/>
    <col min="7435" max="7435" width="12.140625" style="11" customWidth="1"/>
    <col min="7436" max="7436" width="20.140625" style="11" bestFit="1" customWidth="1"/>
    <col min="7437" max="7437" width="10.5703125" style="11" bestFit="1" customWidth="1"/>
    <col min="7438" max="7438" width="16.140625" style="11" bestFit="1" customWidth="1"/>
    <col min="7439" max="7439" width="9" style="11" customWidth="1"/>
    <col min="7440" max="7440" width="21.140625" style="11" bestFit="1" customWidth="1"/>
    <col min="7441" max="7683" width="8.7109375" style="11"/>
    <col min="7684" max="7684" width="20.140625" style="11" customWidth="1"/>
    <col min="7685" max="7685" width="16.140625" style="11" customWidth="1"/>
    <col min="7686" max="7686" width="12" style="11" customWidth="1"/>
    <col min="7687" max="7687" width="8.85546875" style="11" customWidth="1"/>
    <col min="7688" max="7688" width="9.42578125" style="11" customWidth="1"/>
    <col min="7689" max="7689" width="11.5703125" style="11" customWidth="1"/>
    <col min="7690" max="7690" width="12" style="11" bestFit="1" customWidth="1"/>
    <col min="7691" max="7691" width="12.140625" style="11" customWidth="1"/>
    <col min="7692" max="7692" width="20.140625" style="11" bestFit="1" customWidth="1"/>
    <col min="7693" max="7693" width="10.5703125" style="11" bestFit="1" customWidth="1"/>
    <col min="7694" max="7694" width="16.140625" style="11" bestFit="1" customWidth="1"/>
    <col min="7695" max="7695" width="9" style="11" customWidth="1"/>
    <col min="7696" max="7696" width="21.140625" style="11" bestFit="1" customWidth="1"/>
    <col min="7697" max="7939" width="8.7109375" style="11"/>
    <col min="7940" max="7940" width="20.140625" style="11" customWidth="1"/>
    <col min="7941" max="7941" width="16.140625" style="11" customWidth="1"/>
    <col min="7942" max="7942" width="12" style="11" customWidth="1"/>
    <col min="7943" max="7943" width="8.85546875" style="11" customWidth="1"/>
    <col min="7944" max="7944" width="9.42578125" style="11" customWidth="1"/>
    <col min="7945" max="7945" width="11.5703125" style="11" customWidth="1"/>
    <col min="7946" max="7946" width="12" style="11" bestFit="1" customWidth="1"/>
    <col min="7947" max="7947" width="12.140625" style="11" customWidth="1"/>
    <col min="7948" max="7948" width="20.140625" style="11" bestFit="1" customWidth="1"/>
    <col min="7949" max="7949" width="10.5703125" style="11" bestFit="1" customWidth="1"/>
    <col min="7950" max="7950" width="16.140625" style="11" bestFit="1" customWidth="1"/>
    <col min="7951" max="7951" width="9" style="11" customWidth="1"/>
    <col min="7952" max="7952" width="21.140625" style="11" bestFit="1" customWidth="1"/>
    <col min="7953" max="8195" width="8.7109375" style="11"/>
    <col min="8196" max="8196" width="20.140625" style="11" customWidth="1"/>
    <col min="8197" max="8197" width="16.140625" style="11" customWidth="1"/>
    <col min="8198" max="8198" width="12" style="11" customWidth="1"/>
    <col min="8199" max="8199" width="8.85546875" style="11" customWidth="1"/>
    <col min="8200" max="8200" width="9.42578125" style="11" customWidth="1"/>
    <col min="8201" max="8201" width="11.5703125" style="11" customWidth="1"/>
    <col min="8202" max="8202" width="12" style="11" bestFit="1" customWidth="1"/>
    <col min="8203" max="8203" width="12.140625" style="11" customWidth="1"/>
    <col min="8204" max="8204" width="20.140625" style="11" bestFit="1" customWidth="1"/>
    <col min="8205" max="8205" width="10.5703125" style="11" bestFit="1" customWidth="1"/>
    <col min="8206" max="8206" width="16.140625" style="11" bestFit="1" customWidth="1"/>
    <col min="8207" max="8207" width="9" style="11" customWidth="1"/>
    <col min="8208" max="8208" width="21.140625" style="11" bestFit="1" customWidth="1"/>
    <col min="8209" max="8451" width="8.7109375" style="11"/>
    <col min="8452" max="8452" width="20.140625" style="11" customWidth="1"/>
    <col min="8453" max="8453" width="16.140625" style="11" customWidth="1"/>
    <col min="8454" max="8454" width="12" style="11" customWidth="1"/>
    <col min="8455" max="8455" width="8.85546875" style="11" customWidth="1"/>
    <col min="8456" max="8456" width="9.42578125" style="11" customWidth="1"/>
    <col min="8457" max="8457" width="11.5703125" style="11" customWidth="1"/>
    <col min="8458" max="8458" width="12" style="11" bestFit="1" customWidth="1"/>
    <col min="8459" max="8459" width="12.140625" style="11" customWidth="1"/>
    <col min="8460" max="8460" width="20.140625" style="11" bestFit="1" customWidth="1"/>
    <col min="8461" max="8461" width="10.5703125" style="11" bestFit="1" customWidth="1"/>
    <col min="8462" max="8462" width="16.140625" style="11" bestFit="1" customWidth="1"/>
    <col min="8463" max="8463" width="9" style="11" customWidth="1"/>
    <col min="8464" max="8464" width="21.140625" style="11" bestFit="1" customWidth="1"/>
    <col min="8465" max="8707" width="8.7109375" style="11"/>
    <col min="8708" max="8708" width="20.140625" style="11" customWidth="1"/>
    <col min="8709" max="8709" width="16.140625" style="11" customWidth="1"/>
    <col min="8710" max="8710" width="12" style="11" customWidth="1"/>
    <col min="8711" max="8711" width="8.85546875" style="11" customWidth="1"/>
    <col min="8712" max="8712" width="9.42578125" style="11" customWidth="1"/>
    <col min="8713" max="8713" width="11.5703125" style="11" customWidth="1"/>
    <col min="8714" max="8714" width="12" style="11" bestFit="1" customWidth="1"/>
    <col min="8715" max="8715" width="12.140625" style="11" customWidth="1"/>
    <col min="8716" max="8716" width="20.140625" style="11" bestFit="1" customWidth="1"/>
    <col min="8717" max="8717" width="10.5703125" style="11" bestFit="1" customWidth="1"/>
    <col min="8718" max="8718" width="16.140625" style="11" bestFit="1" customWidth="1"/>
    <col min="8719" max="8719" width="9" style="11" customWidth="1"/>
    <col min="8720" max="8720" width="21.140625" style="11" bestFit="1" customWidth="1"/>
    <col min="8721" max="8963" width="8.7109375" style="11"/>
    <col min="8964" max="8964" width="20.140625" style="11" customWidth="1"/>
    <col min="8965" max="8965" width="16.140625" style="11" customWidth="1"/>
    <col min="8966" max="8966" width="12" style="11" customWidth="1"/>
    <col min="8967" max="8967" width="8.85546875" style="11" customWidth="1"/>
    <col min="8968" max="8968" width="9.42578125" style="11" customWidth="1"/>
    <col min="8969" max="8969" width="11.5703125" style="11" customWidth="1"/>
    <col min="8970" max="8970" width="12" style="11" bestFit="1" customWidth="1"/>
    <col min="8971" max="8971" width="12.140625" style="11" customWidth="1"/>
    <col min="8972" max="8972" width="20.140625" style="11" bestFit="1" customWidth="1"/>
    <col min="8973" max="8973" width="10.5703125" style="11" bestFit="1" customWidth="1"/>
    <col min="8974" max="8974" width="16.140625" style="11" bestFit="1" customWidth="1"/>
    <col min="8975" max="8975" width="9" style="11" customWidth="1"/>
    <col min="8976" max="8976" width="21.140625" style="11" bestFit="1" customWidth="1"/>
    <col min="8977" max="9219" width="8.7109375" style="11"/>
    <col min="9220" max="9220" width="20.140625" style="11" customWidth="1"/>
    <col min="9221" max="9221" width="16.140625" style="11" customWidth="1"/>
    <col min="9222" max="9222" width="12" style="11" customWidth="1"/>
    <col min="9223" max="9223" width="8.85546875" style="11" customWidth="1"/>
    <col min="9224" max="9224" width="9.42578125" style="11" customWidth="1"/>
    <col min="9225" max="9225" width="11.5703125" style="11" customWidth="1"/>
    <col min="9226" max="9226" width="12" style="11" bestFit="1" customWidth="1"/>
    <col min="9227" max="9227" width="12.140625" style="11" customWidth="1"/>
    <col min="9228" max="9228" width="20.140625" style="11" bestFit="1" customWidth="1"/>
    <col min="9229" max="9229" width="10.5703125" style="11" bestFit="1" customWidth="1"/>
    <col min="9230" max="9230" width="16.140625" style="11" bestFit="1" customWidth="1"/>
    <col min="9231" max="9231" width="9" style="11" customWidth="1"/>
    <col min="9232" max="9232" width="21.140625" style="11" bestFit="1" customWidth="1"/>
    <col min="9233" max="9475" width="8.7109375" style="11"/>
    <col min="9476" max="9476" width="20.140625" style="11" customWidth="1"/>
    <col min="9477" max="9477" width="16.140625" style="11" customWidth="1"/>
    <col min="9478" max="9478" width="12" style="11" customWidth="1"/>
    <col min="9479" max="9479" width="8.85546875" style="11" customWidth="1"/>
    <col min="9480" max="9480" width="9.42578125" style="11" customWidth="1"/>
    <col min="9481" max="9481" width="11.5703125" style="11" customWidth="1"/>
    <col min="9482" max="9482" width="12" style="11" bestFit="1" customWidth="1"/>
    <col min="9483" max="9483" width="12.140625" style="11" customWidth="1"/>
    <col min="9484" max="9484" width="20.140625" style="11" bestFit="1" customWidth="1"/>
    <col min="9485" max="9485" width="10.5703125" style="11" bestFit="1" customWidth="1"/>
    <col min="9486" max="9486" width="16.140625" style="11" bestFit="1" customWidth="1"/>
    <col min="9487" max="9487" width="9" style="11" customWidth="1"/>
    <col min="9488" max="9488" width="21.140625" style="11" bestFit="1" customWidth="1"/>
    <col min="9489" max="9731" width="8.7109375" style="11"/>
    <col min="9732" max="9732" width="20.140625" style="11" customWidth="1"/>
    <col min="9733" max="9733" width="16.140625" style="11" customWidth="1"/>
    <col min="9734" max="9734" width="12" style="11" customWidth="1"/>
    <col min="9735" max="9735" width="8.85546875" style="11" customWidth="1"/>
    <col min="9736" max="9736" width="9.42578125" style="11" customWidth="1"/>
    <col min="9737" max="9737" width="11.5703125" style="11" customWidth="1"/>
    <col min="9738" max="9738" width="12" style="11" bestFit="1" customWidth="1"/>
    <col min="9739" max="9739" width="12.140625" style="11" customWidth="1"/>
    <col min="9740" max="9740" width="20.140625" style="11" bestFit="1" customWidth="1"/>
    <col min="9741" max="9741" width="10.5703125" style="11" bestFit="1" customWidth="1"/>
    <col min="9742" max="9742" width="16.140625" style="11" bestFit="1" customWidth="1"/>
    <col min="9743" max="9743" width="9" style="11" customWidth="1"/>
    <col min="9744" max="9744" width="21.140625" style="11" bestFit="1" customWidth="1"/>
    <col min="9745" max="9987" width="8.7109375" style="11"/>
    <col min="9988" max="9988" width="20.140625" style="11" customWidth="1"/>
    <col min="9989" max="9989" width="16.140625" style="11" customWidth="1"/>
    <col min="9990" max="9990" width="12" style="11" customWidth="1"/>
    <col min="9991" max="9991" width="8.85546875" style="11" customWidth="1"/>
    <col min="9992" max="9992" width="9.42578125" style="11" customWidth="1"/>
    <col min="9993" max="9993" width="11.5703125" style="11" customWidth="1"/>
    <col min="9994" max="9994" width="12" style="11" bestFit="1" customWidth="1"/>
    <col min="9995" max="9995" width="12.140625" style="11" customWidth="1"/>
    <col min="9996" max="9996" width="20.140625" style="11" bestFit="1" customWidth="1"/>
    <col min="9997" max="9997" width="10.5703125" style="11" bestFit="1" customWidth="1"/>
    <col min="9998" max="9998" width="16.140625" style="11" bestFit="1" customWidth="1"/>
    <col min="9999" max="9999" width="9" style="11" customWidth="1"/>
    <col min="10000" max="10000" width="21.140625" style="11" bestFit="1" customWidth="1"/>
    <col min="10001" max="10243" width="8.7109375" style="11"/>
    <col min="10244" max="10244" width="20.140625" style="11" customWidth="1"/>
    <col min="10245" max="10245" width="16.140625" style="11" customWidth="1"/>
    <col min="10246" max="10246" width="12" style="11" customWidth="1"/>
    <col min="10247" max="10247" width="8.85546875" style="11" customWidth="1"/>
    <col min="10248" max="10248" width="9.42578125" style="11" customWidth="1"/>
    <col min="10249" max="10249" width="11.5703125" style="11" customWidth="1"/>
    <col min="10250" max="10250" width="12" style="11" bestFit="1" customWidth="1"/>
    <col min="10251" max="10251" width="12.140625" style="11" customWidth="1"/>
    <col min="10252" max="10252" width="20.140625" style="11" bestFit="1" customWidth="1"/>
    <col min="10253" max="10253" width="10.5703125" style="11" bestFit="1" customWidth="1"/>
    <col min="10254" max="10254" width="16.140625" style="11" bestFit="1" customWidth="1"/>
    <col min="10255" max="10255" width="9" style="11" customWidth="1"/>
    <col min="10256" max="10256" width="21.140625" style="11" bestFit="1" customWidth="1"/>
    <col min="10257" max="10499" width="8.7109375" style="11"/>
    <col min="10500" max="10500" width="20.140625" style="11" customWidth="1"/>
    <col min="10501" max="10501" width="16.140625" style="11" customWidth="1"/>
    <col min="10502" max="10502" width="12" style="11" customWidth="1"/>
    <col min="10503" max="10503" width="8.85546875" style="11" customWidth="1"/>
    <col min="10504" max="10504" width="9.42578125" style="11" customWidth="1"/>
    <col min="10505" max="10505" width="11.5703125" style="11" customWidth="1"/>
    <col min="10506" max="10506" width="12" style="11" bestFit="1" customWidth="1"/>
    <col min="10507" max="10507" width="12.140625" style="11" customWidth="1"/>
    <col min="10508" max="10508" width="20.140625" style="11" bestFit="1" customWidth="1"/>
    <col min="10509" max="10509" width="10.5703125" style="11" bestFit="1" customWidth="1"/>
    <col min="10510" max="10510" width="16.140625" style="11" bestFit="1" customWidth="1"/>
    <col min="10511" max="10511" width="9" style="11" customWidth="1"/>
    <col min="10512" max="10512" width="21.140625" style="11" bestFit="1" customWidth="1"/>
    <col min="10513" max="10755" width="8.7109375" style="11"/>
    <col min="10756" max="10756" width="20.140625" style="11" customWidth="1"/>
    <col min="10757" max="10757" width="16.140625" style="11" customWidth="1"/>
    <col min="10758" max="10758" width="12" style="11" customWidth="1"/>
    <col min="10759" max="10759" width="8.85546875" style="11" customWidth="1"/>
    <col min="10760" max="10760" width="9.42578125" style="11" customWidth="1"/>
    <col min="10761" max="10761" width="11.5703125" style="11" customWidth="1"/>
    <col min="10762" max="10762" width="12" style="11" bestFit="1" customWidth="1"/>
    <col min="10763" max="10763" width="12.140625" style="11" customWidth="1"/>
    <col min="10764" max="10764" width="20.140625" style="11" bestFit="1" customWidth="1"/>
    <col min="10765" max="10765" width="10.5703125" style="11" bestFit="1" customWidth="1"/>
    <col min="10766" max="10766" width="16.140625" style="11" bestFit="1" customWidth="1"/>
    <col min="10767" max="10767" width="9" style="11" customWidth="1"/>
    <col min="10768" max="10768" width="21.140625" style="11" bestFit="1" customWidth="1"/>
    <col min="10769" max="11011" width="8.7109375" style="11"/>
    <col min="11012" max="11012" width="20.140625" style="11" customWidth="1"/>
    <col min="11013" max="11013" width="16.140625" style="11" customWidth="1"/>
    <col min="11014" max="11014" width="12" style="11" customWidth="1"/>
    <col min="11015" max="11015" width="8.85546875" style="11" customWidth="1"/>
    <col min="11016" max="11016" width="9.42578125" style="11" customWidth="1"/>
    <col min="11017" max="11017" width="11.5703125" style="11" customWidth="1"/>
    <col min="11018" max="11018" width="12" style="11" bestFit="1" customWidth="1"/>
    <col min="11019" max="11019" width="12.140625" style="11" customWidth="1"/>
    <col min="11020" max="11020" width="20.140625" style="11" bestFit="1" customWidth="1"/>
    <col min="11021" max="11021" width="10.5703125" style="11" bestFit="1" customWidth="1"/>
    <col min="11022" max="11022" width="16.140625" style="11" bestFit="1" customWidth="1"/>
    <col min="11023" max="11023" width="9" style="11" customWidth="1"/>
    <col min="11024" max="11024" width="21.140625" style="11" bestFit="1" customWidth="1"/>
    <col min="11025" max="11267" width="8.7109375" style="11"/>
    <col min="11268" max="11268" width="20.140625" style="11" customWidth="1"/>
    <col min="11269" max="11269" width="16.140625" style="11" customWidth="1"/>
    <col min="11270" max="11270" width="12" style="11" customWidth="1"/>
    <col min="11271" max="11271" width="8.85546875" style="11" customWidth="1"/>
    <col min="11272" max="11272" width="9.42578125" style="11" customWidth="1"/>
    <col min="11273" max="11273" width="11.5703125" style="11" customWidth="1"/>
    <col min="11274" max="11274" width="12" style="11" bestFit="1" customWidth="1"/>
    <col min="11275" max="11275" width="12.140625" style="11" customWidth="1"/>
    <col min="11276" max="11276" width="20.140625" style="11" bestFit="1" customWidth="1"/>
    <col min="11277" max="11277" width="10.5703125" style="11" bestFit="1" customWidth="1"/>
    <col min="11278" max="11278" width="16.140625" style="11" bestFit="1" customWidth="1"/>
    <col min="11279" max="11279" width="9" style="11" customWidth="1"/>
    <col min="11280" max="11280" width="21.140625" style="11" bestFit="1" customWidth="1"/>
    <col min="11281" max="11523" width="8.7109375" style="11"/>
    <col min="11524" max="11524" width="20.140625" style="11" customWidth="1"/>
    <col min="11525" max="11525" width="16.140625" style="11" customWidth="1"/>
    <col min="11526" max="11526" width="12" style="11" customWidth="1"/>
    <col min="11527" max="11527" width="8.85546875" style="11" customWidth="1"/>
    <col min="11528" max="11528" width="9.42578125" style="11" customWidth="1"/>
    <col min="11529" max="11529" width="11.5703125" style="11" customWidth="1"/>
    <col min="11530" max="11530" width="12" style="11" bestFit="1" customWidth="1"/>
    <col min="11531" max="11531" width="12.140625" style="11" customWidth="1"/>
    <col min="11532" max="11532" width="20.140625" style="11" bestFit="1" customWidth="1"/>
    <col min="11533" max="11533" width="10.5703125" style="11" bestFit="1" customWidth="1"/>
    <col min="11534" max="11534" width="16.140625" style="11" bestFit="1" customWidth="1"/>
    <col min="11535" max="11535" width="9" style="11" customWidth="1"/>
    <col min="11536" max="11536" width="21.140625" style="11" bestFit="1" customWidth="1"/>
    <col min="11537" max="11779" width="8.7109375" style="11"/>
    <col min="11780" max="11780" width="20.140625" style="11" customWidth="1"/>
    <col min="11781" max="11781" width="16.140625" style="11" customWidth="1"/>
    <col min="11782" max="11782" width="12" style="11" customWidth="1"/>
    <col min="11783" max="11783" width="8.85546875" style="11" customWidth="1"/>
    <col min="11784" max="11784" width="9.42578125" style="11" customWidth="1"/>
    <col min="11785" max="11785" width="11.5703125" style="11" customWidth="1"/>
    <col min="11786" max="11786" width="12" style="11" bestFit="1" customWidth="1"/>
    <col min="11787" max="11787" width="12.140625" style="11" customWidth="1"/>
    <col min="11788" max="11788" width="20.140625" style="11" bestFit="1" customWidth="1"/>
    <col min="11789" max="11789" width="10.5703125" style="11" bestFit="1" customWidth="1"/>
    <col min="11790" max="11790" width="16.140625" style="11" bestFit="1" customWidth="1"/>
    <col min="11791" max="11791" width="9" style="11" customWidth="1"/>
    <col min="11792" max="11792" width="21.140625" style="11" bestFit="1" customWidth="1"/>
    <col min="11793" max="12035" width="8.7109375" style="11"/>
    <col min="12036" max="12036" width="20.140625" style="11" customWidth="1"/>
    <col min="12037" max="12037" width="16.140625" style="11" customWidth="1"/>
    <col min="12038" max="12038" width="12" style="11" customWidth="1"/>
    <col min="12039" max="12039" width="8.85546875" style="11" customWidth="1"/>
    <col min="12040" max="12040" width="9.42578125" style="11" customWidth="1"/>
    <col min="12041" max="12041" width="11.5703125" style="11" customWidth="1"/>
    <col min="12042" max="12042" width="12" style="11" bestFit="1" customWidth="1"/>
    <col min="12043" max="12043" width="12.140625" style="11" customWidth="1"/>
    <col min="12044" max="12044" width="20.140625" style="11" bestFit="1" customWidth="1"/>
    <col min="12045" max="12045" width="10.5703125" style="11" bestFit="1" customWidth="1"/>
    <col min="12046" max="12046" width="16.140625" style="11" bestFit="1" customWidth="1"/>
    <col min="12047" max="12047" width="9" style="11" customWidth="1"/>
    <col min="12048" max="12048" width="21.140625" style="11" bestFit="1" customWidth="1"/>
    <col min="12049" max="12291" width="8.7109375" style="11"/>
    <col min="12292" max="12292" width="20.140625" style="11" customWidth="1"/>
    <col min="12293" max="12293" width="16.140625" style="11" customWidth="1"/>
    <col min="12294" max="12294" width="12" style="11" customWidth="1"/>
    <col min="12295" max="12295" width="8.85546875" style="11" customWidth="1"/>
    <col min="12296" max="12296" width="9.42578125" style="11" customWidth="1"/>
    <col min="12297" max="12297" width="11.5703125" style="11" customWidth="1"/>
    <col min="12298" max="12298" width="12" style="11" bestFit="1" customWidth="1"/>
    <col min="12299" max="12299" width="12.140625" style="11" customWidth="1"/>
    <col min="12300" max="12300" width="20.140625" style="11" bestFit="1" customWidth="1"/>
    <col min="12301" max="12301" width="10.5703125" style="11" bestFit="1" customWidth="1"/>
    <col min="12302" max="12302" width="16.140625" style="11" bestFit="1" customWidth="1"/>
    <col min="12303" max="12303" width="9" style="11" customWidth="1"/>
    <col min="12304" max="12304" width="21.140625" style="11" bestFit="1" customWidth="1"/>
    <col min="12305" max="12547" width="8.7109375" style="11"/>
    <col min="12548" max="12548" width="20.140625" style="11" customWidth="1"/>
    <col min="12549" max="12549" width="16.140625" style="11" customWidth="1"/>
    <col min="12550" max="12550" width="12" style="11" customWidth="1"/>
    <col min="12551" max="12551" width="8.85546875" style="11" customWidth="1"/>
    <col min="12552" max="12552" width="9.42578125" style="11" customWidth="1"/>
    <col min="12553" max="12553" width="11.5703125" style="11" customWidth="1"/>
    <col min="12554" max="12554" width="12" style="11" bestFit="1" customWidth="1"/>
    <col min="12555" max="12555" width="12.140625" style="11" customWidth="1"/>
    <col min="12556" max="12556" width="20.140625" style="11" bestFit="1" customWidth="1"/>
    <col min="12557" max="12557" width="10.5703125" style="11" bestFit="1" customWidth="1"/>
    <col min="12558" max="12558" width="16.140625" style="11" bestFit="1" customWidth="1"/>
    <col min="12559" max="12559" width="9" style="11" customWidth="1"/>
    <col min="12560" max="12560" width="21.140625" style="11" bestFit="1" customWidth="1"/>
    <col min="12561" max="12803" width="8.7109375" style="11"/>
    <col min="12804" max="12804" width="20.140625" style="11" customWidth="1"/>
    <col min="12805" max="12805" width="16.140625" style="11" customWidth="1"/>
    <col min="12806" max="12806" width="12" style="11" customWidth="1"/>
    <col min="12807" max="12807" width="8.85546875" style="11" customWidth="1"/>
    <col min="12808" max="12808" width="9.42578125" style="11" customWidth="1"/>
    <col min="12809" max="12809" width="11.5703125" style="11" customWidth="1"/>
    <col min="12810" max="12810" width="12" style="11" bestFit="1" customWidth="1"/>
    <col min="12811" max="12811" width="12.140625" style="11" customWidth="1"/>
    <col min="12812" max="12812" width="20.140625" style="11" bestFit="1" customWidth="1"/>
    <col min="12813" max="12813" width="10.5703125" style="11" bestFit="1" customWidth="1"/>
    <col min="12814" max="12814" width="16.140625" style="11" bestFit="1" customWidth="1"/>
    <col min="12815" max="12815" width="9" style="11" customWidth="1"/>
    <col min="12816" max="12816" width="21.140625" style="11" bestFit="1" customWidth="1"/>
    <col min="12817" max="13059" width="8.7109375" style="11"/>
    <col min="13060" max="13060" width="20.140625" style="11" customWidth="1"/>
    <col min="13061" max="13061" width="16.140625" style="11" customWidth="1"/>
    <col min="13062" max="13062" width="12" style="11" customWidth="1"/>
    <col min="13063" max="13063" width="8.85546875" style="11" customWidth="1"/>
    <col min="13064" max="13064" width="9.42578125" style="11" customWidth="1"/>
    <col min="13065" max="13065" width="11.5703125" style="11" customWidth="1"/>
    <col min="13066" max="13066" width="12" style="11" bestFit="1" customWidth="1"/>
    <col min="13067" max="13067" width="12.140625" style="11" customWidth="1"/>
    <col min="13068" max="13068" width="20.140625" style="11" bestFit="1" customWidth="1"/>
    <col min="13069" max="13069" width="10.5703125" style="11" bestFit="1" customWidth="1"/>
    <col min="13070" max="13070" width="16.140625" style="11" bestFit="1" customWidth="1"/>
    <col min="13071" max="13071" width="9" style="11" customWidth="1"/>
    <col min="13072" max="13072" width="21.140625" style="11" bestFit="1" customWidth="1"/>
    <col min="13073" max="13315" width="8.7109375" style="11"/>
    <col min="13316" max="13316" width="20.140625" style="11" customWidth="1"/>
    <col min="13317" max="13317" width="16.140625" style="11" customWidth="1"/>
    <col min="13318" max="13318" width="12" style="11" customWidth="1"/>
    <col min="13319" max="13319" width="8.85546875" style="11" customWidth="1"/>
    <col min="13320" max="13320" width="9.42578125" style="11" customWidth="1"/>
    <col min="13321" max="13321" width="11.5703125" style="11" customWidth="1"/>
    <col min="13322" max="13322" width="12" style="11" bestFit="1" customWidth="1"/>
    <col min="13323" max="13323" width="12.140625" style="11" customWidth="1"/>
    <col min="13324" max="13324" width="20.140625" style="11" bestFit="1" customWidth="1"/>
    <col min="13325" max="13325" width="10.5703125" style="11" bestFit="1" customWidth="1"/>
    <col min="13326" max="13326" width="16.140625" style="11" bestFit="1" customWidth="1"/>
    <col min="13327" max="13327" width="9" style="11" customWidth="1"/>
    <col min="13328" max="13328" width="21.140625" style="11" bestFit="1" customWidth="1"/>
    <col min="13329" max="13571" width="8.7109375" style="11"/>
    <col min="13572" max="13572" width="20.140625" style="11" customWidth="1"/>
    <col min="13573" max="13573" width="16.140625" style="11" customWidth="1"/>
    <col min="13574" max="13574" width="12" style="11" customWidth="1"/>
    <col min="13575" max="13575" width="8.85546875" style="11" customWidth="1"/>
    <col min="13576" max="13576" width="9.42578125" style="11" customWidth="1"/>
    <col min="13577" max="13577" width="11.5703125" style="11" customWidth="1"/>
    <col min="13578" max="13578" width="12" style="11" bestFit="1" customWidth="1"/>
    <col min="13579" max="13579" width="12.140625" style="11" customWidth="1"/>
    <col min="13580" max="13580" width="20.140625" style="11" bestFit="1" customWidth="1"/>
    <col min="13581" max="13581" width="10.5703125" style="11" bestFit="1" customWidth="1"/>
    <col min="13582" max="13582" width="16.140625" style="11" bestFit="1" customWidth="1"/>
    <col min="13583" max="13583" width="9" style="11" customWidth="1"/>
    <col min="13584" max="13584" width="21.140625" style="11" bestFit="1" customWidth="1"/>
    <col min="13585" max="13827" width="8.7109375" style="11"/>
    <col min="13828" max="13828" width="20.140625" style="11" customWidth="1"/>
    <col min="13829" max="13829" width="16.140625" style="11" customWidth="1"/>
    <col min="13830" max="13830" width="12" style="11" customWidth="1"/>
    <col min="13831" max="13831" width="8.85546875" style="11" customWidth="1"/>
    <col min="13832" max="13832" width="9.42578125" style="11" customWidth="1"/>
    <col min="13833" max="13833" width="11.5703125" style="11" customWidth="1"/>
    <col min="13834" max="13834" width="12" style="11" bestFit="1" customWidth="1"/>
    <col min="13835" max="13835" width="12.140625" style="11" customWidth="1"/>
    <col min="13836" max="13836" width="20.140625" style="11" bestFit="1" customWidth="1"/>
    <col min="13837" max="13837" width="10.5703125" style="11" bestFit="1" customWidth="1"/>
    <col min="13838" max="13838" width="16.140625" style="11" bestFit="1" customWidth="1"/>
    <col min="13839" max="13839" width="9" style="11" customWidth="1"/>
    <col min="13840" max="13840" width="21.140625" style="11" bestFit="1" customWidth="1"/>
    <col min="13841" max="14083" width="8.7109375" style="11"/>
    <col min="14084" max="14084" width="20.140625" style="11" customWidth="1"/>
    <col min="14085" max="14085" width="16.140625" style="11" customWidth="1"/>
    <col min="14086" max="14086" width="12" style="11" customWidth="1"/>
    <col min="14087" max="14087" width="8.85546875" style="11" customWidth="1"/>
    <col min="14088" max="14088" width="9.42578125" style="11" customWidth="1"/>
    <col min="14089" max="14089" width="11.5703125" style="11" customWidth="1"/>
    <col min="14090" max="14090" width="12" style="11" bestFit="1" customWidth="1"/>
    <col min="14091" max="14091" width="12.140625" style="11" customWidth="1"/>
    <col min="14092" max="14092" width="20.140625" style="11" bestFit="1" customWidth="1"/>
    <col min="14093" max="14093" width="10.5703125" style="11" bestFit="1" customWidth="1"/>
    <col min="14094" max="14094" width="16.140625" style="11" bestFit="1" customWidth="1"/>
    <col min="14095" max="14095" width="9" style="11" customWidth="1"/>
    <col min="14096" max="14096" width="21.140625" style="11" bestFit="1" customWidth="1"/>
    <col min="14097" max="14339" width="8.7109375" style="11"/>
    <col min="14340" max="14340" width="20.140625" style="11" customWidth="1"/>
    <col min="14341" max="14341" width="16.140625" style="11" customWidth="1"/>
    <col min="14342" max="14342" width="12" style="11" customWidth="1"/>
    <col min="14343" max="14343" width="8.85546875" style="11" customWidth="1"/>
    <col min="14344" max="14344" width="9.42578125" style="11" customWidth="1"/>
    <col min="14345" max="14345" width="11.5703125" style="11" customWidth="1"/>
    <col min="14346" max="14346" width="12" style="11" bestFit="1" customWidth="1"/>
    <col min="14347" max="14347" width="12.140625" style="11" customWidth="1"/>
    <col min="14348" max="14348" width="20.140625" style="11" bestFit="1" customWidth="1"/>
    <col min="14349" max="14349" width="10.5703125" style="11" bestFit="1" customWidth="1"/>
    <col min="14350" max="14350" width="16.140625" style="11" bestFit="1" customWidth="1"/>
    <col min="14351" max="14351" width="9" style="11" customWidth="1"/>
    <col min="14352" max="14352" width="21.140625" style="11" bestFit="1" customWidth="1"/>
    <col min="14353" max="14595" width="8.7109375" style="11"/>
    <col min="14596" max="14596" width="20.140625" style="11" customWidth="1"/>
    <col min="14597" max="14597" width="16.140625" style="11" customWidth="1"/>
    <col min="14598" max="14598" width="12" style="11" customWidth="1"/>
    <col min="14599" max="14599" width="8.85546875" style="11" customWidth="1"/>
    <col min="14600" max="14600" width="9.42578125" style="11" customWidth="1"/>
    <col min="14601" max="14601" width="11.5703125" style="11" customWidth="1"/>
    <col min="14602" max="14602" width="12" style="11" bestFit="1" customWidth="1"/>
    <col min="14603" max="14603" width="12.140625" style="11" customWidth="1"/>
    <col min="14604" max="14604" width="20.140625" style="11" bestFit="1" customWidth="1"/>
    <col min="14605" max="14605" width="10.5703125" style="11" bestFit="1" customWidth="1"/>
    <col min="14606" max="14606" width="16.140625" style="11" bestFit="1" customWidth="1"/>
    <col min="14607" max="14607" width="9" style="11" customWidth="1"/>
    <col min="14608" max="14608" width="21.140625" style="11" bestFit="1" customWidth="1"/>
    <col min="14609" max="14851" width="8.7109375" style="11"/>
    <col min="14852" max="14852" width="20.140625" style="11" customWidth="1"/>
    <col min="14853" max="14853" width="16.140625" style="11" customWidth="1"/>
    <col min="14854" max="14854" width="12" style="11" customWidth="1"/>
    <col min="14855" max="14855" width="8.85546875" style="11" customWidth="1"/>
    <col min="14856" max="14856" width="9.42578125" style="11" customWidth="1"/>
    <col min="14857" max="14857" width="11.5703125" style="11" customWidth="1"/>
    <col min="14858" max="14858" width="12" style="11" bestFit="1" customWidth="1"/>
    <col min="14859" max="14859" width="12.140625" style="11" customWidth="1"/>
    <col min="14860" max="14860" width="20.140625" style="11" bestFit="1" customWidth="1"/>
    <col min="14861" max="14861" width="10.5703125" style="11" bestFit="1" customWidth="1"/>
    <col min="14862" max="14862" width="16.140625" style="11" bestFit="1" customWidth="1"/>
    <col min="14863" max="14863" width="9" style="11" customWidth="1"/>
    <col min="14864" max="14864" width="21.140625" style="11" bestFit="1" customWidth="1"/>
    <col min="14865" max="15107" width="8.7109375" style="11"/>
    <col min="15108" max="15108" width="20.140625" style="11" customWidth="1"/>
    <col min="15109" max="15109" width="16.140625" style="11" customWidth="1"/>
    <col min="15110" max="15110" width="12" style="11" customWidth="1"/>
    <col min="15111" max="15111" width="8.85546875" style="11" customWidth="1"/>
    <col min="15112" max="15112" width="9.42578125" style="11" customWidth="1"/>
    <col min="15113" max="15113" width="11.5703125" style="11" customWidth="1"/>
    <col min="15114" max="15114" width="12" style="11" bestFit="1" customWidth="1"/>
    <col min="15115" max="15115" width="12.140625" style="11" customWidth="1"/>
    <col min="15116" max="15116" width="20.140625" style="11" bestFit="1" customWidth="1"/>
    <col min="15117" max="15117" width="10.5703125" style="11" bestFit="1" customWidth="1"/>
    <col min="15118" max="15118" width="16.140625" style="11" bestFit="1" customWidth="1"/>
    <col min="15119" max="15119" width="9" style="11" customWidth="1"/>
    <col min="15120" max="15120" width="21.140625" style="11" bestFit="1" customWidth="1"/>
    <col min="15121" max="15363" width="8.7109375" style="11"/>
    <col min="15364" max="15364" width="20.140625" style="11" customWidth="1"/>
    <col min="15365" max="15365" width="16.140625" style="11" customWidth="1"/>
    <col min="15366" max="15366" width="12" style="11" customWidth="1"/>
    <col min="15367" max="15367" width="8.85546875" style="11" customWidth="1"/>
    <col min="15368" max="15368" width="9.42578125" style="11" customWidth="1"/>
    <col min="15369" max="15369" width="11.5703125" style="11" customWidth="1"/>
    <col min="15370" max="15370" width="12" style="11" bestFit="1" customWidth="1"/>
    <col min="15371" max="15371" width="12.140625" style="11" customWidth="1"/>
    <col min="15372" max="15372" width="20.140625" style="11" bestFit="1" customWidth="1"/>
    <col min="15373" max="15373" width="10.5703125" style="11" bestFit="1" customWidth="1"/>
    <col min="15374" max="15374" width="16.140625" style="11" bestFit="1" customWidth="1"/>
    <col min="15375" max="15375" width="9" style="11" customWidth="1"/>
    <col min="15376" max="15376" width="21.140625" style="11" bestFit="1" customWidth="1"/>
    <col min="15377" max="15619" width="8.7109375" style="11"/>
    <col min="15620" max="15620" width="20.140625" style="11" customWidth="1"/>
    <col min="15621" max="15621" width="16.140625" style="11" customWidth="1"/>
    <col min="15622" max="15622" width="12" style="11" customWidth="1"/>
    <col min="15623" max="15623" width="8.85546875" style="11" customWidth="1"/>
    <col min="15624" max="15624" width="9.42578125" style="11" customWidth="1"/>
    <col min="15625" max="15625" width="11.5703125" style="11" customWidth="1"/>
    <col min="15626" max="15626" width="12" style="11" bestFit="1" customWidth="1"/>
    <col min="15627" max="15627" width="12.140625" style="11" customWidth="1"/>
    <col min="15628" max="15628" width="20.140625" style="11" bestFit="1" customWidth="1"/>
    <col min="15629" max="15629" width="10.5703125" style="11" bestFit="1" customWidth="1"/>
    <col min="15630" max="15630" width="16.140625" style="11" bestFit="1" customWidth="1"/>
    <col min="15631" max="15631" width="9" style="11" customWidth="1"/>
    <col min="15632" max="15632" width="21.140625" style="11" bestFit="1" customWidth="1"/>
    <col min="15633" max="15875" width="8.7109375" style="11"/>
    <col min="15876" max="15876" width="20.140625" style="11" customWidth="1"/>
    <col min="15877" max="15877" width="16.140625" style="11" customWidth="1"/>
    <col min="15878" max="15878" width="12" style="11" customWidth="1"/>
    <col min="15879" max="15879" width="8.85546875" style="11" customWidth="1"/>
    <col min="15880" max="15880" width="9.42578125" style="11" customWidth="1"/>
    <col min="15881" max="15881" width="11.5703125" style="11" customWidth="1"/>
    <col min="15882" max="15882" width="12" style="11" bestFit="1" customWidth="1"/>
    <col min="15883" max="15883" width="12.140625" style="11" customWidth="1"/>
    <col min="15884" max="15884" width="20.140625" style="11" bestFit="1" customWidth="1"/>
    <col min="15885" max="15885" width="10.5703125" style="11" bestFit="1" customWidth="1"/>
    <col min="15886" max="15886" width="16.140625" style="11" bestFit="1" customWidth="1"/>
    <col min="15887" max="15887" width="9" style="11" customWidth="1"/>
    <col min="15888" max="15888" width="21.140625" style="11" bestFit="1" customWidth="1"/>
    <col min="15889" max="16131" width="8.7109375" style="11"/>
    <col min="16132" max="16132" width="20.140625" style="11" customWidth="1"/>
    <col min="16133" max="16133" width="16.140625" style="11" customWidth="1"/>
    <col min="16134" max="16134" width="12" style="11" customWidth="1"/>
    <col min="16135" max="16135" width="8.85546875" style="11" customWidth="1"/>
    <col min="16136" max="16136" width="9.42578125" style="11" customWidth="1"/>
    <col min="16137" max="16137" width="11.5703125" style="11" customWidth="1"/>
    <col min="16138" max="16138" width="12" style="11" bestFit="1" customWidth="1"/>
    <col min="16139" max="16139" width="12.140625" style="11" customWidth="1"/>
    <col min="16140" max="16140" width="20.140625" style="11" bestFit="1" customWidth="1"/>
    <col min="16141" max="16141" width="10.5703125" style="11" bestFit="1" customWidth="1"/>
    <col min="16142" max="16142" width="16.140625" style="11" bestFit="1" customWidth="1"/>
    <col min="16143" max="16143" width="9" style="11" customWidth="1"/>
    <col min="16144" max="16144" width="21.140625" style="11" bestFit="1" customWidth="1"/>
    <col min="16145" max="16384" width="8.7109375" style="11"/>
  </cols>
  <sheetData>
    <row r="1" spans="1:26" ht="20.25" thickBot="1">
      <c r="A1" s="20" t="s">
        <v>93</v>
      </c>
      <c r="J1" s="89" t="s">
        <v>455</v>
      </c>
      <c r="M1" s="33"/>
      <c r="P1" s="89" t="s">
        <v>449</v>
      </c>
    </row>
    <row r="2" spans="1:26" ht="15.75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450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445</v>
      </c>
      <c r="M8" s="23"/>
      <c r="N8" s="23" t="s">
        <v>446</v>
      </c>
      <c r="Q8" s="11" t="s">
        <v>451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452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453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454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456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zoomScale="80" zoomScaleNormal="80" workbookViewId="0">
      <selection activeCell="N43" sqref="N42:O43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11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258" width="9.14062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9.14062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9.14062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9.14062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9.14062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9.14062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9.14062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9.14062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9.14062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9.14062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9.14062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9.14062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9.14062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9.14062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9.14062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9.14062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9.14062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9.14062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9.14062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9.14062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9.14062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9.14062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9.14062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9.14062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9.14062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9.14062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9.14062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9.14062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9.14062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9.14062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9.14062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9.14062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9.14062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9.14062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9.14062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9.14062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9.14062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9.14062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9.14062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9.14062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9.14062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9.14062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9.14062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9.14062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9.14062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9.14062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9.14062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9.14062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9.14062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9.14062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9.14062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9.14062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9.14062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9.14062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9.14062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9.14062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9.14062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9.14062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9.14062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9.14062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9.14062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9.14062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9.14062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9.1406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>SUMIF($A$8:$A$33,H11,$D$8:$D$33)</f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5"/>
  <cols>
    <col min="1" max="1" width="14" bestFit="1" customWidth="1"/>
    <col min="2" max="2" width="14.28515625" bestFit="1" customWidth="1"/>
    <col min="3" max="3" width="11.5703125" bestFit="1" customWidth="1"/>
    <col min="4" max="4" width="9.5703125" bestFit="1" customWidth="1"/>
    <col min="5" max="5" width="7" bestFit="1" customWidth="1"/>
    <col min="6" max="6" width="4" customWidth="1"/>
    <col min="7" max="7" width="9.140625" customWidth="1"/>
    <col min="11" max="11" width="16.28515625" bestFit="1" customWidth="1"/>
    <col min="14" max="14" width="11.28515625" bestFit="1" customWidth="1"/>
  </cols>
  <sheetData>
    <row r="1" spans="1:15" ht="15.75">
      <c r="A1" s="113" t="s">
        <v>589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580</v>
      </c>
      <c r="H3" s="1"/>
      <c r="I3" s="1" t="s">
        <v>583</v>
      </c>
      <c r="O3" s="117"/>
    </row>
    <row r="4" spans="1:15">
      <c r="A4" s="116"/>
      <c r="B4" t="s">
        <v>578</v>
      </c>
      <c r="C4" t="s">
        <v>223</v>
      </c>
      <c r="D4" t="s">
        <v>579</v>
      </c>
      <c r="E4" t="s">
        <v>225</v>
      </c>
      <c r="I4" s="2" t="s">
        <v>585</v>
      </c>
      <c r="J4" s="2" t="s">
        <v>231</v>
      </c>
      <c r="K4" s="107" t="s">
        <v>232</v>
      </c>
      <c r="L4" t="s">
        <v>586</v>
      </c>
      <c r="N4" t="s">
        <v>587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584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585</v>
      </c>
      <c r="J8" s="2" t="s">
        <v>231</v>
      </c>
      <c r="K8" s="107" t="s">
        <v>232</v>
      </c>
      <c r="L8" t="s">
        <v>586</v>
      </c>
      <c r="N8" t="s">
        <v>587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588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585</v>
      </c>
      <c r="J13" s="2" t="s">
        <v>231</v>
      </c>
      <c r="K13" s="107" t="s">
        <v>232</v>
      </c>
      <c r="L13" t="s">
        <v>586</v>
      </c>
      <c r="N13" t="s">
        <v>587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581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582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I9" sqref="I9"/>
    </sheetView>
  </sheetViews>
  <sheetFormatPr defaultRowHeight="15"/>
  <sheetData>
    <row r="1" spans="1:10">
      <c r="A1" t="s">
        <v>592</v>
      </c>
      <c r="B1" s="125" t="s">
        <v>312</v>
      </c>
      <c r="C1" s="125" t="s">
        <v>591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593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591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594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N24" sqref="N24"/>
    </sheetView>
  </sheetViews>
  <sheetFormatPr defaultRowHeight="15"/>
  <cols>
    <col min="1" max="1" width="12.42578125" bestFit="1" customWidth="1"/>
    <col min="2" max="2" width="13.42578125" customWidth="1"/>
    <col min="3" max="3" width="11" bestFit="1" customWidth="1"/>
    <col min="4" max="4" width="8.85546875" bestFit="1" customWidth="1"/>
    <col min="5" max="5" width="10.5703125" customWidth="1"/>
    <col min="11" max="11" width="9.85546875" bestFit="1" customWidth="1"/>
  </cols>
  <sheetData>
    <row r="1" spans="1:22" ht="20.25" thickBot="1">
      <c r="A1" s="89" t="s">
        <v>448</v>
      </c>
      <c r="B1" s="1"/>
      <c r="C1" s="1"/>
      <c r="D1" s="1"/>
      <c r="E1" s="1"/>
      <c r="K1" s="89" t="s">
        <v>447</v>
      </c>
      <c r="Q1" t="s">
        <v>444</v>
      </c>
    </row>
    <row r="2" spans="1:22" ht="15.75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401</v>
      </c>
      <c r="C3" t="s">
        <v>402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445</v>
      </c>
      <c r="V3" t="s">
        <v>446</v>
      </c>
    </row>
    <row r="4" spans="1:22">
      <c r="B4" t="s">
        <v>401</v>
      </c>
      <c r="C4" t="s">
        <v>403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402</v>
      </c>
      <c r="C5" t="s">
        <v>403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402</v>
      </c>
      <c r="C6" t="s">
        <v>404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403</v>
      </c>
      <c r="C7" t="s">
        <v>405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405</v>
      </c>
      <c r="C8" t="s">
        <v>404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405</v>
      </c>
      <c r="C9" t="s">
        <v>406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405</v>
      </c>
      <c r="C10" t="s">
        <v>407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404</v>
      </c>
      <c r="C11" t="s">
        <v>406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407</v>
      </c>
      <c r="C12" t="s">
        <v>406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5"/>
  <cols>
    <col min="1" max="1" width="43.42578125" style="11" customWidth="1"/>
    <col min="2" max="5" width="9.140625" style="11"/>
    <col min="6" max="6" width="10.140625" style="11" customWidth="1"/>
    <col min="7" max="7" width="10.42578125" style="11" customWidth="1"/>
    <col min="8" max="8" width="9.140625" style="11"/>
    <col min="9" max="9" width="9.85546875" style="11" customWidth="1"/>
    <col min="10" max="256" width="9.140625" style="11"/>
    <col min="257" max="257" width="40.140625" style="11" customWidth="1"/>
    <col min="258" max="261" width="9.140625" style="11"/>
    <col min="262" max="262" width="10.140625" style="11" customWidth="1"/>
    <col min="263" max="263" width="10.42578125" style="11" customWidth="1"/>
    <col min="264" max="264" width="9.140625" style="11"/>
    <col min="265" max="265" width="9.85546875" style="11" customWidth="1"/>
    <col min="266" max="512" width="9.140625" style="11"/>
    <col min="513" max="513" width="40.140625" style="11" customWidth="1"/>
    <col min="514" max="517" width="9.140625" style="11"/>
    <col min="518" max="518" width="10.140625" style="11" customWidth="1"/>
    <col min="519" max="519" width="10.42578125" style="11" customWidth="1"/>
    <col min="520" max="520" width="9.140625" style="11"/>
    <col min="521" max="521" width="9.85546875" style="11" customWidth="1"/>
    <col min="522" max="768" width="9.140625" style="11"/>
    <col min="769" max="769" width="40.140625" style="11" customWidth="1"/>
    <col min="770" max="773" width="9.140625" style="11"/>
    <col min="774" max="774" width="10.140625" style="11" customWidth="1"/>
    <col min="775" max="775" width="10.42578125" style="11" customWidth="1"/>
    <col min="776" max="776" width="9.140625" style="11"/>
    <col min="777" max="777" width="9.85546875" style="11" customWidth="1"/>
    <col min="778" max="1024" width="9.140625" style="11"/>
    <col min="1025" max="1025" width="40.140625" style="11" customWidth="1"/>
    <col min="1026" max="1029" width="9.140625" style="11"/>
    <col min="1030" max="1030" width="10.140625" style="11" customWidth="1"/>
    <col min="1031" max="1031" width="10.42578125" style="11" customWidth="1"/>
    <col min="1032" max="1032" width="9.140625" style="11"/>
    <col min="1033" max="1033" width="9.85546875" style="11" customWidth="1"/>
    <col min="1034" max="1280" width="9.140625" style="11"/>
    <col min="1281" max="1281" width="40.140625" style="11" customWidth="1"/>
    <col min="1282" max="1285" width="9.140625" style="11"/>
    <col min="1286" max="1286" width="10.140625" style="11" customWidth="1"/>
    <col min="1287" max="1287" width="10.42578125" style="11" customWidth="1"/>
    <col min="1288" max="1288" width="9.140625" style="11"/>
    <col min="1289" max="1289" width="9.85546875" style="11" customWidth="1"/>
    <col min="1290" max="1536" width="9.140625" style="11"/>
    <col min="1537" max="1537" width="40.140625" style="11" customWidth="1"/>
    <col min="1538" max="1541" width="9.140625" style="11"/>
    <col min="1542" max="1542" width="10.140625" style="11" customWidth="1"/>
    <col min="1543" max="1543" width="10.42578125" style="11" customWidth="1"/>
    <col min="1544" max="1544" width="9.140625" style="11"/>
    <col min="1545" max="1545" width="9.85546875" style="11" customWidth="1"/>
    <col min="1546" max="1792" width="9.140625" style="11"/>
    <col min="1793" max="1793" width="40.140625" style="11" customWidth="1"/>
    <col min="1794" max="1797" width="9.140625" style="11"/>
    <col min="1798" max="1798" width="10.140625" style="11" customWidth="1"/>
    <col min="1799" max="1799" width="10.42578125" style="11" customWidth="1"/>
    <col min="1800" max="1800" width="9.140625" style="11"/>
    <col min="1801" max="1801" width="9.85546875" style="11" customWidth="1"/>
    <col min="1802" max="2048" width="9.140625" style="11"/>
    <col min="2049" max="2049" width="40.140625" style="11" customWidth="1"/>
    <col min="2050" max="2053" width="9.140625" style="11"/>
    <col min="2054" max="2054" width="10.140625" style="11" customWidth="1"/>
    <col min="2055" max="2055" width="10.42578125" style="11" customWidth="1"/>
    <col min="2056" max="2056" width="9.140625" style="11"/>
    <col min="2057" max="2057" width="9.85546875" style="11" customWidth="1"/>
    <col min="2058" max="2304" width="9.140625" style="11"/>
    <col min="2305" max="2305" width="40.140625" style="11" customWidth="1"/>
    <col min="2306" max="2309" width="9.140625" style="11"/>
    <col min="2310" max="2310" width="10.140625" style="11" customWidth="1"/>
    <col min="2311" max="2311" width="10.42578125" style="11" customWidth="1"/>
    <col min="2312" max="2312" width="9.140625" style="11"/>
    <col min="2313" max="2313" width="9.85546875" style="11" customWidth="1"/>
    <col min="2314" max="2560" width="9.140625" style="11"/>
    <col min="2561" max="2561" width="40.140625" style="11" customWidth="1"/>
    <col min="2562" max="2565" width="9.140625" style="11"/>
    <col min="2566" max="2566" width="10.140625" style="11" customWidth="1"/>
    <col min="2567" max="2567" width="10.42578125" style="11" customWidth="1"/>
    <col min="2568" max="2568" width="9.140625" style="11"/>
    <col min="2569" max="2569" width="9.85546875" style="11" customWidth="1"/>
    <col min="2570" max="2816" width="9.140625" style="11"/>
    <col min="2817" max="2817" width="40.140625" style="11" customWidth="1"/>
    <col min="2818" max="2821" width="9.140625" style="11"/>
    <col min="2822" max="2822" width="10.140625" style="11" customWidth="1"/>
    <col min="2823" max="2823" width="10.42578125" style="11" customWidth="1"/>
    <col min="2824" max="2824" width="9.140625" style="11"/>
    <col min="2825" max="2825" width="9.85546875" style="11" customWidth="1"/>
    <col min="2826" max="3072" width="9.140625" style="11"/>
    <col min="3073" max="3073" width="40.140625" style="11" customWidth="1"/>
    <col min="3074" max="3077" width="9.140625" style="11"/>
    <col min="3078" max="3078" width="10.140625" style="11" customWidth="1"/>
    <col min="3079" max="3079" width="10.42578125" style="11" customWidth="1"/>
    <col min="3080" max="3080" width="9.140625" style="11"/>
    <col min="3081" max="3081" width="9.85546875" style="11" customWidth="1"/>
    <col min="3082" max="3328" width="9.140625" style="11"/>
    <col min="3329" max="3329" width="40.140625" style="11" customWidth="1"/>
    <col min="3330" max="3333" width="9.140625" style="11"/>
    <col min="3334" max="3334" width="10.140625" style="11" customWidth="1"/>
    <col min="3335" max="3335" width="10.42578125" style="11" customWidth="1"/>
    <col min="3336" max="3336" width="9.140625" style="11"/>
    <col min="3337" max="3337" width="9.85546875" style="11" customWidth="1"/>
    <col min="3338" max="3584" width="9.140625" style="11"/>
    <col min="3585" max="3585" width="40.140625" style="11" customWidth="1"/>
    <col min="3586" max="3589" width="9.140625" style="11"/>
    <col min="3590" max="3590" width="10.140625" style="11" customWidth="1"/>
    <col min="3591" max="3591" width="10.42578125" style="11" customWidth="1"/>
    <col min="3592" max="3592" width="9.140625" style="11"/>
    <col min="3593" max="3593" width="9.85546875" style="11" customWidth="1"/>
    <col min="3594" max="3840" width="9.140625" style="11"/>
    <col min="3841" max="3841" width="40.140625" style="11" customWidth="1"/>
    <col min="3842" max="3845" width="9.140625" style="11"/>
    <col min="3846" max="3846" width="10.140625" style="11" customWidth="1"/>
    <col min="3847" max="3847" width="10.42578125" style="11" customWidth="1"/>
    <col min="3848" max="3848" width="9.140625" style="11"/>
    <col min="3849" max="3849" width="9.85546875" style="11" customWidth="1"/>
    <col min="3850" max="4096" width="9.140625" style="11"/>
    <col min="4097" max="4097" width="40.140625" style="11" customWidth="1"/>
    <col min="4098" max="4101" width="9.140625" style="11"/>
    <col min="4102" max="4102" width="10.140625" style="11" customWidth="1"/>
    <col min="4103" max="4103" width="10.42578125" style="11" customWidth="1"/>
    <col min="4104" max="4104" width="9.140625" style="11"/>
    <col min="4105" max="4105" width="9.85546875" style="11" customWidth="1"/>
    <col min="4106" max="4352" width="9.140625" style="11"/>
    <col min="4353" max="4353" width="40.140625" style="11" customWidth="1"/>
    <col min="4354" max="4357" width="9.140625" style="11"/>
    <col min="4358" max="4358" width="10.140625" style="11" customWidth="1"/>
    <col min="4359" max="4359" width="10.42578125" style="11" customWidth="1"/>
    <col min="4360" max="4360" width="9.140625" style="11"/>
    <col min="4361" max="4361" width="9.85546875" style="11" customWidth="1"/>
    <col min="4362" max="4608" width="9.140625" style="11"/>
    <col min="4609" max="4609" width="40.140625" style="11" customWidth="1"/>
    <col min="4610" max="4613" width="9.140625" style="11"/>
    <col min="4614" max="4614" width="10.140625" style="11" customWidth="1"/>
    <col min="4615" max="4615" width="10.42578125" style="11" customWidth="1"/>
    <col min="4616" max="4616" width="9.140625" style="11"/>
    <col min="4617" max="4617" width="9.85546875" style="11" customWidth="1"/>
    <col min="4618" max="4864" width="9.140625" style="11"/>
    <col min="4865" max="4865" width="40.140625" style="11" customWidth="1"/>
    <col min="4866" max="4869" width="9.140625" style="11"/>
    <col min="4870" max="4870" width="10.140625" style="11" customWidth="1"/>
    <col min="4871" max="4871" width="10.42578125" style="11" customWidth="1"/>
    <col min="4872" max="4872" width="9.140625" style="11"/>
    <col min="4873" max="4873" width="9.85546875" style="11" customWidth="1"/>
    <col min="4874" max="5120" width="9.140625" style="11"/>
    <col min="5121" max="5121" width="40.140625" style="11" customWidth="1"/>
    <col min="5122" max="5125" width="9.140625" style="11"/>
    <col min="5126" max="5126" width="10.140625" style="11" customWidth="1"/>
    <col min="5127" max="5127" width="10.42578125" style="11" customWidth="1"/>
    <col min="5128" max="5128" width="9.140625" style="11"/>
    <col min="5129" max="5129" width="9.85546875" style="11" customWidth="1"/>
    <col min="5130" max="5376" width="9.140625" style="11"/>
    <col min="5377" max="5377" width="40.140625" style="11" customWidth="1"/>
    <col min="5378" max="5381" width="9.140625" style="11"/>
    <col min="5382" max="5382" width="10.140625" style="11" customWidth="1"/>
    <col min="5383" max="5383" width="10.42578125" style="11" customWidth="1"/>
    <col min="5384" max="5384" width="9.140625" style="11"/>
    <col min="5385" max="5385" width="9.85546875" style="11" customWidth="1"/>
    <col min="5386" max="5632" width="9.140625" style="11"/>
    <col min="5633" max="5633" width="40.140625" style="11" customWidth="1"/>
    <col min="5634" max="5637" width="9.140625" style="11"/>
    <col min="5638" max="5638" width="10.140625" style="11" customWidth="1"/>
    <col min="5639" max="5639" width="10.42578125" style="11" customWidth="1"/>
    <col min="5640" max="5640" width="9.140625" style="11"/>
    <col min="5641" max="5641" width="9.85546875" style="11" customWidth="1"/>
    <col min="5642" max="5888" width="9.140625" style="11"/>
    <col min="5889" max="5889" width="40.140625" style="11" customWidth="1"/>
    <col min="5890" max="5893" width="9.140625" style="11"/>
    <col min="5894" max="5894" width="10.140625" style="11" customWidth="1"/>
    <col min="5895" max="5895" width="10.42578125" style="11" customWidth="1"/>
    <col min="5896" max="5896" width="9.140625" style="11"/>
    <col min="5897" max="5897" width="9.85546875" style="11" customWidth="1"/>
    <col min="5898" max="6144" width="9.140625" style="11"/>
    <col min="6145" max="6145" width="40.140625" style="11" customWidth="1"/>
    <col min="6146" max="6149" width="9.140625" style="11"/>
    <col min="6150" max="6150" width="10.140625" style="11" customWidth="1"/>
    <col min="6151" max="6151" width="10.42578125" style="11" customWidth="1"/>
    <col min="6152" max="6152" width="9.140625" style="11"/>
    <col min="6153" max="6153" width="9.85546875" style="11" customWidth="1"/>
    <col min="6154" max="6400" width="9.140625" style="11"/>
    <col min="6401" max="6401" width="40.140625" style="11" customWidth="1"/>
    <col min="6402" max="6405" width="9.140625" style="11"/>
    <col min="6406" max="6406" width="10.140625" style="11" customWidth="1"/>
    <col min="6407" max="6407" width="10.42578125" style="11" customWidth="1"/>
    <col min="6408" max="6408" width="9.140625" style="11"/>
    <col min="6409" max="6409" width="9.85546875" style="11" customWidth="1"/>
    <col min="6410" max="6656" width="9.140625" style="11"/>
    <col min="6657" max="6657" width="40.140625" style="11" customWidth="1"/>
    <col min="6658" max="6661" width="9.140625" style="11"/>
    <col min="6662" max="6662" width="10.140625" style="11" customWidth="1"/>
    <col min="6663" max="6663" width="10.42578125" style="11" customWidth="1"/>
    <col min="6664" max="6664" width="9.140625" style="11"/>
    <col min="6665" max="6665" width="9.85546875" style="11" customWidth="1"/>
    <col min="6666" max="6912" width="9.140625" style="11"/>
    <col min="6913" max="6913" width="40.140625" style="11" customWidth="1"/>
    <col min="6914" max="6917" width="9.140625" style="11"/>
    <col min="6918" max="6918" width="10.140625" style="11" customWidth="1"/>
    <col min="6919" max="6919" width="10.42578125" style="11" customWidth="1"/>
    <col min="6920" max="6920" width="9.140625" style="11"/>
    <col min="6921" max="6921" width="9.85546875" style="11" customWidth="1"/>
    <col min="6922" max="7168" width="9.140625" style="11"/>
    <col min="7169" max="7169" width="40.140625" style="11" customWidth="1"/>
    <col min="7170" max="7173" width="9.140625" style="11"/>
    <col min="7174" max="7174" width="10.140625" style="11" customWidth="1"/>
    <col min="7175" max="7175" width="10.42578125" style="11" customWidth="1"/>
    <col min="7176" max="7176" width="9.140625" style="11"/>
    <col min="7177" max="7177" width="9.85546875" style="11" customWidth="1"/>
    <col min="7178" max="7424" width="9.140625" style="11"/>
    <col min="7425" max="7425" width="40.140625" style="11" customWidth="1"/>
    <col min="7426" max="7429" width="9.140625" style="11"/>
    <col min="7430" max="7430" width="10.140625" style="11" customWidth="1"/>
    <col min="7431" max="7431" width="10.42578125" style="11" customWidth="1"/>
    <col min="7432" max="7432" width="9.140625" style="11"/>
    <col min="7433" max="7433" width="9.85546875" style="11" customWidth="1"/>
    <col min="7434" max="7680" width="9.140625" style="11"/>
    <col min="7681" max="7681" width="40.140625" style="11" customWidth="1"/>
    <col min="7682" max="7685" width="9.140625" style="11"/>
    <col min="7686" max="7686" width="10.140625" style="11" customWidth="1"/>
    <col min="7687" max="7687" width="10.42578125" style="11" customWidth="1"/>
    <col min="7688" max="7688" width="9.140625" style="11"/>
    <col min="7689" max="7689" width="9.85546875" style="11" customWidth="1"/>
    <col min="7690" max="7936" width="9.140625" style="11"/>
    <col min="7937" max="7937" width="40.140625" style="11" customWidth="1"/>
    <col min="7938" max="7941" width="9.140625" style="11"/>
    <col min="7942" max="7942" width="10.140625" style="11" customWidth="1"/>
    <col min="7943" max="7943" width="10.42578125" style="11" customWidth="1"/>
    <col min="7944" max="7944" width="9.140625" style="11"/>
    <col min="7945" max="7945" width="9.85546875" style="11" customWidth="1"/>
    <col min="7946" max="8192" width="9.140625" style="11"/>
    <col min="8193" max="8193" width="40.140625" style="11" customWidth="1"/>
    <col min="8194" max="8197" width="9.140625" style="11"/>
    <col min="8198" max="8198" width="10.140625" style="11" customWidth="1"/>
    <col min="8199" max="8199" width="10.42578125" style="11" customWidth="1"/>
    <col min="8200" max="8200" width="9.140625" style="11"/>
    <col min="8201" max="8201" width="9.85546875" style="11" customWidth="1"/>
    <col min="8202" max="8448" width="9.140625" style="11"/>
    <col min="8449" max="8449" width="40.140625" style="11" customWidth="1"/>
    <col min="8450" max="8453" width="9.140625" style="11"/>
    <col min="8454" max="8454" width="10.140625" style="11" customWidth="1"/>
    <col min="8455" max="8455" width="10.42578125" style="11" customWidth="1"/>
    <col min="8456" max="8456" width="9.140625" style="11"/>
    <col min="8457" max="8457" width="9.85546875" style="11" customWidth="1"/>
    <col min="8458" max="8704" width="9.140625" style="11"/>
    <col min="8705" max="8705" width="40.140625" style="11" customWidth="1"/>
    <col min="8706" max="8709" width="9.140625" style="11"/>
    <col min="8710" max="8710" width="10.140625" style="11" customWidth="1"/>
    <col min="8711" max="8711" width="10.42578125" style="11" customWidth="1"/>
    <col min="8712" max="8712" width="9.140625" style="11"/>
    <col min="8713" max="8713" width="9.85546875" style="11" customWidth="1"/>
    <col min="8714" max="8960" width="9.140625" style="11"/>
    <col min="8961" max="8961" width="40.140625" style="11" customWidth="1"/>
    <col min="8962" max="8965" width="9.140625" style="11"/>
    <col min="8966" max="8966" width="10.140625" style="11" customWidth="1"/>
    <col min="8967" max="8967" width="10.42578125" style="11" customWidth="1"/>
    <col min="8968" max="8968" width="9.140625" style="11"/>
    <col min="8969" max="8969" width="9.85546875" style="11" customWidth="1"/>
    <col min="8970" max="9216" width="9.140625" style="11"/>
    <col min="9217" max="9217" width="40.140625" style="11" customWidth="1"/>
    <col min="9218" max="9221" width="9.140625" style="11"/>
    <col min="9222" max="9222" width="10.140625" style="11" customWidth="1"/>
    <col min="9223" max="9223" width="10.42578125" style="11" customWidth="1"/>
    <col min="9224" max="9224" width="9.140625" style="11"/>
    <col min="9225" max="9225" width="9.85546875" style="11" customWidth="1"/>
    <col min="9226" max="9472" width="9.140625" style="11"/>
    <col min="9473" max="9473" width="40.140625" style="11" customWidth="1"/>
    <col min="9474" max="9477" width="9.140625" style="11"/>
    <col min="9478" max="9478" width="10.140625" style="11" customWidth="1"/>
    <col min="9479" max="9479" width="10.42578125" style="11" customWidth="1"/>
    <col min="9480" max="9480" width="9.140625" style="11"/>
    <col min="9481" max="9481" width="9.85546875" style="11" customWidth="1"/>
    <col min="9482" max="9728" width="9.140625" style="11"/>
    <col min="9729" max="9729" width="40.140625" style="11" customWidth="1"/>
    <col min="9730" max="9733" width="9.140625" style="11"/>
    <col min="9734" max="9734" width="10.140625" style="11" customWidth="1"/>
    <col min="9735" max="9735" width="10.42578125" style="11" customWidth="1"/>
    <col min="9736" max="9736" width="9.140625" style="11"/>
    <col min="9737" max="9737" width="9.85546875" style="11" customWidth="1"/>
    <col min="9738" max="9984" width="9.140625" style="11"/>
    <col min="9985" max="9985" width="40.140625" style="11" customWidth="1"/>
    <col min="9986" max="9989" width="9.140625" style="11"/>
    <col min="9990" max="9990" width="10.140625" style="11" customWidth="1"/>
    <col min="9991" max="9991" width="10.42578125" style="11" customWidth="1"/>
    <col min="9992" max="9992" width="9.140625" style="11"/>
    <col min="9993" max="9993" width="9.85546875" style="11" customWidth="1"/>
    <col min="9994" max="10240" width="9.140625" style="11"/>
    <col min="10241" max="10241" width="40.140625" style="11" customWidth="1"/>
    <col min="10242" max="10245" width="9.140625" style="11"/>
    <col min="10246" max="10246" width="10.140625" style="11" customWidth="1"/>
    <col min="10247" max="10247" width="10.42578125" style="11" customWidth="1"/>
    <col min="10248" max="10248" width="9.140625" style="11"/>
    <col min="10249" max="10249" width="9.85546875" style="11" customWidth="1"/>
    <col min="10250" max="10496" width="9.140625" style="11"/>
    <col min="10497" max="10497" width="40.140625" style="11" customWidth="1"/>
    <col min="10498" max="10501" width="9.140625" style="11"/>
    <col min="10502" max="10502" width="10.140625" style="11" customWidth="1"/>
    <col min="10503" max="10503" width="10.42578125" style="11" customWidth="1"/>
    <col min="10504" max="10504" width="9.140625" style="11"/>
    <col min="10505" max="10505" width="9.85546875" style="11" customWidth="1"/>
    <col min="10506" max="10752" width="9.140625" style="11"/>
    <col min="10753" max="10753" width="40.140625" style="11" customWidth="1"/>
    <col min="10754" max="10757" width="9.140625" style="11"/>
    <col min="10758" max="10758" width="10.140625" style="11" customWidth="1"/>
    <col min="10759" max="10759" width="10.42578125" style="11" customWidth="1"/>
    <col min="10760" max="10760" width="9.140625" style="11"/>
    <col min="10761" max="10761" width="9.85546875" style="11" customWidth="1"/>
    <col min="10762" max="11008" width="9.140625" style="11"/>
    <col min="11009" max="11009" width="40.140625" style="11" customWidth="1"/>
    <col min="11010" max="11013" width="9.140625" style="11"/>
    <col min="11014" max="11014" width="10.140625" style="11" customWidth="1"/>
    <col min="11015" max="11015" width="10.42578125" style="11" customWidth="1"/>
    <col min="11016" max="11016" width="9.140625" style="11"/>
    <col min="11017" max="11017" width="9.85546875" style="11" customWidth="1"/>
    <col min="11018" max="11264" width="9.140625" style="11"/>
    <col min="11265" max="11265" width="40.140625" style="11" customWidth="1"/>
    <col min="11266" max="11269" width="9.140625" style="11"/>
    <col min="11270" max="11270" width="10.140625" style="11" customWidth="1"/>
    <col min="11271" max="11271" width="10.42578125" style="11" customWidth="1"/>
    <col min="11272" max="11272" width="9.140625" style="11"/>
    <col min="11273" max="11273" width="9.85546875" style="11" customWidth="1"/>
    <col min="11274" max="11520" width="9.140625" style="11"/>
    <col min="11521" max="11521" width="40.140625" style="11" customWidth="1"/>
    <col min="11522" max="11525" width="9.140625" style="11"/>
    <col min="11526" max="11526" width="10.140625" style="11" customWidth="1"/>
    <col min="11527" max="11527" width="10.42578125" style="11" customWidth="1"/>
    <col min="11528" max="11528" width="9.140625" style="11"/>
    <col min="11529" max="11529" width="9.85546875" style="11" customWidth="1"/>
    <col min="11530" max="11776" width="9.140625" style="11"/>
    <col min="11777" max="11777" width="40.140625" style="11" customWidth="1"/>
    <col min="11778" max="11781" width="9.140625" style="11"/>
    <col min="11782" max="11782" width="10.140625" style="11" customWidth="1"/>
    <col min="11783" max="11783" width="10.42578125" style="11" customWidth="1"/>
    <col min="11784" max="11784" width="9.140625" style="11"/>
    <col min="11785" max="11785" width="9.85546875" style="11" customWidth="1"/>
    <col min="11786" max="12032" width="9.140625" style="11"/>
    <col min="12033" max="12033" width="40.140625" style="11" customWidth="1"/>
    <col min="12034" max="12037" width="9.140625" style="11"/>
    <col min="12038" max="12038" width="10.140625" style="11" customWidth="1"/>
    <col min="12039" max="12039" width="10.42578125" style="11" customWidth="1"/>
    <col min="12040" max="12040" width="9.140625" style="11"/>
    <col min="12041" max="12041" width="9.85546875" style="11" customWidth="1"/>
    <col min="12042" max="12288" width="9.140625" style="11"/>
    <col min="12289" max="12289" width="40.140625" style="11" customWidth="1"/>
    <col min="12290" max="12293" width="9.140625" style="11"/>
    <col min="12294" max="12294" width="10.140625" style="11" customWidth="1"/>
    <col min="12295" max="12295" width="10.42578125" style="11" customWidth="1"/>
    <col min="12296" max="12296" width="9.140625" style="11"/>
    <col min="12297" max="12297" width="9.85546875" style="11" customWidth="1"/>
    <col min="12298" max="12544" width="9.140625" style="11"/>
    <col min="12545" max="12545" width="40.140625" style="11" customWidth="1"/>
    <col min="12546" max="12549" width="9.140625" style="11"/>
    <col min="12550" max="12550" width="10.140625" style="11" customWidth="1"/>
    <col min="12551" max="12551" width="10.42578125" style="11" customWidth="1"/>
    <col min="12552" max="12552" width="9.140625" style="11"/>
    <col min="12553" max="12553" width="9.85546875" style="11" customWidth="1"/>
    <col min="12554" max="12800" width="9.140625" style="11"/>
    <col min="12801" max="12801" width="40.140625" style="11" customWidth="1"/>
    <col min="12802" max="12805" width="9.140625" style="11"/>
    <col min="12806" max="12806" width="10.140625" style="11" customWidth="1"/>
    <col min="12807" max="12807" width="10.42578125" style="11" customWidth="1"/>
    <col min="12808" max="12808" width="9.140625" style="11"/>
    <col min="12809" max="12809" width="9.85546875" style="11" customWidth="1"/>
    <col min="12810" max="13056" width="9.140625" style="11"/>
    <col min="13057" max="13057" width="40.140625" style="11" customWidth="1"/>
    <col min="13058" max="13061" width="9.140625" style="11"/>
    <col min="13062" max="13062" width="10.140625" style="11" customWidth="1"/>
    <col min="13063" max="13063" width="10.42578125" style="11" customWidth="1"/>
    <col min="13064" max="13064" width="9.140625" style="11"/>
    <col min="13065" max="13065" width="9.85546875" style="11" customWidth="1"/>
    <col min="13066" max="13312" width="9.140625" style="11"/>
    <col min="13313" max="13313" width="40.140625" style="11" customWidth="1"/>
    <col min="13314" max="13317" width="9.140625" style="11"/>
    <col min="13318" max="13318" width="10.140625" style="11" customWidth="1"/>
    <col min="13319" max="13319" width="10.42578125" style="11" customWidth="1"/>
    <col min="13320" max="13320" width="9.140625" style="11"/>
    <col min="13321" max="13321" width="9.85546875" style="11" customWidth="1"/>
    <col min="13322" max="13568" width="9.140625" style="11"/>
    <col min="13569" max="13569" width="40.140625" style="11" customWidth="1"/>
    <col min="13570" max="13573" width="9.140625" style="11"/>
    <col min="13574" max="13574" width="10.140625" style="11" customWidth="1"/>
    <col min="13575" max="13575" width="10.42578125" style="11" customWidth="1"/>
    <col min="13576" max="13576" width="9.140625" style="11"/>
    <col min="13577" max="13577" width="9.85546875" style="11" customWidth="1"/>
    <col min="13578" max="13824" width="9.140625" style="11"/>
    <col min="13825" max="13825" width="40.140625" style="11" customWidth="1"/>
    <col min="13826" max="13829" width="9.140625" style="11"/>
    <col min="13830" max="13830" width="10.140625" style="11" customWidth="1"/>
    <col min="13831" max="13831" width="10.42578125" style="11" customWidth="1"/>
    <col min="13832" max="13832" width="9.140625" style="11"/>
    <col min="13833" max="13833" width="9.85546875" style="11" customWidth="1"/>
    <col min="13834" max="14080" width="9.140625" style="11"/>
    <col min="14081" max="14081" width="40.140625" style="11" customWidth="1"/>
    <col min="14082" max="14085" width="9.140625" style="11"/>
    <col min="14086" max="14086" width="10.140625" style="11" customWidth="1"/>
    <col min="14087" max="14087" width="10.42578125" style="11" customWidth="1"/>
    <col min="14088" max="14088" width="9.140625" style="11"/>
    <col min="14089" max="14089" width="9.85546875" style="11" customWidth="1"/>
    <col min="14090" max="14336" width="9.140625" style="11"/>
    <col min="14337" max="14337" width="40.140625" style="11" customWidth="1"/>
    <col min="14338" max="14341" width="9.140625" style="11"/>
    <col min="14342" max="14342" width="10.140625" style="11" customWidth="1"/>
    <col min="14343" max="14343" width="10.42578125" style="11" customWidth="1"/>
    <col min="14344" max="14344" width="9.140625" style="11"/>
    <col min="14345" max="14345" width="9.85546875" style="11" customWidth="1"/>
    <col min="14346" max="14592" width="9.140625" style="11"/>
    <col min="14593" max="14593" width="40.140625" style="11" customWidth="1"/>
    <col min="14594" max="14597" width="9.140625" style="11"/>
    <col min="14598" max="14598" width="10.140625" style="11" customWidth="1"/>
    <col min="14599" max="14599" width="10.42578125" style="11" customWidth="1"/>
    <col min="14600" max="14600" width="9.140625" style="11"/>
    <col min="14601" max="14601" width="9.85546875" style="11" customWidth="1"/>
    <col min="14602" max="14848" width="9.140625" style="11"/>
    <col min="14849" max="14849" width="40.140625" style="11" customWidth="1"/>
    <col min="14850" max="14853" width="9.140625" style="11"/>
    <col min="14854" max="14854" width="10.140625" style="11" customWidth="1"/>
    <col min="14855" max="14855" width="10.42578125" style="11" customWidth="1"/>
    <col min="14856" max="14856" width="9.140625" style="11"/>
    <col min="14857" max="14857" width="9.85546875" style="11" customWidth="1"/>
    <col min="14858" max="15104" width="9.140625" style="11"/>
    <col min="15105" max="15105" width="40.140625" style="11" customWidth="1"/>
    <col min="15106" max="15109" width="9.140625" style="11"/>
    <col min="15110" max="15110" width="10.140625" style="11" customWidth="1"/>
    <col min="15111" max="15111" width="10.42578125" style="11" customWidth="1"/>
    <col min="15112" max="15112" width="9.140625" style="11"/>
    <col min="15113" max="15113" width="9.85546875" style="11" customWidth="1"/>
    <col min="15114" max="15360" width="9.140625" style="11"/>
    <col min="15361" max="15361" width="40.140625" style="11" customWidth="1"/>
    <col min="15362" max="15365" width="9.140625" style="11"/>
    <col min="15366" max="15366" width="10.140625" style="11" customWidth="1"/>
    <col min="15367" max="15367" width="10.42578125" style="11" customWidth="1"/>
    <col min="15368" max="15368" width="9.140625" style="11"/>
    <col min="15369" max="15369" width="9.85546875" style="11" customWidth="1"/>
    <col min="15370" max="15616" width="9.140625" style="11"/>
    <col min="15617" max="15617" width="40.140625" style="11" customWidth="1"/>
    <col min="15618" max="15621" width="9.140625" style="11"/>
    <col min="15622" max="15622" width="10.140625" style="11" customWidth="1"/>
    <col min="15623" max="15623" width="10.42578125" style="11" customWidth="1"/>
    <col min="15624" max="15624" width="9.140625" style="11"/>
    <col min="15625" max="15625" width="9.85546875" style="11" customWidth="1"/>
    <col min="15626" max="15872" width="9.140625" style="11"/>
    <col min="15873" max="15873" width="40.140625" style="11" customWidth="1"/>
    <col min="15874" max="15877" width="9.140625" style="11"/>
    <col min="15878" max="15878" width="10.140625" style="11" customWidth="1"/>
    <col min="15879" max="15879" width="10.42578125" style="11" customWidth="1"/>
    <col min="15880" max="15880" width="9.140625" style="11"/>
    <col min="15881" max="15881" width="9.85546875" style="11" customWidth="1"/>
    <col min="15882" max="16128" width="9.140625" style="11"/>
    <col min="16129" max="16129" width="40.140625" style="11" customWidth="1"/>
    <col min="16130" max="16133" width="9.140625" style="11"/>
    <col min="16134" max="16134" width="10.140625" style="11" customWidth="1"/>
    <col min="16135" max="16135" width="10.42578125" style="11" customWidth="1"/>
    <col min="16136" max="16136" width="9.140625" style="11"/>
    <col min="16137" max="16137" width="9.85546875" style="11" customWidth="1"/>
    <col min="16138" max="16384" width="9.1406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F21" sqref="F21"/>
    </sheetView>
  </sheetViews>
  <sheetFormatPr defaultRowHeight="15"/>
  <cols>
    <col min="1" max="1" width="24.140625" style="11" customWidth="1"/>
    <col min="2" max="2" width="16.85546875" style="11" customWidth="1"/>
    <col min="3" max="3" width="11.140625" style="11" customWidth="1"/>
    <col min="4" max="4" width="10.140625" style="11" customWidth="1"/>
    <col min="5" max="5" width="10" style="11" customWidth="1"/>
    <col min="6" max="6" width="12.42578125" style="11" bestFit="1" customWidth="1"/>
    <col min="7" max="8" width="9.140625" style="11"/>
    <col min="9" max="9" width="11.5703125" style="11" customWidth="1"/>
    <col min="10" max="10" width="9.140625" style="11"/>
    <col min="11" max="11" width="15.5703125" style="11" customWidth="1"/>
    <col min="12" max="12" width="9.140625" style="11"/>
    <col min="13" max="13" width="9" style="11" customWidth="1"/>
    <col min="14" max="14" width="11.85546875" style="11" bestFit="1" customWidth="1"/>
    <col min="15" max="256" width="9.140625" style="11"/>
    <col min="257" max="257" width="24.140625" style="11" customWidth="1"/>
    <col min="258" max="258" width="15" style="11" bestFit="1" customWidth="1"/>
    <col min="259" max="259" width="11.140625" style="11" customWidth="1"/>
    <col min="260" max="260" width="10.140625" style="11" customWidth="1"/>
    <col min="261" max="261" width="10" style="11" customWidth="1"/>
    <col min="262" max="262" width="12.42578125" style="11" bestFit="1" customWidth="1"/>
    <col min="263" max="264" width="9.140625" style="11"/>
    <col min="265" max="265" width="11.5703125" style="11" customWidth="1"/>
    <col min="266" max="266" width="9.140625" style="11"/>
    <col min="267" max="267" width="15.5703125" style="11" customWidth="1"/>
    <col min="268" max="268" width="9.140625" style="11"/>
    <col min="269" max="269" width="9" style="11" customWidth="1"/>
    <col min="270" max="270" width="11.85546875" style="11" bestFit="1" customWidth="1"/>
    <col min="271" max="512" width="9.140625" style="11"/>
    <col min="513" max="513" width="24.140625" style="11" customWidth="1"/>
    <col min="514" max="514" width="15" style="11" bestFit="1" customWidth="1"/>
    <col min="515" max="515" width="11.140625" style="11" customWidth="1"/>
    <col min="516" max="516" width="10.140625" style="11" customWidth="1"/>
    <col min="517" max="517" width="10" style="11" customWidth="1"/>
    <col min="518" max="518" width="12.42578125" style="11" bestFit="1" customWidth="1"/>
    <col min="519" max="520" width="9.140625" style="11"/>
    <col min="521" max="521" width="11.5703125" style="11" customWidth="1"/>
    <col min="522" max="522" width="9.140625" style="11"/>
    <col min="523" max="523" width="15.5703125" style="11" customWidth="1"/>
    <col min="524" max="524" width="9.140625" style="11"/>
    <col min="525" max="525" width="9" style="11" customWidth="1"/>
    <col min="526" max="526" width="11.85546875" style="11" bestFit="1" customWidth="1"/>
    <col min="527" max="768" width="9.140625" style="11"/>
    <col min="769" max="769" width="24.140625" style="11" customWidth="1"/>
    <col min="770" max="770" width="15" style="11" bestFit="1" customWidth="1"/>
    <col min="771" max="771" width="11.140625" style="11" customWidth="1"/>
    <col min="772" max="772" width="10.140625" style="11" customWidth="1"/>
    <col min="773" max="773" width="10" style="11" customWidth="1"/>
    <col min="774" max="774" width="12.42578125" style="11" bestFit="1" customWidth="1"/>
    <col min="775" max="776" width="9.140625" style="11"/>
    <col min="777" max="777" width="11.5703125" style="11" customWidth="1"/>
    <col min="778" max="778" width="9.140625" style="11"/>
    <col min="779" max="779" width="15.5703125" style="11" customWidth="1"/>
    <col min="780" max="780" width="9.140625" style="11"/>
    <col min="781" max="781" width="9" style="11" customWidth="1"/>
    <col min="782" max="782" width="11.85546875" style="11" bestFit="1" customWidth="1"/>
    <col min="783" max="1024" width="9.140625" style="11"/>
    <col min="1025" max="1025" width="24.140625" style="11" customWidth="1"/>
    <col min="1026" max="1026" width="15" style="11" bestFit="1" customWidth="1"/>
    <col min="1027" max="1027" width="11.140625" style="11" customWidth="1"/>
    <col min="1028" max="1028" width="10.140625" style="11" customWidth="1"/>
    <col min="1029" max="1029" width="10" style="11" customWidth="1"/>
    <col min="1030" max="1030" width="12.42578125" style="11" bestFit="1" customWidth="1"/>
    <col min="1031" max="1032" width="9.140625" style="11"/>
    <col min="1033" max="1033" width="11.5703125" style="11" customWidth="1"/>
    <col min="1034" max="1034" width="9.140625" style="11"/>
    <col min="1035" max="1035" width="15.5703125" style="11" customWidth="1"/>
    <col min="1036" max="1036" width="9.140625" style="11"/>
    <col min="1037" max="1037" width="9" style="11" customWidth="1"/>
    <col min="1038" max="1038" width="11.85546875" style="11" bestFit="1" customWidth="1"/>
    <col min="1039" max="1280" width="9.140625" style="11"/>
    <col min="1281" max="1281" width="24.140625" style="11" customWidth="1"/>
    <col min="1282" max="1282" width="15" style="11" bestFit="1" customWidth="1"/>
    <col min="1283" max="1283" width="11.140625" style="11" customWidth="1"/>
    <col min="1284" max="1284" width="10.140625" style="11" customWidth="1"/>
    <col min="1285" max="1285" width="10" style="11" customWidth="1"/>
    <col min="1286" max="1286" width="12.42578125" style="11" bestFit="1" customWidth="1"/>
    <col min="1287" max="1288" width="9.140625" style="11"/>
    <col min="1289" max="1289" width="11.5703125" style="11" customWidth="1"/>
    <col min="1290" max="1290" width="9.140625" style="11"/>
    <col min="1291" max="1291" width="15.5703125" style="11" customWidth="1"/>
    <col min="1292" max="1292" width="9.140625" style="11"/>
    <col min="1293" max="1293" width="9" style="11" customWidth="1"/>
    <col min="1294" max="1294" width="11.85546875" style="11" bestFit="1" customWidth="1"/>
    <col min="1295" max="1536" width="9.140625" style="11"/>
    <col min="1537" max="1537" width="24.140625" style="11" customWidth="1"/>
    <col min="1538" max="1538" width="15" style="11" bestFit="1" customWidth="1"/>
    <col min="1539" max="1539" width="11.140625" style="11" customWidth="1"/>
    <col min="1540" max="1540" width="10.140625" style="11" customWidth="1"/>
    <col min="1541" max="1541" width="10" style="11" customWidth="1"/>
    <col min="1542" max="1542" width="12.42578125" style="11" bestFit="1" customWidth="1"/>
    <col min="1543" max="1544" width="9.140625" style="11"/>
    <col min="1545" max="1545" width="11.5703125" style="11" customWidth="1"/>
    <col min="1546" max="1546" width="9.140625" style="11"/>
    <col min="1547" max="1547" width="15.5703125" style="11" customWidth="1"/>
    <col min="1548" max="1548" width="9.140625" style="11"/>
    <col min="1549" max="1549" width="9" style="11" customWidth="1"/>
    <col min="1550" max="1550" width="11.85546875" style="11" bestFit="1" customWidth="1"/>
    <col min="1551" max="1792" width="9.140625" style="11"/>
    <col min="1793" max="1793" width="24.140625" style="11" customWidth="1"/>
    <col min="1794" max="1794" width="15" style="11" bestFit="1" customWidth="1"/>
    <col min="1795" max="1795" width="11.140625" style="11" customWidth="1"/>
    <col min="1796" max="1796" width="10.140625" style="11" customWidth="1"/>
    <col min="1797" max="1797" width="10" style="11" customWidth="1"/>
    <col min="1798" max="1798" width="12.42578125" style="11" bestFit="1" customWidth="1"/>
    <col min="1799" max="1800" width="9.140625" style="11"/>
    <col min="1801" max="1801" width="11.5703125" style="11" customWidth="1"/>
    <col min="1802" max="1802" width="9.140625" style="11"/>
    <col min="1803" max="1803" width="15.5703125" style="11" customWidth="1"/>
    <col min="1804" max="1804" width="9.140625" style="11"/>
    <col min="1805" max="1805" width="9" style="11" customWidth="1"/>
    <col min="1806" max="1806" width="11.85546875" style="11" bestFit="1" customWidth="1"/>
    <col min="1807" max="2048" width="9.140625" style="11"/>
    <col min="2049" max="2049" width="24.140625" style="11" customWidth="1"/>
    <col min="2050" max="2050" width="15" style="11" bestFit="1" customWidth="1"/>
    <col min="2051" max="2051" width="11.140625" style="11" customWidth="1"/>
    <col min="2052" max="2052" width="10.140625" style="11" customWidth="1"/>
    <col min="2053" max="2053" width="10" style="11" customWidth="1"/>
    <col min="2054" max="2054" width="12.42578125" style="11" bestFit="1" customWidth="1"/>
    <col min="2055" max="2056" width="9.140625" style="11"/>
    <col min="2057" max="2057" width="11.5703125" style="11" customWidth="1"/>
    <col min="2058" max="2058" width="9.140625" style="11"/>
    <col min="2059" max="2059" width="15.5703125" style="11" customWidth="1"/>
    <col min="2060" max="2060" width="9.140625" style="11"/>
    <col min="2061" max="2061" width="9" style="11" customWidth="1"/>
    <col min="2062" max="2062" width="11.85546875" style="11" bestFit="1" customWidth="1"/>
    <col min="2063" max="2304" width="9.140625" style="11"/>
    <col min="2305" max="2305" width="24.140625" style="11" customWidth="1"/>
    <col min="2306" max="2306" width="15" style="11" bestFit="1" customWidth="1"/>
    <col min="2307" max="2307" width="11.140625" style="11" customWidth="1"/>
    <col min="2308" max="2308" width="10.140625" style="11" customWidth="1"/>
    <col min="2309" max="2309" width="10" style="11" customWidth="1"/>
    <col min="2310" max="2310" width="12.42578125" style="11" bestFit="1" customWidth="1"/>
    <col min="2311" max="2312" width="9.140625" style="11"/>
    <col min="2313" max="2313" width="11.5703125" style="11" customWidth="1"/>
    <col min="2314" max="2314" width="9.140625" style="11"/>
    <col min="2315" max="2315" width="15.5703125" style="11" customWidth="1"/>
    <col min="2316" max="2316" width="9.140625" style="11"/>
    <col min="2317" max="2317" width="9" style="11" customWidth="1"/>
    <col min="2318" max="2318" width="11.85546875" style="11" bestFit="1" customWidth="1"/>
    <col min="2319" max="2560" width="9.140625" style="11"/>
    <col min="2561" max="2561" width="24.140625" style="11" customWidth="1"/>
    <col min="2562" max="2562" width="15" style="11" bestFit="1" customWidth="1"/>
    <col min="2563" max="2563" width="11.140625" style="11" customWidth="1"/>
    <col min="2564" max="2564" width="10.140625" style="11" customWidth="1"/>
    <col min="2565" max="2565" width="10" style="11" customWidth="1"/>
    <col min="2566" max="2566" width="12.42578125" style="11" bestFit="1" customWidth="1"/>
    <col min="2567" max="2568" width="9.140625" style="11"/>
    <col min="2569" max="2569" width="11.5703125" style="11" customWidth="1"/>
    <col min="2570" max="2570" width="9.140625" style="11"/>
    <col min="2571" max="2571" width="15.5703125" style="11" customWidth="1"/>
    <col min="2572" max="2572" width="9.140625" style="11"/>
    <col min="2573" max="2573" width="9" style="11" customWidth="1"/>
    <col min="2574" max="2574" width="11.85546875" style="11" bestFit="1" customWidth="1"/>
    <col min="2575" max="2816" width="9.140625" style="11"/>
    <col min="2817" max="2817" width="24.140625" style="11" customWidth="1"/>
    <col min="2818" max="2818" width="15" style="11" bestFit="1" customWidth="1"/>
    <col min="2819" max="2819" width="11.140625" style="11" customWidth="1"/>
    <col min="2820" max="2820" width="10.140625" style="11" customWidth="1"/>
    <col min="2821" max="2821" width="10" style="11" customWidth="1"/>
    <col min="2822" max="2822" width="12.42578125" style="11" bestFit="1" customWidth="1"/>
    <col min="2823" max="2824" width="9.140625" style="11"/>
    <col min="2825" max="2825" width="11.5703125" style="11" customWidth="1"/>
    <col min="2826" max="2826" width="9.140625" style="11"/>
    <col min="2827" max="2827" width="15.5703125" style="11" customWidth="1"/>
    <col min="2828" max="2828" width="9.140625" style="11"/>
    <col min="2829" max="2829" width="9" style="11" customWidth="1"/>
    <col min="2830" max="2830" width="11.85546875" style="11" bestFit="1" customWidth="1"/>
    <col min="2831" max="3072" width="9.140625" style="11"/>
    <col min="3073" max="3073" width="24.140625" style="11" customWidth="1"/>
    <col min="3074" max="3074" width="15" style="11" bestFit="1" customWidth="1"/>
    <col min="3075" max="3075" width="11.140625" style="11" customWidth="1"/>
    <col min="3076" max="3076" width="10.140625" style="11" customWidth="1"/>
    <col min="3077" max="3077" width="10" style="11" customWidth="1"/>
    <col min="3078" max="3078" width="12.42578125" style="11" bestFit="1" customWidth="1"/>
    <col min="3079" max="3080" width="9.140625" style="11"/>
    <col min="3081" max="3081" width="11.5703125" style="11" customWidth="1"/>
    <col min="3082" max="3082" width="9.140625" style="11"/>
    <col min="3083" max="3083" width="15.5703125" style="11" customWidth="1"/>
    <col min="3084" max="3084" width="9.140625" style="11"/>
    <col min="3085" max="3085" width="9" style="11" customWidth="1"/>
    <col min="3086" max="3086" width="11.85546875" style="11" bestFit="1" customWidth="1"/>
    <col min="3087" max="3328" width="9.140625" style="11"/>
    <col min="3329" max="3329" width="24.140625" style="11" customWidth="1"/>
    <col min="3330" max="3330" width="15" style="11" bestFit="1" customWidth="1"/>
    <col min="3331" max="3331" width="11.140625" style="11" customWidth="1"/>
    <col min="3332" max="3332" width="10.140625" style="11" customWidth="1"/>
    <col min="3333" max="3333" width="10" style="11" customWidth="1"/>
    <col min="3334" max="3334" width="12.42578125" style="11" bestFit="1" customWidth="1"/>
    <col min="3335" max="3336" width="9.140625" style="11"/>
    <col min="3337" max="3337" width="11.5703125" style="11" customWidth="1"/>
    <col min="3338" max="3338" width="9.140625" style="11"/>
    <col min="3339" max="3339" width="15.5703125" style="11" customWidth="1"/>
    <col min="3340" max="3340" width="9.140625" style="11"/>
    <col min="3341" max="3341" width="9" style="11" customWidth="1"/>
    <col min="3342" max="3342" width="11.85546875" style="11" bestFit="1" customWidth="1"/>
    <col min="3343" max="3584" width="9.140625" style="11"/>
    <col min="3585" max="3585" width="24.140625" style="11" customWidth="1"/>
    <col min="3586" max="3586" width="15" style="11" bestFit="1" customWidth="1"/>
    <col min="3587" max="3587" width="11.140625" style="11" customWidth="1"/>
    <col min="3588" max="3588" width="10.140625" style="11" customWidth="1"/>
    <col min="3589" max="3589" width="10" style="11" customWidth="1"/>
    <col min="3590" max="3590" width="12.42578125" style="11" bestFit="1" customWidth="1"/>
    <col min="3591" max="3592" width="9.140625" style="11"/>
    <col min="3593" max="3593" width="11.5703125" style="11" customWidth="1"/>
    <col min="3594" max="3594" width="9.140625" style="11"/>
    <col min="3595" max="3595" width="15.5703125" style="11" customWidth="1"/>
    <col min="3596" max="3596" width="9.140625" style="11"/>
    <col min="3597" max="3597" width="9" style="11" customWidth="1"/>
    <col min="3598" max="3598" width="11.85546875" style="11" bestFit="1" customWidth="1"/>
    <col min="3599" max="3840" width="9.140625" style="11"/>
    <col min="3841" max="3841" width="24.140625" style="11" customWidth="1"/>
    <col min="3842" max="3842" width="15" style="11" bestFit="1" customWidth="1"/>
    <col min="3843" max="3843" width="11.140625" style="11" customWidth="1"/>
    <col min="3844" max="3844" width="10.140625" style="11" customWidth="1"/>
    <col min="3845" max="3845" width="10" style="11" customWidth="1"/>
    <col min="3846" max="3846" width="12.42578125" style="11" bestFit="1" customWidth="1"/>
    <col min="3847" max="3848" width="9.140625" style="11"/>
    <col min="3849" max="3849" width="11.5703125" style="11" customWidth="1"/>
    <col min="3850" max="3850" width="9.140625" style="11"/>
    <col min="3851" max="3851" width="15.5703125" style="11" customWidth="1"/>
    <col min="3852" max="3852" width="9.140625" style="11"/>
    <col min="3853" max="3853" width="9" style="11" customWidth="1"/>
    <col min="3854" max="3854" width="11.85546875" style="11" bestFit="1" customWidth="1"/>
    <col min="3855" max="4096" width="9.140625" style="11"/>
    <col min="4097" max="4097" width="24.140625" style="11" customWidth="1"/>
    <col min="4098" max="4098" width="15" style="11" bestFit="1" customWidth="1"/>
    <col min="4099" max="4099" width="11.140625" style="11" customWidth="1"/>
    <col min="4100" max="4100" width="10.140625" style="11" customWidth="1"/>
    <col min="4101" max="4101" width="10" style="11" customWidth="1"/>
    <col min="4102" max="4102" width="12.42578125" style="11" bestFit="1" customWidth="1"/>
    <col min="4103" max="4104" width="9.140625" style="11"/>
    <col min="4105" max="4105" width="11.5703125" style="11" customWidth="1"/>
    <col min="4106" max="4106" width="9.140625" style="11"/>
    <col min="4107" max="4107" width="15.5703125" style="11" customWidth="1"/>
    <col min="4108" max="4108" width="9.140625" style="11"/>
    <col min="4109" max="4109" width="9" style="11" customWidth="1"/>
    <col min="4110" max="4110" width="11.85546875" style="11" bestFit="1" customWidth="1"/>
    <col min="4111" max="4352" width="9.140625" style="11"/>
    <col min="4353" max="4353" width="24.140625" style="11" customWidth="1"/>
    <col min="4354" max="4354" width="15" style="11" bestFit="1" customWidth="1"/>
    <col min="4355" max="4355" width="11.140625" style="11" customWidth="1"/>
    <col min="4356" max="4356" width="10.140625" style="11" customWidth="1"/>
    <col min="4357" max="4357" width="10" style="11" customWidth="1"/>
    <col min="4358" max="4358" width="12.42578125" style="11" bestFit="1" customWidth="1"/>
    <col min="4359" max="4360" width="9.140625" style="11"/>
    <col min="4361" max="4361" width="11.5703125" style="11" customWidth="1"/>
    <col min="4362" max="4362" width="9.140625" style="11"/>
    <col min="4363" max="4363" width="15.5703125" style="11" customWidth="1"/>
    <col min="4364" max="4364" width="9.140625" style="11"/>
    <col min="4365" max="4365" width="9" style="11" customWidth="1"/>
    <col min="4366" max="4366" width="11.85546875" style="11" bestFit="1" customWidth="1"/>
    <col min="4367" max="4608" width="9.140625" style="11"/>
    <col min="4609" max="4609" width="24.140625" style="11" customWidth="1"/>
    <col min="4610" max="4610" width="15" style="11" bestFit="1" customWidth="1"/>
    <col min="4611" max="4611" width="11.140625" style="11" customWidth="1"/>
    <col min="4612" max="4612" width="10.140625" style="11" customWidth="1"/>
    <col min="4613" max="4613" width="10" style="11" customWidth="1"/>
    <col min="4614" max="4614" width="12.42578125" style="11" bestFit="1" customWidth="1"/>
    <col min="4615" max="4616" width="9.140625" style="11"/>
    <col min="4617" max="4617" width="11.5703125" style="11" customWidth="1"/>
    <col min="4618" max="4618" width="9.140625" style="11"/>
    <col min="4619" max="4619" width="15.5703125" style="11" customWidth="1"/>
    <col min="4620" max="4620" width="9.140625" style="11"/>
    <col min="4621" max="4621" width="9" style="11" customWidth="1"/>
    <col min="4622" max="4622" width="11.85546875" style="11" bestFit="1" customWidth="1"/>
    <col min="4623" max="4864" width="9.140625" style="11"/>
    <col min="4865" max="4865" width="24.140625" style="11" customWidth="1"/>
    <col min="4866" max="4866" width="15" style="11" bestFit="1" customWidth="1"/>
    <col min="4867" max="4867" width="11.140625" style="11" customWidth="1"/>
    <col min="4868" max="4868" width="10.140625" style="11" customWidth="1"/>
    <col min="4869" max="4869" width="10" style="11" customWidth="1"/>
    <col min="4870" max="4870" width="12.42578125" style="11" bestFit="1" customWidth="1"/>
    <col min="4871" max="4872" width="9.140625" style="11"/>
    <col min="4873" max="4873" width="11.5703125" style="11" customWidth="1"/>
    <col min="4874" max="4874" width="9.140625" style="11"/>
    <col min="4875" max="4875" width="15.5703125" style="11" customWidth="1"/>
    <col min="4876" max="4876" width="9.140625" style="11"/>
    <col min="4877" max="4877" width="9" style="11" customWidth="1"/>
    <col min="4878" max="4878" width="11.85546875" style="11" bestFit="1" customWidth="1"/>
    <col min="4879" max="5120" width="9.140625" style="11"/>
    <col min="5121" max="5121" width="24.140625" style="11" customWidth="1"/>
    <col min="5122" max="5122" width="15" style="11" bestFit="1" customWidth="1"/>
    <col min="5123" max="5123" width="11.140625" style="11" customWidth="1"/>
    <col min="5124" max="5124" width="10.140625" style="11" customWidth="1"/>
    <col min="5125" max="5125" width="10" style="11" customWidth="1"/>
    <col min="5126" max="5126" width="12.42578125" style="11" bestFit="1" customWidth="1"/>
    <col min="5127" max="5128" width="9.140625" style="11"/>
    <col min="5129" max="5129" width="11.5703125" style="11" customWidth="1"/>
    <col min="5130" max="5130" width="9.140625" style="11"/>
    <col min="5131" max="5131" width="15.5703125" style="11" customWidth="1"/>
    <col min="5132" max="5132" width="9.140625" style="11"/>
    <col min="5133" max="5133" width="9" style="11" customWidth="1"/>
    <col min="5134" max="5134" width="11.85546875" style="11" bestFit="1" customWidth="1"/>
    <col min="5135" max="5376" width="9.140625" style="11"/>
    <col min="5377" max="5377" width="24.140625" style="11" customWidth="1"/>
    <col min="5378" max="5378" width="15" style="11" bestFit="1" customWidth="1"/>
    <col min="5379" max="5379" width="11.140625" style="11" customWidth="1"/>
    <col min="5380" max="5380" width="10.140625" style="11" customWidth="1"/>
    <col min="5381" max="5381" width="10" style="11" customWidth="1"/>
    <col min="5382" max="5382" width="12.42578125" style="11" bestFit="1" customWidth="1"/>
    <col min="5383" max="5384" width="9.140625" style="11"/>
    <col min="5385" max="5385" width="11.5703125" style="11" customWidth="1"/>
    <col min="5386" max="5386" width="9.140625" style="11"/>
    <col min="5387" max="5387" width="15.5703125" style="11" customWidth="1"/>
    <col min="5388" max="5388" width="9.140625" style="11"/>
    <col min="5389" max="5389" width="9" style="11" customWidth="1"/>
    <col min="5390" max="5390" width="11.85546875" style="11" bestFit="1" customWidth="1"/>
    <col min="5391" max="5632" width="9.140625" style="11"/>
    <col min="5633" max="5633" width="24.140625" style="11" customWidth="1"/>
    <col min="5634" max="5634" width="15" style="11" bestFit="1" customWidth="1"/>
    <col min="5635" max="5635" width="11.140625" style="11" customWidth="1"/>
    <col min="5636" max="5636" width="10.140625" style="11" customWidth="1"/>
    <col min="5637" max="5637" width="10" style="11" customWidth="1"/>
    <col min="5638" max="5638" width="12.42578125" style="11" bestFit="1" customWidth="1"/>
    <col min="5639" max="5640" width="9.140625" style="11"/>
    <col min="5641" max="5641" width="11.5703125" style="11" customWidth="1"/>
    <col min="5642" max="5642" width="9.140625" style="11"/>
    <col min="5643" max="5643" width="15.5703125" style="11" customWidth="1"/>
    <col min="5644" max="5644" width="9.140625" style="11"/>
    <col min="5645" max="5645" width="9" style="11" customWidth="1"/>
    <col min="5646" max="5646" width="11.85546875" style="11" bestFit="1" customWidth="1"/>
    <col min="5647" max="5888" width="9.140625" style="11"/>
    <col min="5889" max="5889" width="24.140625" style="11" customWidth="1"/>
    <col min="5890" max="5890" width="15" style="11" bestFit="1" customWidth="1"/>
    <col min="5891" max="5891" width="11.140625" style="11" customWidth="1"/>
    <col min="5892" max="5892" width="10.140625" style="11" customWidth="1"/>
    <col min="5893" max="5893" width="10" style="11" customWidth="1"/>
    <col min="5894" max="5894" width="12.42578125" style="11" bestFit="1" customWidth="1"/>
    <col min="5895" max="5896" width="9.140625" style="11"/>
    <col min="5897" max="5897" width="11.5703125" style="11" customWidth="1"/>
    <col min="5898" max="5898" width="9.140625" style="11"/>
    <col min="5899" max="5899" width="15.5703125" style="11" customWidth="1"/>
    <col min="5900" max="5900" width="9.140625" style="11"/>
    <col min="5901" max="5901" width="9" style="11" customWidth="1"/>
    <col min="5902" max="5902" width="11.85546875" style="11" bestFit="1" customWidth="1"/>
    <col min="5903" max="6144" width="9.140625" style="11"/>
    <col min="6145" max="6145" width="24.140625" style="11" customWidth="1"/>
    <col min="6146" max="6146" width="15" style="11" bestFit="1" customWidth="1"/>
    <col min="6147" max="6147" width="11.140625" style="11" customWidth="1"/>
    <col min="6148" max="6148" width="10.140625" style="11" customWidth="1"/>
    <col min="6149" max="6149" width="10" style="11" customWidth="1"/>
    <col min="6150" max="6150" width="12.42578125" style="11" bestFit="1" customWidth="1"/>
    <col min="6151" max="6152" width="9.140625" style="11"/>
    <col min="6153" max="6153" width="11.5703125" style="11" customWidth="1"/>
    <col min="6154" max="6154" width="9.140625" style="11"/>
    <col min="6155" max="6155" width="15.5703125" style="11" customWidth="1"/>
    <col min="6156" max="6156" width="9.140625" style="11"/>
    <col min="6157" max="6157" width="9" style="11" customWidth="1"/>
    <col min="6158" max="6158" width="11.85546875" style="11" bestFit="1" customWidth="1"/>
    <col min="6159" max="6400" width="9.140625" style="11"/>
    <col min="6401" max="6401" width="24.140625" style="11" customWidth="1"/>
    <col min="6402" max="6402" width="15" style="11" bestFit="1" customWidth="1"/>
    <col min="6403" max="6403" width="11.140625" style="11" customWidth="1"/>
    <col min="6404" max="6404" width="10.140625" style="11" customWidth="1"/>
    <col min="6405" max="6405" width="10" style="11" customWidth="1"/>
    <col min="6406" max="6406" width="12.42578125" style="11" bestFit="1" customWidth="1"/>
    <col min="6407" max="6408" width="9.140625" style="11"/>
    <col min="6409" max="6409" width="11.5703125" style="11" customWidth="1"/>
    <col min="6410" max="6410" width="9.140625" style="11"/>
    <col min="6411" max="6411" width="15.5703125" style="11" customWidth="1"/>
    <col min="6412" max="6412" width="9.140625" style="11"/>
    <col min="6413" max="6413" width="9" style="11" customWidth="1"/>
    <col min="6414" max="6414" width="11.85546875" style="11" bestFit="1" customWidth="1"/>
    <col min="6415" max="6656" width="9.140625" style="11"/>
    <col min="6657" max="6657" width="24.140625" style="11" customWidth="1"/>
    <col min="6658" max="6658" width="15" style="11" bestFit="1" customWidth="1"/>
    <col min="6659" max="6659" width="11.140625" style="11" customWidth="1"/>
    <col min="6660" max="6660" width="10.140625" style="11" customWidth="1"/>
    <col min="6661" max="6661" width="10" style="11" customWidth="1"/>
    <col min="6662" max="6662" width="12.42578125" style="11" bestFit="1" customWidth="1"/>
    <col min="6663" max="6664" width="9.140625" style="11"/>
    <col min="6665" max="6665" width="11.5703125" style="11" customWidth="1"/>
    <col min="6666" max="6666" width="9.140625" style="11"/>
    <col min="6667" max="6667" width="15.5703125" style="11" customWidth="1"/>
    <col min="6668" max="6668" width="9.140625" style="11"/>
    <col min="6669" max="6669" width="9" style="11" customWidth="1"/>
    <col min="6670" max="6670" width="11.85546875" style="11" bestFit="1" customWidth="1"/>
    <col min="6671" max="6912" width="9.140625" style="11"/>
    <col min="6913" max="6913" width="24.140625" style="11" customWidth="1"/>
    <col min="6914" max="6914" width="15" style="11" bestFit="1" customWidth="1"/>
    <col min="6915" max="6915" width="11.140625" style="11" customWidth="1"/>
    <col min="6916" max="6916" width="10.140625" style="11" customWidth="1"/>
    <col min="6917" max="6917" width="10" style="11" customWidth="1"/>
    <col min="6918" max="6918" width="12.42578125" style="11" bestFit="1" customWidth="1"/>
    <col min="6919" max="6920" width="9.140625" style="11"/>
    <col min="6921" max="6921" width="11.5703125" style="11" customWidth="1"/>
    <col min="6922" max="6922" width="9.140625" style="11"/>
    <col min="6923" max="6923" width="15.5703125" style="11" customWidth="1"/>
    <col min="6924" max="6924" width="9.140625" style="11"/>
    <col min="6925" max="6925" width="9" style="11" customWidth="1"/>
    <col min="6926" max="6926" width="11.85546875" style="11" bestFit="1" customWidth="1"/>
    <col min="6927" max="7168" width="9.140625" style="11"/>
    <col min="7169" max="7169" width="24.140625" style="11" customWidth="1"/>
    <col min="7170" max="7170" width="15" style="11" bestFit="1" customWidth="1"/>
    <col min="7171" max="7171" width="11.140625" style="11" customWidth="1"/>
    <col min="7172" max="7172" width="10.140625" style="11" customWidth="1"/>
    <col min="7173" max="7173" width="10" style="11" customWidth="1"/>
    <col min="7174" max="7174" width="12.42578125" style="11" bestFit="1" customWidth="1"/>
    <col min="7175" max="7176" width="9.140625" style="11"/>
    <col min="7177" max="7177" width="11.5703125" style="11" customWidth="1"/>
    <col min="7178" max="7178" width="9.140625" style="11"/>
    <col min="7179" max="7179" width="15.5703125" style="11" customWidth="1"/>
    <col min="7180" max="7180" width="9.140625" style="11"/>
    <col min="7181" max="7181" width="9" style="11" customWidth="1"/>
    <col min="7182" max="7182" width="11.85546875" style="11" bestFit="1" customWidth="1"/>
    <col min="7183" max="7424" width="9.140625" style="11"/>
    <col min="7425" max="7425" width="24.140625" style="11" customWidth="1"/>
    <col min="7426" max="7426" width="15" style="11" bestFit="1" customWidth="1"/>
    <col min="7427" max="7427" width="11.140625" style="11" customWidth="1"/>
    <col min="7428" max="7428" width="10.140625" style="11" customWidth="1"/>
    <col min="7429" max="7429" width="10" style="11" customWidth="1"/>
    <col min="7430" max="7430" width="12.42578125" style="11" bestFit="1" customWidth="1"/>
    <col min="7431" max="7432" width="9.140625" style="11"/>
    <col min="7433" max="7433" width="11.5703125" style="11" customWidth="1"/>
    <col min="7434" max="7434" width="9.140625" style="11"/>
    <col min="7435" max="7435" width="15.5703125" style="11" customWidth="1"/>
    <col min="7436" max="7436" width="9.140625" style="11"/>
    <col min="7437" max="7437" width="9" style="11" customWidth="1"/>
    <col min="7438" max="7438" width="11.85546875" style="11" bestFit="1" customWidth="1"/>
    <col min="7439" max="7680" width="9.140625" style="11"/>
    <col min="7681" max="7681" width="24.140625" style="11" customWidth="1"/>
    <col min="7682" max="7682" width="15" style="11" bestFit="1" customWidth="1"/>
    <col min="7683" max="7683" width="11.140625" style="11" customWidth="1"/>
    <col min="7684" max="7684" width="10.140625" style="11" customWidth="1"/>
    <col min="7685" max="7685" width="10" style="11" customWidth="1"/>
    <col min="7686" max="7686" width="12.42578125" style="11" bestFit="1" customWidth="1"/>
    <col min="7687" max="7688" width="9.140625" style="11"/>
    <col min="7689" max="7689" width="11.5703125" style="11" customWidth="1"/>
    <col min="7690" max="7690" width="9.140625" style="11"/>
    <col min="7691" max="7691" width="15.5703125" style="11" customWidth="1"/>
    <col min="7692" max="7692" width="9.140625" style="11"/>
    <col min="7693" max="7693" width="9" style="11" customWidth="1"/>
    <col min="7694" max="7694" width="11.85546875" style="11" bestFit="1" customWidth="1"/>
    <col min="7695" max="7936" width="9.140625" style="11"/>
    <col min="7937" max="7937" width="24.140625" style="11" customWidth="1"/>
    <col min="7938" max="7938" width="15" style="11" bestFit="1" customWidth="1"/>
    <col min="7939" max="7939" width="11.140625" style="11" customWidth="1"/>
    <col min="7940" max="7940" width="10.140625" style="11" customWidth="1"/>
    <col min="7941" max="7941" width="10" style="11" customWidth="1"/>
    <col min="7942" max="7942" width="12.42578125" style="11" bestFit="1" customWidth="1"/>
    <col min="7943" max="7944" width="9.140625" style="11"/>
    <col min="7945" max="7945" width="11.5703125" style="11" customWidth="1"/>
    <col min="7946" max="7946" width="9.140625" style="11"/>
    <col min="7947" max="7947" width="15.5703125" style="11" customWidth="1"/>
    <col min="7948" max="7948" width="9.140625" style="11"/>
    <col min="7949" max="7949" width="9" style="11" customWidth="1"/>
    <col min="7950" max="7950" width="11.85546875" style="11" bestFit="1" customWidth="1"/>
    <col min="7951" max="8192" width="9.140625" style="11"/>
    <col min="8193" max="8193" width="24.140625" style="11" customWidth="1"/>
    <col min="8194" max="8194" width="15" style="11" bestFit="1" customWidth="1"/>
    <col min="8195" max="8195" width="11.140625" style="11" customWidth="1"/>
    <col min="8196" max="8196" width="10.140625" style="11" customWidth="1"/>
    <col min="8197" max="8197" width="10" style="11" customWidth="1"/>
    <col min="8198" max="8198" width="12.42578125" style="11" bestFit="1" customWidth="1"/>
    <col min="8199" max="8200" width="9.140625" style="11"/>
    <col min="8201" max="8201" width="11.5703125" style="11" customWidth="1"/>
    <col min="8202" max="8202" width="9.140625" style="11"/>
    <col min="8203" max="8203" width="15.5703125" style="11" customWidth="1"/>
    <col min="8204" max="8204" width="9.140625" style="11"/>
    <col min="8205" max="8205" width="9" style="11" customWidth="1"/>
    <col min="8206" max="8206" width="11.85546875" style="11" bestFit="1" customWidth="1"/>
    <col min="8207" max="8448" width="9.140625" style="11"/>
    <col min="8449" max="8449" width="24.140625" style="11" customWidth="1"/>
    <col min="8450" max="8450" width="15" style="11" bestFit="1" customWidth="1"/>
    <col min="8451" max="8451" width="11.140625" style="11" customWidth="1"/>
    <col min="8452" max="8452" width="10.140625" style="11" customWidth="1"/>
    <col min="8453" max="8453" width="10" style="11" customWidth="1"/>
    <col min="8454" max="8454" width="12.42578125" style="11" bestFit="1" customWidth="1"/>
    <col min="8455" max="8456" width="9.140625" style="11"/>
    <col min="8457" max="8457" width="11.5703125" style="11" customWidth="1"/>
    <col min="8458" max="8458" width="9.140625" style="11"/>
    <col min="8459" max="8459" width="15.5703125" style="11" customWidth="1"/>
    <col min="8460" max="8460" width="9.140625" style="11"/>
    <col min="8461" max="8461" width="9" style="11" customWidth="1"/>
    <col min="8462" max="8462" width="11.85546875" style="11" bestFit="1" customWidth="1"/>
    <col min="8463" max="8704" width="9.140625" style="11"/>
    <col min="8705" max="8705" width="24.140625" style="11" customWidth="1"/>
    <col min="8706" max="8706" width="15" style="11" bestFit="1" customWidth="1"/>
    <col min="8707" max="8707" width="11.140625" style="11" customWidth="1"/>
    <col min="8708" max="8708" width="10.140625" style="11" customWidth="1"/>
    <col min="8709" max="8709" width="10" style="11" customWidth="1"/>
    <col min="8710" max="8710" width="12.42578125" style="11" bestFit="1" customWidth="1"/>
    <col min="8711" max="8712" width="9.140625" style="11"/>
    <col min="8713" max="8713" width="11.5703125" style="11" customWidth="1"/>
    <col min="8714" max="8714" width="9.140625" style="11"/>
    <col min="8715" max="8715" width="15.5703125" style="11" customWidth="1"/>
    <col min="8716" max="8716" width="9.140625" style="11"/>
    <col min="8717" max="8717" width="9" style="11" customWidth="1"/>
    <col min="8718" max="8718" width="11.85546875" style="11" bestFit="1" customWidth="1"/>
    <col min="8719" max="8960" width="9.140625" style="11"/>
    <col min="8961" max="8961" width="24.140625" style="11" customWidth="1"/>
    <col min="8962" max="8962" width="15" style="11" bestFit="1" customWidth="1"/>
    <col min="8963" max="8963" width="11.140625" style="11" customWidth="1"/>
    <col min="8964" max="8964" width="10.140625" style="11" customWidth="1"/>
    <col min="8965" max="8965" width="10" style="11" customWidth="1"/>
    <col min="8966" max="8966" width="12.42578125" style="11" bestFit="1" customWidth="1"/>
    <col min="8967" max="8968" width="9.140625" style="11"/>
    <col min="8969" max="8969" width="11.5703125" style="11" customWidth="1"/>
    <col min="8970" max="8970" width="9.140625" style="11"/>
    <col min="8971" max="8971" width="15.5703125" style="11" customWidth="1"/>
    <col min="8972" max="8972" width="9.140625" style="11"/>
    <col min="8973" max="8973" width="9" style="11" customWidth="1"/>
    <col min="8974" max="8974" width="11.85546875" style="11" bestFit="1" customWidth="1"/>
    <col min="8975" max="9216" width="9.140625" style="11"/>
    <col min="9217" max="9217" width="24.140625" style="11" customWidth="1"/>
    <col min="9218" max="9218" width="15" style="11" bestFit="1" customWidth="1"/>
    <col min="9219" max="9219" width="11.140625" style="11" customWidth="1"/>
    <col min="9220" max="9220" width="10.140625" style="11" customWidth="1"/>
    <col min="9221" max="9221" width="10" style="11" customWidth="1"/>
    <col min="9222" max="9222" width="12.42578125" style="11" bestFit="1" customWidth="1"/>
    <col min="9223" max="9224" width="9.140625" style="11"/>
    <col min="9225" max="9225" width="11.5703125" style="11" customWidth="1"/>
    <col min="9226" max="9226" width="9.140625" style="11"/>
    <col min="9227" max="9227" width="15.5703125" style="11" customWidth="1"/>
    <col min="9228" max="9228" width="9.140625" style="11"/>
    <col min="9229" max="9229" width="9" style="11" customWidth="1"/>
    <col min="9230" max="9230" width="11.85546875" style="11" bestFit="1" customWidth="1"/>
    <col min="9231" max="9472" width="9.140625" style="11"/>
    <col min="9473" max="9473" width="24.140625" style="11" customWidth="1"/>
    <col min="9474" max="9474" width="15" style="11" bestFit="1" customWidth="1"/>
    <col min="9475" max="9475" width="11.140625" style="11" customWidth="1"/>
    <col min="9476" max="9476" width="10.140625" style="11" customWidth="1"/>
    <col min="9477" max="9477" width="10" style="11" customWidth="1"/>
    <col min="9478" max="9478" width="12.42578125" style="11" bestFit="1" customWidth="1"/>
    <col min="9479" max="9480" width="9.140625" style="11"/>
    <col min="9481" max="9481" width="11.5703125" style="11" customWidth="1"/>
    <col min="9482" max="9482" width="9.140625" style="11"/>
    <col min="9483" max="9483" width="15.5703125" style="11" customWidth="1"/>
    <col min="9484" max="9484" width="9.140625" style="11"/>
    <col min="9485" max="9485" width="9" style="11" customWidth="1"/>
    <col min="9486" max="9486" width="11.85546875" style="11" bestFit="1" customWidth="1"/>
    <col min="9487" max="9728" width="9.140625" style="11"/>
    <col min="9729" max="9729" width="24.140625" style="11" customWidth="1"/>
    <col min="9730" max="9730" width="15" style="11" bestFit="1" customWidth="1"/>
    <col min="9731" max="9731" width="11.140625" style="11" customWidth="1"/>
    <col min="9732" max="9732" width="10.140625" style="11" customWidth="1"/>
    <col min="9733" max="9733" width="10" style="11" customWidth="1"/>
    <col min="9734" max="9734" width="12.42578125" style="11" bestFit="1" customWidth="1"/>
    <col min="9735" max="9736" width="9.140625" style="11"/>
    <col min="9737" max="9737" width="11.5703125" style="11" customWidth="1"/>
    <col min="9738" max="9738" width="9.140625" style="11"/>
    <col min="9739" max="9739" width="15.5703125" style="11" customWidth="1"/>
    <col min="9740" max="9740" width="9.140625" style="11"/>
    <col min="9741" max="9741" width="9" style="11" customWidth="1"/>
    <col min="9742" max="9742" width="11.85546875" style="11" bestFit="1" customWidth="1"/>
    <col min="9743" max="9984" width="9.140625" style="11"/>
    <col min="9985" max="9985" width="24.140625" style="11" customWidth="1"/>
    <col min="9986" max="9986" width="15" style="11" bestFit="1" customWidth="1"/>
    <col min="9987" max="9987" width="11.140625" style="11" customWidth="1"/>
    <col min="9988" max="9988" width="10.140625" style="11" customWidth="1"/>
    <col min="9989" max="9989" width="10" style="11" customWidth="1"/>
    <col min="9990" max="9990" width="12.42578125" style="11" bestFit="1" customWidth="1"/>
    <col min="9991" max="9992" width="9.140625" style="11"/>
    <col min="9993" max="9993" width="11.5703125" style="11" customWidth="1"/>
    <col min="9994" max="9994" width="9.140625" style="11"/>
    <col min="9995" max="9995" width="15.5703125" style="11" customWidth="1"/>
    <col min="9996" max="9996" width="9.140625" style="11"/>
    <col min="9997" max="9997" width="9" style="11" customWidth="1"/>
    <col min="9998" max="9998" width="11.85546875" style="11" bestFit="1" customWidth="1"/>
    <col min="9999" max="10240" width="9.140625" style="11"/>
    <col min="10241" max="10241" width="24.140625" style="11" customWidth="1"/>
    <col min="10242" max="10242" width="15" style="11" bestFit="1" customWidth="1"/>
    <col min="10243" max="10243" width="11.140625" style="11" customWidth="1"/>
    <col min="10244" max="10244" width="10.140625" style="11" customWidth="1"/>
    <col min="10245" max="10245" width="10" style="11" customWidth="1"/>
    <col min="10246" max="10246" width="12.42578125" style="11" bestFit="1" customWidth="1"/>
    <col min="10247" max="10248" width="9.140625" style="11"/>
    <col min="10249" max="10249" width="11.5703125" style="11" customWidth="1"/>
    <col min="10250" max="10250" width="9.140625" style="11"/>
    <col min="10251" max="10251" width="15.5703125" style="11" customWidth="1"/>
    <col min="10252" max="10252" width="9.140625" style="11"/>
    <col min="10253" max="10253" width="9" style="11" customWidth="1"/>
    <col min="10254" max="10254" width="11.85546875" style="11" bestFit="1" customWidth="1"/>
    <col min="10255" max="10496" width="9.140625" style="11"/>
    <col min="10497" max="10497" width="24.140625" style="11" customWidth="1"/>
    <col min="10498" max="10498" width="15" style="11" bestFit="1" customWidth="1"/>
    <col min="10499" max="10499" width="11.140625" style="11" customWidth="1"/>
    <col min="10500" max="10500" width="10.140625" style="11" customWidth="1"/>
    <col min="10501" max="10501" width="10" style="11" customWidth="1"/>
    <col min="10502" max="10502" width="12.42578125" style="11" bestFit="1" customWidth="1"/>
    <col min="10503" max="10504" width="9.140625" style="11"/>
    <col min="10505" max="10505" width="11.5703125" style="11" customWidth="1"/>
    <col min="10506" max="10506" width="9.140625" style="11"/>
    <col min="10507" max="10507" width="15.5703125" style="11" customWidth="1"/>
    <col min="10508" max="10508" width="9.140625" style="11"/>
    <col min="10509" max="10509" width="9" style="11" customWidth="1"/>
    <col min="10510" max="10510" width="11.85546875" style="11" bestFit="1" customWidth="1"/>
    <col min="10511" max="10752" width="9.140625" style="11"/>
    <col min="10753" max="10753" width="24.140625" style="11" customWidth="1"/>
    <col min="10754" max="10754" width="15" style="11" bestFit="1" customWidth="1"/>
    <col min="10755" max="10755" width="11.140625" style="11" customWidth="1"/>
    <col min="10756" max="10756" width="10.140625" style="11" customWidth="1"/>
    <col min="10757" max="10757" width="10" style="11" customWidth="1"/>
    <col min="10758" max="10758" width="12.42578125" style="11" bestFit="1" customWidth="1"/>
    <col min="10759" max="10760" width="9.140625" style="11"/>
    <col min="10761" max="10761" width="11.5703125" style="11" customWidth="1"/>
    <col min="10762" max="10762" width="9.140625" style="11"/>
    <col min="10763" max="10763" width="15.5703125" style="11" customWidth="1"/>
    <col min="10764" max="10764" width="9.140625" style="11"/>
    <col min="10765" max="10765" width="9" style="11" customWidth="1"/>
    <col min="10766" max="10766" width="11.85546875" style="11" bestFit="1" customWidth="1"/>
    <col min="10767" max="11008" width="9.140625" style="11"/>
    <col min="11009" max="11009" width="24.140625" style="11" customWidth="1"/>
    <col min="11010" max="11010" width="15" style="11" bestFit="1" customWidth="1"/>
    <col min="11011" max="11011" width="11.140625" style="11" customWidth="1"/>
    <col min="11012" max="11012" width="10.140625" style="11" customWidth="1"/>
    <col min="11013" max="11013" width="10" style="11" customWidth="1"/>
    <col min="11014" max="11014" width="12.42578125" style="11" bestFit="1" customWidth="1"/>
    <col min="11015" max="11016" width="9.140625" style="11"/>
    <col min="11017" max="11017" width="11.5703125" style="11" customWidth="1"/>
    <col min="11018" max="11018" width="9.140625" style="11"/>
    <col min="11019" max="11019" width="15.5703125" style="11" customWidth="1"/>
    <col min="11020" max="11020" width="9.140625" style="11"/>
    <col min="11021" max="11021" width="9" style="11" customWidth="1"/>
    <col min="11022" max="11022" width="11.85546875" style="11" bestFit="1" customWidth="1"/>
    <col min="11023" max="11264" width="9.140625" style="11"/>
    <col min="11265" max="11265" width="24.140625" style="11" customWidth="1"/>
    <col min="11266" max="11266" width="15" style="11" bestFit="1" customWidth="1"/>
    <col min="11267" max="11267" width="11.140625" style="11" customWidth="1"/>
    <col min="11268" max="11268" width="10.140625" style="11" customWidth="1"/>
    <col min="11269" max="11269" width="10" style="11" customWidth="1"/>
    <col min="11270" max="11270" width="12.42578125" style="11" bestFit="1" customWidth="1"/>
    <col min="11271" max="11272" width="9.140625" style="11"/>
    <col min="11273" max="11273" width="11.5703125" style="11" customWidth="1"/>
    <col min="11274" max="11274" width="9.140625" style="11"/>
    <col min="11275" max="11275" width="15.5703125" style="11" customWidth="1"/>
    <col min="11276" max="11276" width="9.140625" style="11"/>
    <col min="11277" max="11277" width="9" style="11" customWidth="1"/>
    <col min="11278" max="11278" width="11.85546875" style="11" bestFit="1" customWidth="1"/>
    <col min="11279" max="11520" width="9.140625" style="11"/>
    <col min="11521" max="11521" width="24.140625" style="11" customWidth="1"/>
    <col min="11522" max="11522" width="15" style="11" bestFit="1" customWidth="1"/>
    <col min="11523" max="11523" width="11.140625" style="11" customWidth="1"/>
    <col min="11524" max="11524" width="10.140625" style="11" customWidth="1"/>
    <col min="11525" max="11525" width="10" style="11" customWidth="1"/>
    <col min="11526" max="11526" width="12.42578125" style="11" bestFit="1" customWidth="1"/>
    <col min="11527" max="11528" width="9.140625" style="11"/>
    <col min="11529" max="11529" width="11.5703125" style="11" customWidth="1"/>
    <col min="11530" max="11530" width="9.140625" style="11"/>
    <col min="11531" max="11531" width="15.5703125" style="11" customWidth="1"/>
    <col min="11532" max="11532" width="9.140625" style="11"/>
    <col min="11533" max="11533" width="9" style="11" customWidth="1"/>
    <col min="11534" max="11534" width="11.85546875" style="11" bestFit="1" customWidth="1"/>
    <col min="11535" max="11776" width="9.140625" style="11"/>
    <col min="11777" max="11777" width="24.140625" style="11" customWidth="1"/>
    <col min="11778" max="11778" width="15" style="11" bestFit="1" customWidth="1"/>
    <col min="11779" max="11779" width="11.140625" style="11" customWidth="1"/>
    <col min="11780" max="11780" width="10.140625" style="11" customWidth="1"/>
    <col min="11781" max="11781" width="10" style="11" customWidth="1"/>
    <col min="11782" max="11782" width="12.42578125" style="11" bestFit="1" customWidth="1"/>
    <col min="11783" max="11784" width="9.140625" style="11"/>
    <col min="11785" max="11785" width="11.5703125" style="11" customWidth="1"/>
    <col min="11786" max="11786" width="9.140625" style="11"/>
    <col min="11787" max="11787" width="15.5703125" style="11" customWidth="1"/>
    <col min="11788" max="11788" width="9.140625" style="11"/>
    <col min="11789" max="11789" width="9" style="11" customWidth="1"/>
    <col min="11790" max="11790" width="11.85546875" style="11" bestFit="1" customWidth="1"/>
    <col min="11791" max="12032" width="9.140625" style="11"/>
    <col min="12033" max="12033" width="24.140625" style="11" customWidth="1"/>
    <col min="12034" max="12034" width="15" style="11" bestFit="1" customWidth="1"/>
    <col min="12035" max="12035" width="11.140625" style="11" customWidth="1"/>
    <col min="12036" max="12036" width="10.140625" style="11" customWidth="1"/>
    <col min="12037" max="12037" width="10" style="11" customWidth="1"/>
    <col min="12038" max="12038" width="12.42578125" style="11" bestFit="1" customWidth="1"/>
    <col min="12039" max="12040" width="9.140625" style="11"/>
    <col min="12041" max="12041" width="11.5703125" style="11" customWidth="1"/>
    <col min="12042" max="12042" width="9.140625" style="11"/>
    <col min="12043" max="12043" width="15.5703125" style="11" customWidth="1"/>
    <col min="12044" max="12044" width="9.140625" style="11"/>
    <col min="12045" max="12045" width="9" style="11" customWidth="1"/>
    <col min="12046" max="12046" width="11.85546875" style="11" bestFit="1" customWidth="1"/>
    <col min="12047" max="12288" width="9.140625" style="11"/>
    <col min="12289" max="12289" width="24.140625" style="11" customWidth="1"/>
    <col min="12290" max="12290" width="15" style="11" bestFit="1" customWidth="1"/>
    <col min="12291" max="12291" width="11.140625" style="11" customWidth="1"/>
    <col min="12292" max="12292" width="10.140625" style="11" customWidth="1"/>
    <col min="12293" max="12293" width="10" style="11" customWidth="1"/>
    <col min="12294" max="12294" width="12.42578125" style="11" bestFit="1" customWidth="1"/>
    <col min="12295" max="12296" width="9.140625" style="11"/>
    <col min="12297" max="12297" width="11.5703125" style="11" customWidth="1"/>
    <col min="12298" max="12298" width="9.140625" style="11"/>
    <col min="12299" max="12299" width="15.5703125" style="11" customWidth="1"/>
    <col min="12300" max="12300" width="9.140625" style="11"/>
    <col min="12301" max="12301" width="9" style="11" customWidth="1"/>
    <col min="12302" max="12302" width="11.85546875" style="11" bestFit="1" customWidth="1"/>
    <col min="12303" max="12544" width="9.140625" style="11"/>
    <col min="12545" max="12545" width="24.140625" style="11" customWidth="1"/>
    <col min="12546" max="12546" width="15" style="11" bestFit="1" customWidth="1"/>
    <col min="12547" max="12547" width="11.140625" style="11" customWidth="1"/>
    <col min="12548" max="12548" width="10.140625" style="11" customWidth="1"/>
    <col min="12549" max="12549" width="10" style="11" customWidth="1"/>
    <col min="12550" max="12550" width="12.42578125" style="11" bestFit="1" customWidth="1"/>
    <col min="12551" max="12552" width="9.140625" style="11"/>
    <col min="12553" max="12553" width="11.5703125" style="11" customWidth="1"/>
    <col min="12554" max="12554" width="9.140625" style="11"/>
    <col min="12555" max="12555" width="15.5703125" style="11" customWidth="1"/>
    <col min="12556" max="12556" width="9.140625" style="11"/>
    <col min="12557" max="12557" width="9" style="11" customWidth="1"/>
    <col min="12558" max="12558" width="11.85546875" style="11" bestFit="1" customWidth="1"/>
    <col min="12559" max="12800" width="9.140625" style="11"/>
    <col min="12801" max="12801" width="24.140625" style="11" customWidth="1"/>
    <col min="12802" max="12802" width="15" style="11" bestFit="1" customWidth="1"/>
    <col min="12803" max="12803" width="11.140625" style="11" customWidth="1"/>
    <col min="12804" max="12804" width="10.140625" style="11" customWidth="1"/>
    <col min="12805" max="12805" width="10" style="11" customWidth="1"/>
    <col min="12806" max="12806" width="12.42578125" style="11" bestFit="1" customWidth="1"/>
    <col min="12807" max="12808" width="9.140625" style="11"/>
    <col min="12809" max="12809" width="11.5703125" style="11" customWidth="1"/>
    <col min="12810" max="12810" width="9.140625" style="11"/>
    <col min="12811" max="12811" width="15.5703125" style="11" customWidth="1"/>
    <col min="12812" max="12812" width="9.140625" style="11"/>
    <col min="12813" max="12813" width="9" style="11" customWidth="1"/>
    <col min="12814" max="12814" width="11.85546875" style="11" bestFit="1" customWidth="1"/>
    <col min="12815" max="13056" width="9.140625" style="11"/>
    <col min="13057" max="13057" width="24.140625" style="11" customWidth="1"/>
    <col min="13058" max="13058" width="15" style="11" bestFit="1" customWidth="1"/>
    <col min="13059" max="13059" width="11.140625" style="11" customWidth="1"/>
    <col min="13060" max="13060" width="10.140625" style="11" customWidth="1"/>
    <col min="13061" max="13061" width="10" style="11" customWidth="1"/>
    <col min="13062" max="13062" width="12.42578125" style="11" bestFit="1" customWidth="1"/>
    <col min="13063" max="13064" width="9.140625" style="11"/>
    <col min="13065" max="13065" width="11.5703125" style="11" customWidth="1"/>
    <col min="13066" max="13066" width="9.140625" style="11"/>
    <col min="13067" max="13067" width="15.5703125" style="11" customWidth="1"/>
    <col min="13068" max="13068" width="9.140625" style="11"/>
    <col min="13069" max="13069" width="9" style="11" customWidth="1"/>
    <col min="13070" max="13070" width="11.85546875" style="11" bestFit="1" customWidth="1"/>
    <col min="13071" max="13312" width="9.140625" style="11"/>
    <col min="13313" max="13313" width="24.140625" style="11" customWidth="1"/>
    <col min="13314" max="13314" width="15" style="11" bestFit="1" customWidth="1"/>
    <col min="13315" max="13315" width="11.140625" style="11" customWidth="1"/>
    <col min="13316" max="13316" width="10.140625" style="11" customWidth="1"/>
    <col min="13317" max="13317" width="10" style="11" customWidth="1"/>
    <col min="13318" max="13318" width="12.42578125" style="11" bestFit="1" customWidth="1"/>
    <col min="13319" max="13320" width="9.140625" style="11"/>
    <col min="13321" max="13321" width="11.5703125" style="11" customWidth="1"/>
    <col min="13322" max="13322" width="9.140625" style="11"/>
    <col min="13323" max="13323" width="15.5703125" style="11" customWidth="1"/>
    <col min="13324" max="13324" width="9.140625" style="11"/>
    <col min="13325" max="13325" width="9" style="11" customWidth="1"/>
    <col min="13326" max="13326" width="11.85546875" style="11" bestFit="1" customWidth="1"/>
    <col min="13327" max="13568" width="9.140625" style="11"/>
    <col min="13569" max="13569" width="24.140625" style="11" customWidth="1"/>
    <col min="13570" max="13570" width="15" style="11" bestFit="1" customWidth="1"/>
    <col min="13571" max="13571" width="11.140625" style="11" customWidth="1"/>
    <col min="13572" max="13572" width="10.140625" style="11" customWidth="1"/>
    <col min="13573" max="13573" width="10" style="11" customWidth="1"/>
    <col min="13574" max="13574" width="12.42578125" style="11" bestFit="1" customWidth="1"/>
    <col min="13575" max="13576" width="9.140625" style="11"/>
    <col min="13577" max="13577" width="11.5703125" style="11" customWidth="1"/>
    <col min="13578" max="13578" width="9.140625" style="11"/>
    <col min="13579" max="13579" width="15.5703125" style="11" customWidth="1"/>
    <col min="13580" max="13580" width="9.140625" style="11"/>
    <col min="13581" max="13581" width="9" style="11" customWidth="1"/>
    <col min="13582" max="13582" width="11.85546875" style="11" bestFit="1" customWidth="1"/>
    <col min="13583" max="13824" width="9.140625" style="11"/>
    <col min="13825" max="13825" width="24.140625" style="11" customWidth="1"/>
    <col min="13826" max="13826" width="15" style="11" bestFit="1" customWidth="1"/>
    <col min="13827" max="13827" width="11.140625" style="11" customWidth="1"/>
    <col min="13828" max="13828" width="10.140625" style="11" customWidth="1"/>
    <col min="13829" max="13829" width="10" style="11" customWidth="1"/>
    <col min="13830" max="13830" width="12.42578125" style="11" bestFit="1" customWidth="1"/>
    <col min="13831" max="13832" width="9.140625" style="11"/>
    <col min="13833" max="13833" width="11.5703125" style="11" customWidth="1"/>
    <col min="13834" max="13834" width="9.140625" style="11"/>
    <col min="13835" max="13835" width="15.5703125" style="11" customWidth="1"/>
    <col min="13836" max="13836" width="9.140625" style="11"/>
    <col min="13837" max="13837" width="9" style="11" customWidth="1"/>
    <col min="13838" max="13838" width="11.85546875" style="11" bestFit="1" customWidth="1"/>
    <col min="13839" max="14080" width="9.140625" style="11"/>
    <col min="14081" max="14081" width="24.140625" style="11" customWidth="1"/>
    <col min="14082" max="14082" width="15" style="11" bestFit="1" customWidth="1"/>
    <col min="14083" max="14083" width="11.140625" style="11" customWidth="1"/>
    <col min="14084" max="14084" width="10.140625" style="11" customWidth="1"/>
    <col min="14085" max="14085" width="10" style="11" customWidth="1"/>
    <col min="14086" max="14086" width="12.42578125" style="11" bestFit="1" customWidth="1"/>
    <col min="14087" max="14088" width="9.140625" style="11"/>
    <col min="14089" max="14089" width="11.5703125" style="11" customWidth="1"/>
    <col min="14090" max="14090" width="9.140625" style="11"/>
    <col min="14091" max="14091" width="15.5703125" style="11" customWidth="1"/>
    <col min="14092" max="14092" width="9.140625" style="11"/>
    <col min="14093" max="14093" width="9" style="11" customWidth="1"/>
    <col min="14094" max="14094" width="11.85546875" style="11" bestFit="1" customWidth="1"/>
    <col min="14095" max="14336" width="9.140625" style="11"/>
    <col min="14337" max="14337" width="24.140625" style="11" customWidth="1"/>
    <col min="14338" max="14338" width="15" style="11" bestFit="1" customWidth="1"/>
    <col min="14339" max="14339" width="11.140625" style="11" customWidth="1"/>
    <col min="14340" max="14340" width="10.140625" style="11" customWidth="1"/>
    <col min="14341" max="14341" width="10" style="11" customWidth="1"/>
    <col min="14342" max="14342" width="12.42578125" style="11" bestFit="1" customWidth="1"/>
    <col min="14343" max="14344" width="9.140625" style="11"/>
    <col min="14345" max="14345" width="11.5703125" style="11" customWidth="1"/>
    <col min="14346" max="14346" width="9.140625" style="11"/>
    <col min="14347" max="14347" width="15.5703125" style="11" customWidth="1"/>
    <col min="14348" max="14348" width="9.140625" style="11"/>
    <col min="14349" max="14349" width="9" style="11" customWidth="1"/>
    <col min="14350" max="14350" width="11.85546875" style="11" bestFit="1" customWidth="1"/>
    <col min="14351" max="14592" width="9.140625" style="11"/>
    <col min="14593" max="14593" width="24.140625" style="11" customWidth="1"/>
    <col min="14594" max="14594" width="15" style="11" bestFit="1" customWidth="1"/>
    <col min="14595" max="14595" width="11.140625" style="11" customWidth="1"/>
    <col min="14596" max="14596" width="10.140625" style="11" customWidth="1"/>
    <col min="14597" max="14597" width="10" style="11" customWidth="1"/>
    <col min="14598" max="14598" width="12.42578125" style="11" bestFit="1" customWidth="1"/>
    <col min="14599" max="14600" width="9.140625" style="11"/>
    <col min="14601" max="14601" width="11.5703125" style="11" customWidth="1"/>
    <col min="14602" max="14602" width="9.140625" style="11"/>
    <col min="14603" max="14603" width="15.5703125" style="11" customWidth="1"/>
    <col min="14604" max="14604" width="9.140625" style="11"/>
    <col min="14605" max="14605" width="9" style="11" customWidth="1"/>
    <col min="14606" max="14606" width="11.85546875" style="11" bestFit="1" customWidth="1"/>
    <col min="14607" max="14848" width="9.140625" style="11"/>
    <col min="14849" max="14849" width="24.140625" style="11" customWidth="1"/>
    <col min="14850" max="14850" width="15" style="11" bestFit="1" customWidth="1"/>
    <col min="14851" max="14851" width="11.140625" style="11" customWidth="1"/>
    <col min="14852" max="14852" width="10.140625" style="11" customWidth="1"/>
    <col min="14853" max="14853" width="10" style="11" customWidth="1"/>
    <col min="14854" max="14854" width="12.42578125" style="11" bestFit="1" customWidth="1"/>
    <col min="14855" max="14856" width="9.140625" style="11"/>
    <col min="14857" max="14857" width="11.5703125" style="11" customWidth="1"/>
    <col min="14858" max="14858" width="9.140625" style="11"/>
    <col min="14859" max="14859" width="15.5703125" style="11" customWidth="1"/>
    <col min="14860" max="14860" width="9.140625" style="11"/>
    <col min="14861" max="14861" width="9" style="11" customWidth="1"/>
    <col min="14862" max="14862" width="11.85546875" style="11" bestFit="1" customWidth="1"/>
    <col min="14863" max="15104" width="9.140625" style="11"/>
    <col min="15105" max="15105" width="24.140625" style="11" customWidth="1"/>
    <col min="15106" max="15106" width="15" style="11" bestFit="1" customWidth="1"/>
    <col min="15107" max="15107" width="11.140625" style="11" customWidth="1"/>
    <col min="15108" max="15108" width="10.140625" style="11" customWidth="1"/>
    <col min="15109" max="15109" width="10" style="11" customWidth="1"/>
    <col min="15110" max="15110" width="12.42578125" style="11" bestFit="1" customWidth="1"/>
    <col min="15111" max="15112" width="9.140625" style="11"/>
    <col min="15113" max="15113" width="11.5703125" style="11" customWidth="1"/>
    <col min="15114" max="15114" width="9.140625" style="11"/>
    <col min="15115" max="15115" width="15.5703125" style="11" customWidth="1"/>
    <col min="15116" max="15116" width="9.140625" style="11"/>
    <col min="15117" max="15117" width="9" style="11" customWidth="1"/>
    <col min="15118" max="15118" width="11.85546875" style="11" bestFit="1" customWidth="1"/>
    <col min="15119" max="15360" width="9.140625" style="11"/>
    <col min="15361" max="15361" width="24.140625" style="11" customWidth="1"/>
    <col min="15362" max="15362" width="15" style="11" bestFit="1" customWidth="1"/>
    <col min="15363" max="15363" width="11.140625" style="11" customWidth="1"/>
    <col min="15364" max="15364" width="10.140625" style="11" customWidth="1"/>
    <col min="15365" max="15365" width="10" style="11" customWidth="1"/>
    <col min="15366" max="15366" width="12.42578125" style="11" bestFit="1" customWidth="1"/>
    <col min="15367" max="15368" width="9.140625" style="11"/>
    <col min="15369" max="15369" width="11.5703125" style="11" customWidth="1"/>
    <col min="15370" max="15370" width="9.140625" style="11"/>
    <col min="15371" max="15371" width="15.5703125" style="11" customWidth="1"/>
    <col min="15372" max="15372" width="9.140625" style="11"/>
    <col min="15373" max="15373" width="9" style="11" customWidth="1"/>
    <col min="15374" max="15374" width="11.85546875" style="11" bestFit="1" customWidth="1"/>
    <col min="15375" max="15616" width="9.140625" style="11"/>
    <col min="15617" max="15617" width="24.140625" style="11" customWidth="1"/>
    <col min="15618" max="15618" width="15" style="11" bestFit="1" customWidth="1"/>
    <col min="15619" max="15619" width="11.140625" style="11" customWidth="1"/>
    <col min="15620" max="15620" width="10.140625" style="11" customWidth="1"/>
    <col min="15621" max="15621" width="10" style="11" customWidth="1"/>
    <col min="15622" max="15622" width="12.42578125" style="11" bestFit="1" customWidth="1"/>
    <col min="15623" max="15624" width="9.140625" style="11"/>
    <col min="15625" max="15625" width="11.5703125" style="11" customWidth="1"/>
    <col min="15626" max="15626" width="9.140625" style="11"/>
    <col min="15627" max="15627" width="15.5703125" style="11" customWidth="1"/>
    <col min="15628" max="15628" width="9.140625" style="11"/>
    <col min="15629" max="15629" width="9" style="11" customWidth="1"/>
    <col min="15630" max="15630" width="11.85546875" style="11" bestFit="1" customWidth="1"/>
    <col min="15631" max="15872" width="9.140625" style="11"/>
    <col min="15873" max="15873" width="24.140625" style="11" customWidth="1"/>
    <col min="15874" max="15874" width="15" style="11" bestFit="1" customWidth="1"/>
    <col min="15875" max="15875" width="11.140625" style="11" customWidth="1"/>
    <col min="15876" max="15876" width="10.140625" style="11" customWidth="1"/>
    <col min="15877" max="15877" width="10" style="11" customWidth="1"/>
    <col min="15878" max="15878" width="12.42578125" style="11" bestFit="1" customWidth="1"/>
    <col min="15879" max="15880" width="9.140625" style="11"/>
    <col min="15881" max="15881" width="11.5703125" style="11" customWidth="1"/>
    <col min="15882" max="15882" width="9.140625" style="11"/>
    <col min="15883" max="15883" width="15.5703125" style="11" customWidth="1"/>
    <col min="15884" max="15884" width="9.140625" style="11"/>
    <col min="15885" max="15885" width="9" style="11" customWidth="1"/>
    <col min="15886" max="15886" width="11.85546875" style="11" bestFit="1" customWidth="1"/>
    <col min="15887" max="16128" width="9.140625" style="11"/>
    <col min="16129" max="16129" width="24.140625" style="11" customWidth="1"/>
    <col min="16130" max="16130" width="15" style="11" bestFit="1" customWidth="1"/>
    <col min="16131" max="16131" width="11.140625" style="11" customWidth="1"/>
    <col min="16132" max="16132" width="10.140625" style="11" customWidth="1"/>
    <col min="16133" max="16133" width="10" style="11" customWidth="1"/>
    <col min="16134" max="16134" width="12.42578125" style="11" bestFit="1" customWidth="1"/>
    <col min="16135" max="16136" width="9.140625" style="11"/>
    <col min="16137" max="16137" width="11.5703125" style="11" customWidth="1"/>
    <col min="16138" max="16138" width="9.140625" style="11"/>
    <col min="16139" max="16139" width="15.5703125" style="11" customWidth="1"/>
    <col min="16140" max="16140" width="9.140625" style="11"/>
    <col min="16141" max="16141" width="9" style="11" customWidth="1"/>
    <col min="16142" max="16142" width="11.85546875" style="11" bestFit="1" customWidth="1"/>
    <col min="16143" max="16384" width="9.1406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5.75" thickBot="1">
      <c r="A16" s="20" t="s">
        <v>74</v>
      </c>
    </row>
    <row r="17" spans="1:5" ht="15.75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H17" sqref="H17"/>
    </sheetView>
  </sheetViews>
  <sheetFormatPr defaultRowHeight="15"/>
  <cols>
    <col min="1" max="1" width="30.140625" style="11" customWidth="1"/>
    <col min="2" max="2" width="13.5703125" style="11" bestFit="1" customWidth="1"/>
    <col min="3" max="3" width="12" style="11" customWidth="1"/>
    <col min="4" max="4" width="11.42578125" style="11" customWidth="1"/>
    <col min="5" max="5" width="9.140625" style="11"/>
    <col min="6" max="6" width="12" style="11" bestFit="1" customWidth="1"/>
    <col min="7" max="7" width="9.140625" style="11"/>
    <col min="8" max="8" width="17.42578125" style="11" customWidth="1"/>
    <col min="9" max="255" width="9.140625" style="11"/>
    <col min="256" max="256" width="30.140625" style="11" customWidth="1"/>
    <col min="257" max="257" width="13.5703125" style="11" bestFit="1" customWidth="1"/>
    <col min="258" max="258" width="12" style="11" customWidth="1"/>
    <col min="259" max="259" width="11.42578125" style="11" customWidth="1"/>
    <col min="260" max="263" width="9.140625" style="11"/>
    <col min="264" max="264" width="17.42578125" style="11" customWidth="1"/>
    <col min="265" max="511" width="9.140625" style="11"/>
    <col min="512" max="512" width="30.140625" style="11" customWidth="1"/>
    <col min="513" max="513" width="13.5703125" style="11" bestFit="1" customWidth="1"/>
    <col min="514" max="514" width="12" style="11" customWidth="1"/>
    <col min="515" max="515" width="11.42578125" style="11" customWidth="1"/>
    <col min="516" max="519" width="9.140625" style="11"/>
    <col min="520" max="520" width="17.42578125" style="11" customWidth="1"/>
    <col min="521" max="767" width="9.140625" style="11"/>
    <col min="768" max="768" width="30.140625" style="11" customWidth="1"/>
    <col min="769" max="769" width="13.5703125" style="11" bestFit="1" customWidth="1"/>
    <col min="770" max="770" width="12" style="11" customWidth="1"/>
    <col min="771" max="771" width="11.42578125" style="11" customWidth="1"/>
    <col min="772" max="775" width="9.140625" style="11"/>
    <col min="776" max="776" width="17.42578125" style="11" customWidth="1"/>
    <col min="777" max="1023" width="9.140625" style="11"/>
    <col min="1024" max="1024" width="30.140625" style="11" customWidth="1"/>
    <col min="1025" max="1025" width="13.5703125" style="11" bestFit="1" customWidth="1"/>
    <col min="1026" max="1026" width="12" style="11" customWidth="1"/>
    <col min="1027" max="1027" width="11.42578125" style="11" customWidth="1"/>
    <col min="1028" max="1031" width="9.140625" style="11"/>
    <col min="1032" max="1032" width="17.42578125" style="11" customWidth="1"/>
    <col min="1033" max="1279" width="9.140625" style="11"/>
    <col min="1280" max="1280" width="30.140625" style="11" customWidth="1"/>
    <col min="1281" max="1281" width="13.5703125" style="11" bestFit="1" customWidth="1"/>
    <col min="1282" max="1282" width="12" style="11" customWidth="1"/>
    <col min="1283" max="1283" width="11.42578125" style="11" customWidth="1"/>
    <col min="1284" max="1287" width="9.140625" style="11"/>
    <col min="1288" max="1288" width="17.42578125" style="11" customWidth="1"/>
    <col min="1289" max="1535" width="9.140625" style="11"/>
    <col min="1536" max="1536" width="30.140625" style="11" customWidth="1"/>
    <col min="1537" max="1537" width="13.5703125" style="11" bestFit="1" customWidth="1"/>
    <col min="1538" max="1538" width="12" style="11" customWidth="1"/>
    <col min="1539" max="1539" width="11.42578125" style="11" customWidth="1"/>
    <col min="1540" max="1543" width="9.140625" style="11"/>
    <col min="1544" max="1544" width="17.42578125" style="11" customWidth="1"/>
    <col min="1545" max="1791" width="9.140625" style="11"/>
    <col min="1792" max="1792" width="30.140625" style="11" customWidth="1"/>
    <col min="1793" max="1793" width="13.5703125" style="11" bestFit="1" customWidth="1"/>
    <col min="1794" max="1794" width="12" style="11" customWidth="1"/>
    <col min="1795" max="1795" width="11.42578125" style="11" customWidth="1"/>
    <col min="1796" max="1799" width="9.140625" style="11"/>
    <col min="1800" max="1800" width="17.42578125" style="11" customWidth="1"/>
    <col min="1801" max="2047" width="9.140625" style="11"/>
    <col min="2048" max="2048" width="30.140625" style="11" customWidth="1"/>
    <col min="2049" max="2049" width="13.5703125" style="11" bestFit="1" customWidth="1"/>
    <col min="2050" max="2050" width="12" style="11" customWidth="1"/>
    <col min="2051" max="2051" width="11.42578125" style="11" customWidth="1"/>
    <col min="2052" max="2055" width="9.140625" style="11"/>
    <col min="2056" max="2056" width="17.42578125" style="11" customWidth="1"/>
    <col min="2057" max="2303" width="9.140625" style="11"/>
    <col min="2304" max="2304" width="30.140625" style="11" customWidth="1"/>
    <col min="2305" max="2305" width="13.5703125" style="11" bestFit="1" customWidth="1"/>
    <col min="2306" max="2306" width="12" style="11" customWidth="1"/>
    <col min="2307" max="2307" width="11.42578125" style="11" customWidth="1"/>
    <col min="2308" max="2311" width="9.140625" style="11"/>
    <col min="2312" max="2312" width="17.42578125" style="11" customWidth="1"/>
    <col min="2313" max="2559" width="9.140625" style="11"/>
    <col min="2560" max="2560" width="30.140625" style="11" customWidth="1"/>
    <col min="2561" max="2561" width="13.5703125" style="11" bestFit="1" customWidth="1"/>
    <col min="2562" max="2562" width="12" style="11" customWidth="1"/>
    <col min="2563" max="2563" width="11.42578125" style="11" customWidth="1"/>
    <col min="2564" max="2567" width="9.140625" style="11"/>
    <col min="2568" max="2568" width="17.42578125" style="11" customWidth="1"/>
    <col min="2569" max="2815" width="9.140625" style="11"/>
    <col min="2816" max="2816" width="30.140625" style="11" customWidth="1"/>
    <col min="2817" max="2817" width="13.5703125" style="11" bestFit="1" customWidth="1"/>
    <col min="2818" max="2818" width="12" style="11" customWidth="1"/>
    <col min="2819" max="2819" width="11.42578125" style="11" customWidth="1"/>
    <col min="2820" max="2823" width="9.140625" style="11"/>
    <col min="2824" max="2824" width="17.42578125" style="11" customWidth="1"/>
    <col min="2825" max="3071" width="9.140625" style="11"/>
    <col min="3072" max="3072" width="30.140625" style="11" customWidth="1"/>
    <col min="3073" max="3073" width="13.5703125" style="11" bestFit="1" customWidth="1"/>
    <col min="3074" max="3074" width="12" style="11" customWidth="1"/>
    <col min="3075" max="3075" width="11.42578125" style="11" customWidth="1"/>
    <col min="3076" max="3079" width="9.140625" style="11"/>
    <col min="3080" max="3080" width="17.42578125" style="11" customWidth="1"/>
    <col min="3081" max="3327" width="9.140625" style="11"/>
    <col min="3328" max="3328" width="30.140625" style="11" customWidth="1"/>
    <col min="3329" max="3329" width="13.5703125" style="11" bestFit="1" customWidth="1"/>
    <col min="3330" max="3330" width="12" style="11" customWidth="1"/>
    <col min="3331" max="3331" width="11.42578125" style="11" customWidth="1"/>
    <col min="3332" max="3335" width="9.140625" style="11"/>
    <col min="3336" max="3336" width="17.42578125" style="11" customWidth="1"/>
    <col min="3337" max="3583" width="9.140625" style="11"/>
    <col min="3584" max="3584" width="30.140625" style="11" customWidth="1"/>
    <col min="3585" max="3585" width="13.5703125" style="11" bestFit="1" customWidth="1"/>
    <col min="3586" max="3586" width="12" style="11" customWidth="1"/>
    <col min="3587" max="3587" width="11.42578125" style="11" customWidth="1"/>
    <col min="3588" max="3591" width="9.140625" style="11"/>
    <col min="3592" max="3592" width="17.42578125" style="11" customWidth="1"/>
    <col min="3593" max="3839" width="9.140625" style="11"/>
    <col min="3840" max="3840" width="30.140625" style="11" customWidth="1"/>
    <col min="3841" max="3841" width="13.5703125" style="11" bestFit="1" customWidth="1"/>
    <col min="3842" max="3842" width="12" style="11" customWidth="1"/>
    <col min="3843" max="3843" width="11.42578125" style="11" customWidth="1"/>
    <col min="3844" max="3847" width="9.140625" style="11"/>
    <col min="3848" max="3848" width="17.42578125" style="11" customWidth="1"/>
    <col min="3849" max="4095" width="9.140625" style="11"/>
    <col min="4096" max="4096" width="30.140625" style="11" customWidth="1"/>
    <col min="4097" max="4097" width="13.5703125" style="11" bestFit="1" customWidth="1"/>
    <col min="4098" max="4098" width="12" style="11" customWidth="1"/>
    <col min="4099" max="4099" width="11.42578125" style="11" customWidth="1"/>
    <col min="4100" max="4103" width="9.140625" style="11"/>
    <col min="4104" max="4104" width="17.42578125" style="11" customWidth="1"/>
    <col min="4105" max="4351" width="9.140625" style="11"/>
    <col min="4352" max="4352" width="30.140625" style="11" customWidth="1"/>
    <col min="4353" max="4353" width="13.5703125" style="11" bestFit="1" customWidth="1"/>
    <col min="4354" max="4354" width="12" style="11" customWidth="1"/>
    <col min="4355" max="4355" width="11.42578125" style="11" customWidth="1"/>
    <col min="4356" max="4359" width="9.140625" style="11"/>
    <col min="4360" max="4360" width="17.42578125" style="11" customWidth="1"/>
    <col min="4361" max="4607" width="9.140625" style="11"/>
    <col min="4608" max="4608" width="30.140625" style="11" customWidth="1"/>
    <col min="4609" max="4609" width="13.5703125" style="11" bestFit="1" customWidth="1"/>
    <col min="4610" max="4610" width="12" style="11" customWidth="1"/>
    <col min="4611" max="4611" width="11.42578125" style="11" customWidth="1"/>
    <col min="4612" max="4615" width="9.140625" style="11"/>
    <col min="4616" max="4616" width="17.42578125" style="11" customWidth="1"/>
    <col min="4617" max="4863" width="9.140625" style="11"/>
    <col min="4864" max="4864" width="30.140625" style="11" customWidth="1"/>
    <col min="4865" max="4865" width="13.5703125" style="11" bestFit="1" customWidth="1"/>
    <col min="4866" max="4866" width="12" style="11" customWidth="1"/>
    <col min="4867" max="4867" width="11.42578125" style="11" customWidth="1"/>
    <col min="4868" max="4871" width="9.140625" style="11"/>
    <col min="4872" max="4872" width="17.42578125" style="11" customWidth="1"/>
    <col min="4873" max="5119" width="9.140625" style="11"/>
    <col min="5120" max="5120" width="30.140625" style="11" customWidth="1"/>
    <col min="5121" max="5121" width="13.5703125" style="11" bestFit="1" customWidth="1"/>
    <col min="5122" max="5122" width="12" style="11" customWidth="1"/>
    <col min="5123" max="5123" width="11.42578125" style="11" customWidth="1"/>
    <col min="5124" max="5127" width="9.140625" style="11"/>
    <col min="5128" max="5128" width="17.42578125" style="11" customWidth="1"/>
    <col min="5129" max="5375" width="9.140625" style="11"/>
    <col min="5376" max="5376" width="30.140625" style="11" customWidth="1"/>
    <col min="5377" max="5377" width="13.5703125" style="11" bestFit="1" customWidth="1"/>
    <col min="5378" max="5378" width="12" style="11" customWidth="1"/>
    <col min="5379" max="5379" width="11.42578125" style="11" customWidth="1"/>
    <col min="5380" max="5383" width="9.140625" style="11"/>
    <col min="5384" max="5384" width="17.42578125" style="11" customWidth="1"/>
    <col min="5385" max="5631" width="9.140625" style="11"/>
    <col min="5632" max="5632" width="30.140625" style="11" customWidth="1"/>
    <col min="5633" max="5633" width="13.5703125" style="11" bestFit="1" customWidth="1"/>
    <col min="5634" max="5634" width="12" style="11" customWidth="1"/>
    <col min="5635" max="5635" width="11.42578125" style="11" customWidth="1"/>
    <col min="5636" max="5639" width="9.140625" style="11"/>
    <col min="5640" max="5640" width="17.42578125" style="11" customWidth="1"/>
    <col min="5641" max="5887" width="9.140625" style="11"/>
    <col min="5888" max="5888" width="30.140625" style="11" customWidth="1"/>
    <col min="5889" max="5889" width="13.5703125" style="11" bestFit="1" customWidth="1"/>
    <col min="5890" max="5890" width="12" style="11" customWidth="1"/>
    <col min="5891" max="5891" width="11.42578125" style="11" customWidth="1"/>
    <col min="5892" max="5895" width="9.140625" style="11"/>
    <col min="5896" max="5896" width="17.42578125" style="11" customWidth="1"/>
    <col min="5897" max="6143" width="9.140625" style="11"/>
    <col min="6144" max="6144" width="30.140625" style="11" customWidth="1"/>
    <col min="6145" max="6145" width="13.5703125" style="11" bestFit="1" customWidth="1"/>
    <col min="6146" max="6146" width="12" style="11" customWidth="1"/>
    <col min="6147" max="6147" width="11.42578125" style="11" customWidth="1"/>
    <col min="6148" max="6151" width="9.140625" style="11"/>
    <col min="6152" max="6152" width="17.42578125" style="11" customWidth="1"/>
    <col min="6153" max="6399" width="9.140625" style="11"/>
    <col min="6400" max="6400" width="30.140625" style="11" customWidth="1"/>
    <col min="6401" max="6401" width="13.5703125" style="11" bestFit="1" customWidth="1"/>
    <col min="6402" max="6402" width="12" style="11" customWidth="1"/>
    <col min="6403" max="6403" width="11.42578125" style="11" customWidth="1"/>
    <col min="6404" max="6407" width="9.140625" style="11"/>
    <col min="6408" max="6408" width="17.42578125" style="11" customWidth="1"/>
    <col min="6409" max="6655" width="9.140625" style="11"/>
    <col min="6656" max="6656" width="30.140625" style="11" customWidth="1"/>
    <col min="6657" max="6657" width="13.5703125" style="11" bestFit="1" customWidth="1"/>
    <col min="6658" max="6658" width="12" style="11" customWidth="1"/>
    <col min="6659" max="6659" width="11.42578125" style="11" customWidth="1"/>
    <col min="6660" max="6663" width="9.140625" style="11"/>
    <col min="6664" max="6664" width="17.42578125" style="11" customWidth="1"/>
    <col min="6665" max="6911" width="9.140625" style="11"/>
    <col min="6912" max="6912" width="30.140625" style="11" customWidth="1"/>
    <col min="6913" max="6913" width="13.5703125" style="11" bestFit="1" customWidth="1"/>
    <col min="6914" max="6914" width="12" style="11" customWidth="1"/>
    <col min="6915" max="6915" width="11.42578125" style="11" customWidth="1"/>
    <col min="6916" max="6919" width="9.140625" style="11"/>
    <col min="6920" max="6920" width="17.42578125" style="11" customWidth="1"/>
    <col min="6921" max="7167" width="9.140625" style="11"/>
    <col min="7168" max="7168" width="30.140625" style="11" customWidth="1"/>
    <col min="7169" max="7169" width="13.5703125" style="11" bestFit="1" customWidth="1"/>
    <col min="7170" max="7170" width="12" style="11" customWidth="1"/>
    <col min="7171" max="7171" width="11.42578125" style="11" customWidth="1"/>
    <col min="7172" max="7175" width="9.140625" style="11"/>
    <col min="7176" max="7176" width="17.42578125" style="11" customWidth="1"/>
    <col min="7177" max="7423" width="9.140625" style="11"/>
    <col min="7424" max="7424" width="30.140625" style="11" customWidth="1"/>
    <col min="7425" max="7425" width="13.5703125" style="11" bestFit="1" customWidth="1"/>
    <col min="7426" max="7426" width="12" style="11" customWidth="1"/>
    <col min="7427" max="7427" width="11.42578125" style="11" customWidth="1"/>
    <col min="7428" max="7431" width="9.140625" style="11"/>
    <col min="7432" max="7432" width="17.42578125" style="11" customWidth="1"/>
    <col min="7433" max="7679" width="9.140625" style="11"/>
    <col min="7680" max="7680" width="30.140625" style="11" customWidth="1"/>
    <col min="7681" max="7681" width="13.5703125" style="11" bestFit="1" customWidth="1"/>
    <col min="7682" max="7682" width="12" style="11" customWidth="1"/>
    <col min="7683" max="7683" width="11.42578125" style="11" customWidth="1"/>
    <col min="7684" max="7687" width="9.140625" style="11"/>
    <col min="7688" max="7688" width="17.42578125" style="11" customWidth="1"/>
    <col min="7689" max="7935" width="9.140625" style="11"/>
    <col min="7936" max="7936" width="30.140625" style="11" customWidth="1"/>
    <col min="7937" max="7937" width="13.5703125" style="11" bestFit="1" customWidth="1"/>
    <col min="7938" max="7938" width="12" style="11" customWidth="1"/>
    <col min="7939" max="7939" width="11.42578125" style="11" customWidth="1"/>
    <col min="7940" max="7943" width="9.140625" style="11"/>
    <col min="7944" max="7944" width="17.42578125" style="11" customWidth="1"/>
    <col min="7945" max="8191" width="9.140625" style="11"/>
    <col min="8192" max="8192" width="30.140625" style="11" customWidth="1"/>
    <col min="8193" max="8193" width="13.5703125" style="11" bestFit="1" customWidth="1"/>
    <col min="8194" max="8194" width="12" style="11" customWidth="1"/>
    <col min="8195" max="8195" width="11.42578125" style="11" customWidth="1"/>
    <col min="8196" max="8199" width="9.140625" style="11"/>
    <col min="8200" max="8200" width="17.42578125" style="11" customWidth="1"/>
    <col min="8201" max="8447" width="9.140625" style="11"/>
    <col min="8448" max="8448" width="30.140625" style="11" customWidth="1"/>
    <col min="8449" max="8449" width="13.5703125" style="11" bestFit="1" customWidth="1"/>
    <col min="8450" max="8450" width="12" style="11" customWidth="1"/>
    <col min="8451" max="8451" width="11.42578125" style="11" customWidth="1"/>
    <col min="8452" max="8455" width="9.140625" style="11"/>
    <col min="8456" max="8456" width="17.42578125" style="11" customWidth="1"/>
    <col min="8457" max="8703" width="9.140625" style="11"/>
    <col min="8704" max="8704" width="30.140625" style="11" customWidth="1"/>
    <col min="8705" max="8705" width="13.5703125" style="11" bestFit="1" customWidth="1"/>
    <col min="8706" max="8706" width="12" style="11" customWidth="1"/>
    <col min="8707" max="8707" width="11.42578125" style="11" customWidth="1"/>
    <col min="8708" max="8711" width="9.140625" style="11"/>
    <col min="8712" max="8712" width="17.42578125" style="11" customWidth="1"/>
    <col min="8713" max="8959" width="9.140625" style="11"/>
    <col min="8960" max="8960" width="30.140625" style="11" customWidth="1"/>
    <col min="8961" max="8961" width="13.5703125" style="11" bestFit="1" customWidth="1"/>
    <col min="8962" max="8962" width="12" style="11" customWidth="1"/>
    <col min="8963" max="8963" width="11.42578125" style="11" customWidth="1"/>
    <col min="8964" max="8967" width="9.140625" style="11"/>
    <col min="8968" max="8968" width="17.42578125" style="11" customWidth="1"/>
    <col min="8969" max="9215" width="9.140625" style="11"/>
    <col min="9216" max="9216" width="30.140625" style="11" customWidth="1"/>
    <col min="9217" max="9217" width="13.5703125" style="11" bestFit="1" customWidth="1"/>
    <col min="9218" max="9218" width="12" style="11" customWidth="1"/>
    <col min="9219" max="9219" width="11.42578125" style="11" customWidth="1"/>
    <col min="9220" max="9223" width="9.140625" style="11"/>
    <col min="9224" max="9224" width="17.42578125" style="11" customWidth="1"/>
    <col min="9225" max="9471" width="9.140625" style="11"/>
    <col min="9472" max="9472" width="30.140625" style="11" customWidth="1"/>
    <col min="9473" max="9473" width="13.5703125" style="11" bestFit="1" customWidth="1"/>
    <col min="9474" max="9474" width="12" style="11" customWidth="1"/>
    <col min="9475" max="9475" width="11.42578125" style="11" customWidth="1"/>
    <col min="9476" max="9479" width="9.140625" style="11"/>
    <col min="9480" max="9480" width="17.42578125" style="11" customWidth="1"/>
    <col min="9481" max="9727" width="9.140625" style="11"/>
    <col min="9728" max="9728" width="30.140625" style="11" customWidth="1"/>
    <col min="9729" max="9729" width="13.5703125" style="11" bestFit="1" customWidth="1"/>
    <col min="9730" max="9730" width="12" style="11" customWidth="1"/>
    <col min="9731" max="9731" width="11.42578125" style="11" customWidth="1"/>
    <col min="9732" max="9735" width="9.140625" style="11"/>
    <col min="9736" max="9736" width="17.42578125" style="11" customWidth="1"/>
    <col min="9737" max="9983" width="9.140625" style="11"/>
    <col min="9984" max="9984" width="30.140625" style="11" customWidth="1"/>
    <col min="9985" max="9985" width="13.5703125" style="11" bestFit="1" customWidth="1"/>
    <col min="9986" max="9986" width="12" style="11" customWidth="1"/>
    <col min="9987" max="9987" width="11.42578125" style="11" customWidth="1"/>
    <col min="9988" max="9991" width="9.140625" style="11"/>
    <col min="9992" max="9992" width="17.42578125" style="11" customWidth="1"/>
    <col min="9993" max="10239" width="9.140625" style="11"/>
    <col min="10240" max="10240" width="30.140625" style="11" customWidth="1"/>
    <col min="10241" max="10241" width="13.5703125" style="11" bestFit="1" customWidth="1"/>
    <col min="10242" max="10242" width="12" style="11" customWidth="1"/>
    <col min="10243" max="10243" width="11.42578125" style="11" customWidth="1"/>
    <col min="10244" max="10247" width="9.140625" style="11"/>
    <col min="10248" max="10248" width="17.42578125" style="11" customWidth="1"/>
    <col min="10249" max="10495" width="9.140625" style="11"/>
    <col min="10496" max="10496" width="30.140625" style="11" customWidth="1"/>
    <col min="10497" max="10497" width="13.5703125" style="11" bestFit="1" customWidth="1"/>
    <col min="10498" max="10498" width="12" style="11" customWidth="1"/>
    <col min="10499" max="10499" width="11.42578125" style="11" customWidth="1"/>
    <col min="10500" max="10503" width="9.140625" style="11"/>
    <col min="10504" max="10504" width="17.42578125" style="11" customWidth="1"/>
    <col min="10505" max="10751" width="9.140625" style="11"/>
    <col min="10752" max="10752" width="30.140625" style="11" customWidth="1"/>
    <col min="10753" max="10753" width="13.5703125" style="11" bestFit="1" customWidth="1"/>
    <col min="10754" max="10754" width="12" style="11" customWidth="1"/>
    <col min="10755" max="10755" width="11.42578125" style="11" customWidth="1"/>
    <col min="10756" max="10759" width="9.140625" style="11"/>
    <col min="10760" max="10760" width="17.42578125" style="11" customWidth="1"/>
    <col min="10761" max="11007" width="9.140625" style="11"/>
    <col min="11008" max="11008" width="30.140625" style="11" customWidth="1"/>
    <col min="11009" max="11009" width="13.5703125" style="11" bestFit="1" customWidth="1"/>
    <col min="11010" max="11010" width="12" style="11" customWidth="1"/>
    <col min="11011" max="11011" width="11.42578125" style="11" customWidth="1"/>
    <col min="11012" max="11015" width="9.140625" style="11"/>
    <col min="11016" max="11016" width="17.42578125" style="11" customWidth="1"/>
    <col min="11017" max="11263" width="9.140625" style="11"/>
    <col min="11264" max="11264" width="30.140625" style="11" customWidth="1"/>
    <col min="11265" max="11265" width="13.5703125" style="11" bestFit="1" customWidth="1"/>
    <col min="11266" max="11266" width="12" style="11" customWidth="1"/>
    <col min="11267" max="11267" width="11.42578125" style="11" customWidth="1"/>
    <col min="11268" max="11271" width="9.140625" style="11"/>
    <col min="11272" max="11272" width="17.42578125" style="11" customWidth="1"/>
    <col min="11273" max="11519" width="9.140625" style="11"/>
    <col min="11520" max="11520" width="30.140625" style="11" customWidth="1"/>
    <col min="11521" max="11521" width="13.5703125" style="11" bestFit="1" customWidth="1"/>
    <col min="11522" max="11522" width="12" style="11" customWidth="1"/>
    <col min="11523" max="11523" width="11.42578125" style="11" customWidth="1"/>
    <col min="11524" max="11527" width="9.140625" style="11"/>
    <col min="11528" max="11528" width="17.42578125" style="11" customWidth="1"/>
    <col min="11529" max="11775" width="9.140625" style="11"/>
    <col min="11776" max="11776" width="30.140625" style="11" customWidth="1"/>
    <col min="11777" max="11777" width="13.5703125" style="11" bestFit="1" customWidth="1"/>
    <col min="11778" max="11778" width="12" style="11" customWidth="1"/>
    <col min="11779" max="11779" width="11.42578125" style="11" customWidth="1"/>
    <col min="11780" max="11783" width="9.140625" style="11"/>
    <col min="11784" max="11784" width="17.42578125" style="11" customWidth="1"/>
    <col min="11785" max="12031" width="9.140625" style="11"/>
    <col min="12032" max="12032" width="30.140625" style="11" customWidth="1"/>
    <col min="12033" max="12033" width="13.5703125" style="11" bestFit="1" customWidth="1"/>
    <col min="12034" max="12034" width="12" style="11" customWidth="1"/>
    <col min="12035" max="12035" width="11.42578125" style="11" customWidth="1"/>
    <col min="12036" max="12039" width="9.140625" style="11"/>
    <col min="12040" max="12040" width="17.42578125" style="11" customWidth="1"/>
    <col min="12041" max="12287" width="9.140625" style="11"/>
    <col min="12288" max="12288" width="30.140625" style="11" customWidth="1"/>
    <col min="12289" max="12289" width="13.5703125" style="11" bestFit="1" customWidth="1"/>
    <col min="12290" max="12290" width="12" style="11" customWidth="1"/>
    <col min="12291" max="12291" width="11.42578125" style="11" customWidth="1"/>
    <col min="12292" max="12295" width="9.140625" style="11"/>
    <col min="12296" max="12296" width="17.42578125" style="11" customWidth="1"/>
    <col min="12297" max="12543" width="9.140625" style="11"/>
    <col min="12544" max="12544" width="30.140625" style="11" customWidth="1"/>
    <col min="12545" max="12545" width="13.5703125" style="11" bestFit="1" customWidth="1"/>
    <col min="12546" max="12546" width="12" style="11" customWidth="1"/>
    <col min="12547" max="12547" width="11.42578125" style="11" customWidth="1"/>
    <col min="12548" max="12551" width="9.140625" style="11"/>
    <col min="12552" max="12552" width="17.42578125" style="11" customWidth="1"/>
    <col min="12553" max="12799" width="9.140625" style="11"/>
    <col min="12800" max="12800" width="30.140625" style="11" customWidth="1"/>
    <col min="12801" max="12801" width="13.5703125" style="11" bestFit="1" customWidth="1"/>
    <col min="12802" max="12802" width="12" style="11" customWidth="1"/>
    <col min="12803" max="12803" width="11.42578125" style="11" customWidth="1"/>
    <col min="12804" max="12807" width="9.140625" style="11"/>
    <col min="12808" max="12808" width="17.42578125" style="11" customWidth="1"/>
    <col min="12809" max="13055" width="9.140625" style="11"/>
    <col min="13056" max="13056" width="30.140625" style="11" customWidth="1"/>
    <col min="13057" max="13057" width="13.5703125" style="11" bestFit="1" customWidth="1"/>
    <col min="13058" max="13058" width="12" style="11" customWidth="1"/>
    <col min="13059" max="13059" width="11.42578125" style="11" customWidth="1"/>
    <col min="13060" max="13063" width="9.140625" style="11"/>
    <col min="13064" max="13064" width="17.42578125" style="11" customWidth="1"/>
    <col min="13065" max="13311" width="9.140625" style="11"/>
    <col min="13312" max="13312" width="30.140625" style="11" customWidth="1"/>
    <col min="13313" max="13313" width="13.5703125" style="11" bestFit="1" customWidth="1"/>
    <col min="13314" max="13314" width="12" style="11" customWidth="1"/>
    <col min="13315" max="13315" width="11.42578125" style="11" customWidth="1"/>
    <col min="13316" max="13319" width="9.140625" style="11"/>
    <col min="13320" max="13320" width="17.42578125" style="11" customWidth="1"/>
    <col min="13321" max="13567" width="9.140625" style="11"/>
    <col min="13568" max="13568" width="30.140625" style="11" customWidth="1"/>
    <col min="13569" max="13569" width="13.5703125" style="11" bestFit="1" customWidth="1"/>
    <col min="13570" max="13570" width="12" style="11" customWidth="1"/>
    <col min="13571" max="13571" width="11.42578125" style="11" customWidth="1"/>
    <col min="13572" max="13575" width="9.140625" style="11"/>
    <col min="13576" max="13576" width="17.42578125" style="11" customWidth="1"/>
    <col min="13577" max="13823" width="9.140625" style="11"/>
    <col min="13824" max="13824" width="30.140625" style="11" customWidth="1"/>
    <col min="13825" max="13825" width="13.5703125" style="11" bestFit="1" customWidth="1"/>
    <col min="13826" max="13826" width="12" style="11" customWidth="1"/>
    <col min="13827" max="13827" width="11.42578125" style="11" customWidth="1"/>
    <col min="13828" max="13831" width="9.140625" style="11"/>
    <col min="13832" max="13832" width="17.42578125" style="11" customWidth="1"/>
    <col min="13833" max="14079" width="9.140625" style="11"/>
    <col min="14080" max="14080" width="30.140625" style="11" customWidth="1"/>
    <col min="14081" max="14081" width="13.5703125" style="11" bestFit="1" customWidth="1"/>
    <col min="14082" max="14082" width="12" style="11" customWidth="1"/>
    <col min="14083" max="14083" width="11.42578125" style="11" customWidth="1"/>
    <col min="14084" max="14087" width="9.140625" style="11"/>
    <col min="14088" max="14088" width="17.42578125" style="11" customWidth="1"/>
    <col min="14089" max="14335" width="9.140625" style="11"/>
    <col min="14336" max="14336" width="30.140625" style="11" customWidth="1"/>
    <col min="14337" max="14337" width="13.5703125" style="11" bestFit="1" customWidth="1"/>
    <col min="14338" max="14338" width="12" style="11" customWidth="1"/>
    <col min="14339" max="14339" width="11.42578125" style="11" customWidth="1"/>
    <col min="14340" max="14343" width="9.140625" style="11"/>
    <col min="14344" max="14344" width="17.42578125" style="11" customWidth="1"/>
    <col min="14345" max="14591" width="9.140625" style="11"/>
    <col min="14592" max="14592" width="30.140625" style="11" customWidth="1"/>
    <col min="14593" max="14593" width="13.5703125" style="11" bestFit="1" customWidth="1"/>
    <col min="14594" max="14594" width="12" style="11" customWidth="1"/>
    <col min="14595" max="14595" width="11.42578125" style="11" customWidth="1"/>
    <col min="14596" max="14599" width="9.140625" style="11"/>
    <col min="14600" max="14600" width="17.42578125" style="11" customWidth="1"/>
    <col min="14601" max="14847" width="9.140625" style="11"/>
    <col min="14848" max="14848" width="30.140625" style="11" customWidth="1"/>
    <col min="14849" max="14849" width="13.5703125" style="11" bestFit="1" customWidth="1"/>
    <col min="14850" max="14850" width="12" style="11" customWidth="1"/>
    <col min="14851" max="14851" width="11.42578125" style="11" customWidth="1"/>
    <col min="14852" max="14855" width="9.140625" style="11"/>
    <col min="14856" max="14856" width="17.42578125" style="11" customWidth="1"/>
    <col min="14857" max="15103" width="9.140625" style="11"/>
    <col min="15104" max="15104" width="30.140625" style="11" customWidth="1"/>
    <col min="15105" max="15105" width="13.5703125" style="11" bestFit="1" customWidth="1"/>
    <col min="15106" max="15106" width="12" style="11" customWidth="1"/>
    <col min="15107" max="15107" width="11.42578125" style="11" customWidth="1"/>
    <col min="15108" max="15111" width="9.140625" style="11"/>
    <col min="15112" max="15112" width="17.42578125" style="11" customWidth="1"/>
    <col min="15113" max="15359" width="9.140625" style="11"/>
    <col min="15360" max="15360" width="30.140625" style="11" customWidth="1"/>
    <col min="15361" max="15361" width="13.5703125" style="11" bestFit="1" customWidth="1"/>
    <col min="15362" max="15362" width="12" style="11" customWidth="1"/>
    <col min="15363" max="15363" width="11.42578125" style="11" customWidth="1"/>
    <col min="15364" max="15367" width="9.140625" style="11"/>
    <col min="15368" max="15368" width="17.42578125" style="11" customWidth="1"/>
    <col min="15369" max="15615" width="9.140625" style="11"/>
    <col min="15616" max="15616" width="30.140625" style="11" customWidth="1"/>
    <col min="15617" max="15617" width="13.5703125" style="11" bestFit="1" customWidth="1"/>
    <col min="15618" max="15618" width="12" style="11" customWidth="1"/>
    <col min="15619" max="15619" width="11.42578125" style="11" customWidth="1"/>
    <col min="15620" max="15623" width="9.140625" style="11"/>
    <col min="15624" max="15624" width="17.42578125" style="11" customWidth="1"/>
    <col min="15625" max="15871" width="9.140625" style="11"/>
    <col min="15872" max="15872" width="30.140625" style="11" customWidth="1"/>
    <col min="15873" max="15873" width="13.5703125" style="11" bestFit="1" customWidth="1"/>
    <col min="15874" max="15874" width="12" style="11" customWidth="1"/>
    <col min="15875" max="15875" width="11.42578125" style="11" customWidth="1"/>
    <col min="15876" max="15879" width="9.140625" style="11"/>
    <col min="15880" max="15880" width="17.42578125" style="11" customWidth="1"/>
    <col min="15881" max="16127" width="9.140625" style="11"/>
    <col min="16128" max="16128" width="30.140625" style="11" customWidth="1"/>
    <col min="16129" max="16129" width="13.5703125" style="11" bestFit="1" customWidth="1"/>
    <col min="16130" max="16130" width="12" style="11" customWidth="1"/>
    <col min="16131" max="16131" width="11.42578125" style="11" customWidth="1"/>
    <col min="16132" max="16135" width="9.140625" style="11"/>
    <col min="16136" max="16136" width="17.42578125" style="11" customWidth="1"/>
    <col min="16137" max="16384" width="9.140625" style="11"/>
  </cols>
  <sheetData>
    <row r="1" spans="1:8">
      <c r="A1" s="25" t="s">
        <v>161</v>
      </c>
      <c r="G1" s="33"/>
    </row>
    <row r="2" spans="1:8">
      <c r="E2" s="11" t="s">
        <v>590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5.75" thickBot="1">
      <c r="A29" s="11" t="s">
        <v>172</v>
      </c>
      <c r="B29" s="41">
        <f>SUMPRODUCT(B10:F10, B14:F14)</f>
        <v>2800</v>
      </c>
    </row>
    <row r="30" spans="1:6" ht="15.75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zoomScale="80" zoomScaleNormal="80" workbookViewId="0">
      <selection activeCell="B39" sqref="B39"/>
    </sheetView>
  </sheetViews>
  <sheetFormatPr defaultRowHeight="15"/>
  <cols>
    <col min="1" max="1" width="15.85546875" style="11" customWidth="1"/>
    <col min="2" max="2" width="13.140625" style="11" bestFit="1" customWidth="1"/>
    <col min="3" max="3" width="8.85546875" style="11" customWidth="1"/>
    <col min="4" max="4" width="9.140625" style="11" bestFit="1" customWidth="1"/>
    <col min="5" max="6" width="5.85546875" style="11" customWidth="1"/>
    <col min="7" max="7" width="5.140625" style="11" customWidth="1"/>
    <col min="8" max="8" width="5.42578125" style="11" customWidth="1"/>
    <col min="9" max="9" width="5" style="11" customWidth="1"/>
    <col min="10" max="10" width="6.85546875" style="11" customWidth="1"/>
    <col min="11" max="11" width="6.140625" style="11" customWidth="1"/>
    <col min="12" max="12" width="4.85546875" style="11" customWidth="1"/>
    <col min="13" max="13" width="5.140625" style="11" customWidth="1"/>
    <col min="14" max="14" width="8.140625" style="11" customWidth="1"/>
    <col min="15" max="15" width="15.85546875" style="11" customWidth="1"/>
    <col min="16" max="256" width="9.140625" style="11"/>
    <col min="257" max="257" width="15.85546875" style="11" customWidth="1"/>
    <col min="258" max="258" width="14.85546875" style="11" bestFit="1" customWidth="1"/>
    <col min="259" max="259" width="6" style="11" customWidth="1"/>
    <col min="260" max="260" width="8.140625" style="11" bestFit="1" customWidth="1"/>
    <col min="261" max="262" width="5.85546875" style="11" customWidth="1"/>
    <col min="263" max="263" width="5.140625" style="11" customWidth="1"/>
    <col min="264" max="264" width="5.42578125" style="11" customWidth="1"/>
    <col min="265" max="265" width="5" style="11" customWidth="1"/>
    <col min="266" max="266" width="6.85546875" style="11" customWidth="1"/>
    <col min="267" max="267" width="6.140625" style="11" customWidth="1"/>
    <col min="268" max="268" width="4.85546875" style="11" customWidth="1"/>
    <col min="269" max="269" width="5.140625" style="11" customWidth="1"/>
    <col min="270" max="270" width="8.140625" style="11" customWidth="1"/>
    <col min="271" max="271" width="15.85546875" style="11" customWidth="1"/>
    <col min="272" max="512" width="9.140625" style="11"/>
    <col min="513" max="513" width="15.85546875" style="11" customWidth="1"/>
    <col min="514" max="514" width="14.85546875" style="11" bestFit="1" customWidth="1"/>
    <col min="515" max="515" width="6" style="11" customWidth="1"/>
    <col min="516" max="516" width="8.140625" style="11" bestFit="1" customWidth="1"/>
    <col min="517" max="518" width="5.85546875" style="11" customWidth="1"/>
    <col min="519" max="519" width="5.140625" style="11" customWidth="1"/>
    <col min="520" max="520" width="5.42578125" style="11" customWidth="1"/>
    <col min="521" max="521" width="5" style="11" customWidth="1"/>
    <col min="522" max="522" width="6.85546875" style="11" customWidth="1"/>
    <col min="523" max="523" width="6.140625" style="11" customWidth="1"/>
    <col min="524" max="524" width="4.85546875" style="11" customWidth="1"/>
    <col min="525" max="525" width="5.140625" style="11" customWidth="1"/>
    <col min="526" max="526" width="8.140625" style="11" customWidth="1"/>
    <col min="527" max="527" width="15.85546875" style="11" customWidth="1"/>
    <col min="528" max="768" width="9.140625" style="11"/>
    <col min="769" max="769" width="15.85546875" style="11" customWidth="1"/>
    <col min="770" max="770" width="14.85546875" style="11" bestFit="1" customWidth="1"/>
    <col min="771" max="771" width="6" style="11" customWidth="1"/>
    <col min="772" max="772" width="8.140625" style="11" bestFit="1" customWidth="1"/>
    <col min="773" max="774" width="5.85546875" style="11" customWidth="1"/>
    <col min="775" max="775" width="5.140625" style="11" customWidth="1"/>
    <col min="776" max="776" width="5.42578125" style="11" customWidth="1"/>
    <col min="777" max="777" width="5" style="11" customWidth="1"/>
    <col min="778" max="778" width="6.85546875" style="11" customWidth="1"/>
    <col min="779" max="779" width="6.140625" style="11" customWidth="1"/>
    <col min="780" max="780" width="4.85546875" style="11" customWidth="1"/>
    <col min="781" max="781" width="5.140625" style="11" customWidth="1"/>
    <col min="782" max="782" width="8.140625" style="11" customWidth="1"/>
    <col min="783" max="783" width="15.85546875" style="11" customWidth="1"/>
    <col min="784" max="1024" width="9.140625" style="11"/>
    <col min="1025" max="1025" width="15.85546875" style="11" customWidth="1"/>
    <col min="1026" max="1026" width="14.85546875" style="11" bestFit="1" customWidth="1"/>
    <col min="1027" max="1027" width="6" style="11" customWidth="1"/>
    <col min="1028" max="1028" width="8.140625" style="11" bestFit="1" customWidth="1"/>
    <col min="1029" max="1030" width="5.85546875" style="11" customWidth="1"/>
    <col min="1031" max="1031" width="5.140625" style="11" customWidth="1"/>
    <col min="1032" max="1032" width="5.42578125" style="11" customWidth="1"/>
    <col min="1033" max="1033" width="5" style="11" customWidth="1"/>
    <col min="1034" max="1034" width="6.85546875" style="11" customWidth="1"/>
    <col min="1035" max="1035" width="6.140625" style="11" customWidth="1"/>
    <col min="1036" max="1036" width="4.85546875" style="11" customWidth="1"/>
    <col min="1037" max="1037" width="5.140625" style="11" customWidth="1"/>
    <col min="1038" max="1038" width="8.140625" style="11" customWidth="1"/>
    <col min="1039" max="1039" width="15.85546875" style="11" customWidth="1"/>
    <col min="1040" max="1280" width="9.140625" style="11"/>
    <col min="1281" max="1281" width="15.85546875" style="11" customWidth="1"/>
    <col min="1282" max="1282" width="14.85546875" style="11" bestFit="1" customWidth="1"/>
    <col min="1283" max="1283" width="6" style="11" customWidth="1"/>
    <col min="1284" max="1284" width="8.140625" style="11" bestFit="1" customWidth="1"/>
    <col min="1285" max="1286" width="5.85546875" style="11" customWidth="1"/>
    <col min="1287" max="1287" width="5.140625" style="11" customWidth="1"/>
    <col min="1288" max="1288" width="5.42578125" style="11" customWidth="1"/>
    <col min="1289" max="1289" width="5" style="11" customWidth="1"/>
    <col min="1290" max="1290" width="6.85546875" style="11" customWidth="1"/>
    <col min="1291" max="1291" width="6.140625" style="11" customWidth="1"/>
    <col min="1292" max="1292" width="4.85546875" style="11" customWidth="1"/>
    <col min="1293" max="1293" width="5.140625" style="11" customWidth="1"/>
    <col min="1294" max="1294" width="8.140625" style="11" customWidth="1"/>
    <col min="1295" max="1295" width="15.85546875" style="11" customWidth="1"/>
    <col min="1296" max="1536" width="9.140625" style="11"/>
    <col min="1537" max="1537" width="15.85546875" style="11" customWidth="1"/>
    <col min="1538" max="1538" width="14.85546875" style="11" bestFit="1" customWidth="1"/>
    <col min="1539" max="1539" width="6" style="11" customWidth="1"/>
    <col min="1540" max="1540" width="8.140625" style="11" bestFit="1" customWidth="1"/>
    <col min="1541" max="1542" width="5.85546875" style="11" customWidth="1"/>
    <col min="1543" max="1543" width="5.140625" style="11" customWidth="1"/>
    <col min="1544" max="1544" width="5.42578125" style="11" customWidth="1"/>
    <col min="1545" max="1545" width="5" style="11" customWidth="1"/>
    <col min="1546" max="1546" width="6.85546875" style="11" customWidth="1"/>
    <col min="1547" max="1547" width="6.140625" style="11" customWidth="1"/>
    <col min="1548" max="1548" width="4.85546875" style="11" customWidth="1"/>
    <col min="1549" max="1549" width="5.140625" style="11" customWidth="1"/>
    <col min="1550" max="1550" width="8.140625" style="11" customWidth="1"/>
    <col min="1551" max="1551" width="15.85546875" style="11" customWidth="1"/>
    <col min="1552" max="1792" width="9.140625" style="11"/>
    <col min="1793" max="1793" width="15.85546875" style="11" customWidth="1"/>
    <col min="1794" max="1794" width="14.85546875" style="11" bestFit="1" customWidth="1"/>
    <col min="1795" max="1795" width="6" style="11" customWidth="1"/>
    <col min="1796" max="1796" width="8.140625" style="11" bestFit="1" customWidth="1"/>
    <col min="1797" max="1798" width="5.85546875" style="11" customWidth="1"/>
    <col min="1799" max="1799" width="5.140625" style="11" customWidth="1"/>
    <col min="1800" max="1800" width="5.42578125" style="11" customWidth="1"/>
    <col min="1801" max="1801" width="5" style="11" customWidth="1"/>
    <col min="1802" max="1802" width="6.85546875" style="11" customWidth="1"/>
    <col min="1803" max="1803" width="6.140625" style="11" customWidth="1"/>
    <col min="1804" max="1804" width="4.85546875" style="11" customWidth="1"/>
    <col min="1805" max="1805" width="5.140625" style="11" customWidth="1"/>
    <col min="1806" max="1806" width="8.140625" style="11" customWidth="1"/>
    <col min="1807" max="1807" width="15.85546875" style="11" customWidth="1"/>
    <col min="1808" max="2048" width="9.140625" style="11"/>
    <col min="2049" max="2049" width="15.85546875" style="11" customWidth="1"/>
    <col min="2050" max="2050" width="14.85546875" style="11" bestFit="1" customWidth="1"/>
    <col min="2051" max="2051" width="6" style="11" customWidth="1"/>
    <col min="2052" max="2052" width="8.140625" style="11" bestFit="1" customWidth="1"/>
    <col min="2053" max="2054" width="5.85546875" style="11" customWidth="1"/>
    <col min="2055" max="2055" width="5.140625" style="11" customWidth="1"/>
    <col min="2056" max="2056" width="5.42578125" style="11" customWidth="1"/>
    <col min="2057" max="2057" width="5" style="11" customWidth="1"/>
    <col min="2058" max="2058" width="6.85546875" style="11" customWidth="1"/>
    <col min="2059" max="2059" width="6.140625" style="11" customWidth="1"/>
    <col min="2060" max="2060" width="4.85546875" style="11" customWidth="1"/>
    <col min="2061" max="2061" width="5.140625" style="11" customWidth="1"/>
    <col min="2062" max="2062" width="8.140625" style="11" customWidth="1"/>
    <col min="2063" max="2063" width="15.85546875" style="11" customWidth="1"/>
    <col min="2064" max="2304" width="9.140625" style="11"/>
    <col min="2305" max="2305" width="15.85546875" style="11" customWidth="1"/>
    <col min="2306" max="2306" width="14.85546875" style="11" bestFit="1" customWidth="1"/>
    <col min="2307" max="2307" width="6" style="11" customWidth="1"/>
    <col min="2308" max="2308" width="8.140625" style="11" bestFit="1" customWidth="1"/>
    <col min="2309" max="2310" width="5.85546875" style="11" customWidth="1"/>
    <col min="2311" max="2311" width="5.140625" style="11" customWidth="1"/>
    <col min="2312" max="2312" width="5.42578125" style="11" customWidth="1"/>
    <col min="2313" max="2313" width="5" style="11" customWidth="1"/>
    <col min="2314" max="2314" width="6.85546875" style="11" customWidth="1"/>
    <col min="2315" max="2315" width="6.140625" style="11" customWidth="1"/>
    <col min="2316" max="2316" width="4.85546875" style="11" customWidth="1"/>
    <col min="2317" max="2317" width="5.140625" style="11" customWidth="1"/>
    <col min="2318" max="2318" width="8.140625" style="11" customWidth="1"/>
    <col min="2319" max="2319" width="15.85546875" style="11" customWidth="1"/>
    <col min="2320" max="2560" width="9.140625" style="11"/>
    <col min="2561" max="2561" width="15.85546875" style="11" customWidth="1"/>
    <col min="2562" max="2562" width="14.85546875" style="11" bestFit="1" customWidth="1"/>
    <col min="2563" max="2563" width="6" style="11" customWidth="1"/>
    <col min="2564" max="2564" width="8.140625" style="11" bestFit="1" customWidth="1"/>
    <col min="2565" max="2566" width="5.85546875" style="11" customWidth="1"/>
    <col min="2567" max="2567" width="5.140625" style="11" customWidth="1"/>
    <col min="2568" max="2568" width="5.42578125" style="11" customWidth="1"/>
    <col min="2569" max="2569" width="5" style="11" customWidth="1"/>
    <col min="2570" max="2570" width="6.85546875" style="11" customWidth="1"/>
    <col min="2571" max="2571" width="6.140625" style="11" customWidth="1"/>
    <col min="2572" max="2572" width="4.85546875" style="11" customWidth="1"/>
    <col min="2573" max="2573" width="5.140625" style="11" customWidth="1"/>
    <col min="2574" max="2574" width="8.140625" style="11" customWidth="1"/>
    <col min="2575" max="2575" width="15.85546875" style="11" customWidth="1"/>
    <col min="2576" max="2816" width="9.140625" style="11"/>
    <col min="2817" max="2817" width="15.85546875" style="11" customWidth="1"/>
    <col min="2818" max="2818" width="14.85546875" style="11" bestFit="1" customWidth="1"/>
    <col min="2819" max="2819" width="6" style="11" customWidth="1"/>
    <col min="2820" max="2820" width="8.140625" style="11" bestFit="1" customWidth="1"/>
    <col min="2821" max="2822" width="5.85546875" style="11" customWidth="1"/>
    <col min="2823" max="2823" width="5.140625" style="11" customWidth="1"/>
    <col min="2824" max="2824" width="5.42578125" style="11" customWidth="1"/>
    <col min="2825" max="2825" width="5" style="11" customWidth="1"/>
    <col min="2826" max="2826" width="6.85546875" style="11" customWidth="1"/>
    <col min="2827" max="2827" width="6.140625" style="11" customWidth="1"/>
    <col min="2828" max="2828" width="4.85546875" style="11" customWidth="1"/>
    <col min="2829" max="2829" width="5.140625" style="11" customWidth="1"/>
    <col min="2830" max="2830" width="8.140625" style="11" customWidth="1"/>
    <col min="2831" max="2831" width="15.85546875" style="11" customWidth="1"/>
    <col min="2832" max="3072" width="9.140625" style="11"/>
    <col min="3073" max="3073" width="15.85546875" style="11" customWidth="1"/>
    <col min="3074" max="3074" width="14.85546875" style="11" bestFit="1" customWidth="1"/>
    <col min="3075" max="3075" width="6" style="11" customWidth="1"/>
    <col min="3076" max="3076" width="8.140625" style="11" bestFit="1" customWidth="1"/>
    <col min="3077" max="3078" width="5.85546875" style="11" customWidth="1"/>
    <col min="3079" max="3079" width="5.140625" style="11" customWidth="1"/>
    <col min="3080" max="3080" width="5.42578125" style="11" customWidth="1"/>
    <col min="3081" max="3081" width="5" style="11" customWidth="1"/>
    <col min="3082" max="3082" width="6.85546875" style="11" customWidth="1"/>
    <col min="3083" max="3083" width="6.140625" style="11" customWidth="1"/>
    <col min="3084" max="3084" width="4.85546875" style="11" customWidth="1"/>
    <col min="3085" max="3085" width="5.140625" style="11" customWidth="1"/>
    <col min="3086" max="3086" width="8.140625" style="11" customWidth="1"/>
    <col min="3087" max="3087" width="15.85546875" style="11" customWidth="1"/>
    <col min="3088" max="3328" width="9.140625" style="11"/>
    <col min="3329" max="3329" width="15.85546875" style="11" customWidth="1"/>
    <col min="3330" max="3330" width="14.85546875" style="11" bestFit="1" customWidth="1"/>
    <col min="3331" max="3331" width="6" style="11" customWidth="1"/>
    <col min="3332" max="3332" width="8.140625" style="11" bestFit="1" customWidth="1"/>
    <col min="3333" max="3334" width="5.85546875" style="11" customWidth="1"/>
    <col min="3335" max="3335" width="5.140625" style="11" customWidth="1"/>
    <col min="3336" max="3336" width="5.42578125" style="11" customWidth="1"/>
    <col min="3337" max="3337" width="5" style="11" customWidth="1"/>
    <col min="3338" max="3338" width="6.85546875" style="11" customWidth="1"/>
    <col min="3339" max="3339" width="6.140625" style="11" customWidth="1"/>
    <col min="3340" max="3340" width="4.85546875" style="11" customWidth="1"/>
    <col min="3341" max="3341" width="5.140625" style="11" customWidth="1"/>
    <col min="3342" max="3342" width="8.140625" style="11" customWidth="1"/>
    <col min="3343" max="3343" width="15.85546875" style="11" customWidth="1"/>
    <col min="3344" max="3584" width="9.140625" style="11"/>
    <col min="3585" max="3585" width="15.85546875" style="11" customWidth="1"/>
    <col min="3586" max="3586" width="14.85546875" style="11" bestFit="1" customWidth="1"/>
    <col min="3587" max="3587" width="6" style="11" customWidth="1"/>
    <col min="3588" max="3588" width="8.140625" style="11" bestFit="1" customWidth="1"/>
    <col min="3589" max="3590" width="5.85546875" style="11" customWidth="1"/>
    <col min="3591" max="3591" width="5.140625" style="11" customWidth="1"/>
    <col min="3592" max="3592" width="5.42578125" style="11" customWidth="1"/>
    <col min="3593" max="3593" width="5" style="11" customWidth="1"/>
    <col min="3594" max="3594" width="6.85546875" style="11" customWidth="1"/>
    <col min="3595" max="3595" width="6.140625" style="11" customWidth="1"/>
    <col min="3596" max="3596" width="4.85546875" style="11" customWidth="1"/>
    <col min="3597" max="3597" width="5.140625" style="11" customWidth="1"/>
    <col min="3598" max="3598" width="8.140625" style="11" customWidth="1"/>
    <col min="3599" max="3599" width="15.85546875" style="11" customWidth="1"/>
    <col min="3600" max="3840" width="9.140625" style="11"/>
    <col min="3841" max="3841" width="15.85546875" style="11" customWidth="1"/>
    <col min="3842" max="3842" width="14.85546875" style="11" bestFit="1" customWidth="1"/>
    <col min="3843" max="3843" width="6" style="11" customWidth="1"/>
    <col min="3844" max="3844" width="8.140625" style="11" bestFit="1" customWidth="1"/>
    <col min="3845" max="3846" width="5.85546875" style="11" customWidth="1"/>
    <col min="3847" max="3847" width="5.140625" style="11" customWidth="1"/>
    <col min="3848" max="3848" width="5.42578125" style="11" customWidth="1"/>
    <col min="3849" max="3849" width="5" style="11" customWidth="1"/>
    <col min="3850" max="3850" width="6.85546875" style="11" customWidth="1"/>
    <col min="3851" max="3851" width="6.140625" style="11" customWidth="1"/>
    <col min="3852" max="3852" width="4.85546875" style="11" customWidth="1"/>
    <col min="3853" max="3853" width="5.140625" style="11" customWidth="1"/>
    <col min="3854" max="3854" width="8.140625" style="11" customWidth="1"/>
    <col min="3855" max="3855" width="15.85546875" style="11" customWidth="1"/>
    <col min="3856" max="4096" width="9.140625" style="11"/>
    <col min="4097" max="4097" width="15.85546875" style="11" customWidth="1"/>
    <col min="4098" max="4098" width="14.85546875" style="11" bestFit="1" customWidth="1"/>
    <col min="4099" max="4099" width="6" style="11" customWidth="1"/>
    <col min="4100" max="4100" width="8.140625" style="11" bestFit="1" customWidth="1"/>
    <col min="4101" max="4102" width="5.85546875" style="11" customWidth="1"/>
    <col min="4103" max="4103" width="5.140625" style="11" customWidth="1"/>
    <col min="4104" max="4104" width="5.42578125" style="11" customWidth="1"/>
    <col min="4105" max="4105" width="5" style="11" customWidth="1"/>
    <col min="4106" max="4106" width="6.85546875" style="11" customWidth="1"/>
    <col min="4107" max="4107" width="6.140625" style="11" customWidth="1"/>
    <col min="4108" max="4108" width="4.85546875" style="11" customWidth="1"/>
    <col min="4109" max="4109" width="5.140625" style="11" customWidth="1"/>
    <col min="4110" max="4110" width="8.140625" style="11" customWidth="1"/>
    <col min="4111" max="4111" width="15.85546875" style="11" customWidth="1"/>
    <col min="4112" max="4352" width="9.140625" style="11"/>
    <col min="4353" max="4353" width="15.85546875" style="11" customWidth="1"/>
    <col min="4354" max="4354" width="14.85546875" style="11" bestFit="1" customWidth="1"/>
    <col min="4355" max="4355" width="6" style="11" customWidth="1"/>
    <col min="4356" max="4356" width="8.140625" style="11" bestFit="1" customWidth="1"/>
    <col min="4357" max="4358" width="5.85546875" style="11" customWidth="1"/>
    <col min="4359" max="4359" width="5.140625" style="11" customWidth="1"/>
    <col min="4360" max="4360" width="5.42578125" style="11" customWidth="1"/>
    <col min="4361" max="4361" width="5" style="11" customWidth="1"/>
    <col min="4362" max="4362" width="6.85546875" style="11" customWidth="1"/>
    <col min="4363" max="4363" width="6.140625" style="11" customWidth="1"/>
    <col min="4364" max="4364" width="4.85546875" style="11" customWidth="1"/>
    <col min="4365" max="4365" width="5.140625" style="11" customWidth="1"/>
    <col min="4366" max="4366" width="8.140625" style="11" customWidth="1"/>
    <col min="4367" max="4367" width="15.85546875" style="11" customWidth="1"/>
    <col min="4368" max="4608" width="9.140625" style="11"/>
    <col min="4609" max="4609" width="15.85546875" style="11" customWidth="1"/>
    <col min="4610" max="4610" width="14.85546875" style="11" bestFit="1" customWidth="1"/>
    <col min="4611" max="4611" width="6" style="11" customWidth="1"/>
    <col min="4612" max="4612" width="8.140625" style="11" bestFit="1" customWidth="1"/>
    <col min="4613" max="4614" width="5.85546875" style="11" customWidth="1"/>
    <col min="4615" max="4615" width="5.140625" style="11" customWidth="1"/>
    <col min="4616" max="4616" width="5.42578125" style="11" customWidth="1"/>
    <col min="4617" max="4617" width="5" style="11" customWidth="1"/>
    <col min="4618" max="4618" width="6.85546875" style="11" customWidth="1"/>
    <col min="4619" max="4619" width="6.140625" style="11" customWidth="1"/>
    <col min="4620" max="4620" width="4.85546875" style="11" customWidth="1"/>
    <col min="4621" max="4621" width="5.140625" style="11" customWidth="1"/>
    <col min="4622" max="4622" width="8.140625" style="11" customWidth="1"/>
    <col min="4623" max="4623" width="15.85546875" style="11" customWidth="1"/>
    <col min="4624" max="4864" width="9.140625" style="11"/>
    <col min="4865" max="4865" width="15.85546875" style="11" customWidth="1"/>
    <col min="4866" max="4866" width="14.85546875" style="11" bestFit="1" customWidth="1"/>
    <col min="4867" max="4867" width="6" style="11" customWidth="1"/>
    <col min="4868" max="4868" width="8.140625" style="11" bestFit="1" customWidth="1"/>
    <col min="4869" max="4870" width="5.85546875" style="11" customWidth="1"/>
    <col min="4871" max="4871" width="5.140625" style="11" customWidth="1"/>
    <col min="4872" max="4872" width="5.42578125" style="11" customWidth="1"/>
    <col min="4873" max="4873" width="5" style="11" customWidth="1"/>
    <col min="4874" max="4874" width="6.85546875" style="11" customWidth="1"/>
    <col min="4875" max="4875" width="6.140625" style="11" customWidth="1"/>
    <col min="4876" max="4876" width="4.85546875" style="11" customWidth="1"/>
    <col min="4877" max="4877" width="5.140625" style="11" customWidth="1"/>
    <col min="4878" max="4878" width="8.140625" style="11" customWidth="1"/>
    <col min="4879" max="4879" width="15.85546875" style="11" customWidth="1"/>
    <col min="4880" max="5120" width="9.140625" style="11"/>
    <col min="5121" max="5121" width="15.85546875" style="11" customWidth="1"/>
    <col min="5122" max="5122" width="14.85546875" style="11" bestFit="1" customWidth="1"/>
    <col min="5123" max="5123" width="6" style="11" customWidth="1"/>
    <col min="5124" max="5124" width="8.140625" style="11" bestFit="1" customWidth="1"/>
    <col min="5125" max="5126" width="5.85546875" style="11" customWidth="1"/>
    <col min="5127" max="5127" width="5.140625" style="11" customWidth="1"/>
    <col min="5128" max="5128" width="5.42578125" style="11" customWidth="1"/>
    <col min="5129" max="5129" width="5" style="11" customWidth="1"/>
    <col min="5130" max="5130" width="6.85546875" style="11" customWidth="1"/>
    <col min="5131" max="5131" width="6.140625" style="11" customWidth="1"/>
    <col min="5132" max="5132" width="4.85546875" style="11" customWidth="1"/>
    <col min="5133" max="5133" width="5.140625" style="11" customWidth="1"/>
    <col min="5134" max="5134" width="8.140625" style="11" customWidth="1"/>
    <col min="5135" max="5135" width="15.85546875" style="11" customWidth="1"/>
    <col min="5136" max="5376" width="9.140625" style="11"/>
    <col min="5377" max="5377" width="15.85546875" style="11" customWidth="1"/>
    <col min="5378" max="5378" width="14.85546875" style="11" bestFit="1" customWidth="1"/>
    <col min="5379" max="5379" width="6" style="11" customWidth="1"/>
    <col min="5380" max="5380" width="8.140625" style="11" bestFit="1" customWidth="1"/>
    <col min="5381" max="5382" width="5.85546875" style="11" customWidth="1"/>
    <col min="5383" max="5383" width="5.140625" style="11" customWidth="1"/>
    <col min="5384" max="5384" width="5.42578125" style="11" customWidth="1"/>
    <col min="5385" max="5385" width="5" style="11" customWidth="1"/>
    <col min="5386" max="5386" width="6.85546875" style="11" customWidth="1"/>
    <col min="5387" max="5387" width="6.140625" style="11" customWidth="1"/>
    <col min="5388" max="5388" width="4.85546875" style="11" customWidth="1"/>
    <col min="5389" max="5389" width="5.140625" style="11" customWidth="1"/>
    <col min="5390" max="5390" width="8.140625" style="11" customWidth="1"/>
    <col min="5391" max="5391" width="15.85546875" style="11" customWidth="1"/>
    <col min="5392" max="5632" width="9.140625" style="11"/>
    <col min="5633" max="5633" width="15.85546875" style="11" customWidth="1"/>
    <col min="5634" max="5634" width="14.85546875" style="11" bestFit="1" customWidth="1"/>
    <col min="5635" max="5635" width="6" style="11" customWidth="1"/>
    <col min="5636" max="5636" width="8.140625" style="11" bestFit="1" customWidth="1"/>
    <col min="5637" max="5638" width="5.85546875" style="11" customWidth="1"/>
    <col min="5639" max="5639" width="5.140625" style="11" customWidth="1"/>
    <col min="5640" max="5640" width="5.42578125" style="11" customWidth="1"/>
    <col min="5641" max="5641" width="5" style="11" customWidth="1"/>
    <col min="5642" max="5642" width="6.85546875" style="11" customWidth="1"/>
    <col min="5643" max="5643" width="6.140625" style="11" customWidth="1"/>
    <col min="5644" max="5644" width="4.85546875" style="11" customWidth="1"/>
    <col min="5645" max="5645" width="5.140625" style="11" customWidth="1"/>
    <col min="5646" max="5646" width="8.140625" style="11" customWidth="1"/>
    <col min="5647" max="5647" width="15.85546875" style="11" customWidth="1"/>
    <col min="5648" max="5888" width="9.140625" style="11"/>
    <col min="5889" max="5889" width="15.85546875" style="11" customWidth="1"/>
    <col min="5890" max="5890" width="14.85546875" style="11" bestFit="1" customWidth="1"/>
    <col min="5891" max="5891" width="6" style="11" customWidth="1"/>
    <col min="5892" max="5892" width="8.140625" style="11" bestFit="1" customWidth="1"/>
    <col min="5893" max="5894" width="5.85546875" style="11" customWidth="1"/>
    <col min="5895" max="5895" width="5.140625" style="11" customWidth="1"/>
    <col min="5896" max="5896" width="5.42578125" style="11" customWidth="1"/>
    <col min="5897" max="5897" width="5" style="11" customWidth="1"/>
    <col min="5898" max="5898" width="6.85546875" style="11" customWidth="1"/>
    <col min="5899" max="5899" width="6.140625" style="11" customWidth="1"/>
    <col min="5900" max="5900" width="4.85546875" style="11" customWidth="1"/>
    <col min="5901" max="5901" width="5.140625" style="11" customWidth="1"/>
    <col min="5902" max="5902" width="8.140625" style="11" customWidth="1"/>
    <col min="5903" max="5903" width="15.85546875" style="11" customWidth="1"/>
    <col min="5904" max="6144" width="9.140625" style="11"/>
    <col min="6145" max="6145" width="15.85546875" style="11" customWidth="1"/>
    <col min="6146" max="6146" width="14.85546875" style="11" bestFit="1" customWidth="1"/>
    <col min="6147" max="6147" width="6" style="11" customWidth="1"/>
    <col min="6148" max="6148" width="8.140625" style="11" bestFit="1" customWidth="1"/>
    <col min="6149" max="6150" width="5.85546875" style="11" customWidth="1"/>
    <col min="6151" max="6151" width="5.140625" style="11" customWidth="1"/>
    <col min="6152" max="6152" width="5.42578125" style="11" customWidth="1"/>
    <col min="6153" max="6153" width="5" style="11" customWidth="1"/>
    <col min="6154" max="6154" width="6.85546875" style="11" customWidth="1"/>
    <col min="6155" max="6155" width="6.140625" style="11" customWidth="1"/>
    <col min="6156" max="6156" width="4.85546875" style="11" customWidth="1"/>
    <col min="6157" max="6157" width="5.140625" style="11" customWidth="1"/>
    <col min="6158" max="6158" width="8.140625" style="11" customWidth="1"/>
    <col min="6159" max="6159" width="15.85546875" style="11" customWidth="1"/>
    <col min="6160" max="6400" width="9.140625" style="11"/>
    <col min="6401" max="6401" width="15.85546875" style="11" customWidth="1"/>
    <col min="6402" max="6402" width="14.85546875" style="11" bestFit="1" customWidth="1"/>
    <col min="6403" max="6403" width="6" style="11" customWidth="1"/>
    <col min="6404" max="6404" width="8.140625" style="11" bestFit="1" customWidth="1"/>
    <col min="6405" max="6406" width="5.85546875" style="11" customWidth="1"/>
    <col min="6407" max="6407" width="5.140625" style="11" customWidth="1"/>
    <col min="6408" max="6408" width="5.42578125" style="11" customWidth="1"/>
    <col min="6409" max="6409" width="5" style="11" customWidth="1"/>
    <col min="6410" max="6410" width="6.85546875" style="11" customWidth="1"/>
    <col min="6411" max="6411" width="6.140625" style="11" customWidth="1"/>
    <col min="6412" max="6412" width="4.85546875" style="11" customWidth="1"/>
    <col min="6413" max="6413" width="5.140625" style="11" customWidth="1"/>
    <col min="6414" max="6414" width="8.140625" style="11" customWidth="1"/>
    <col min="6415" max="6415" width="15.85546875" style="11" customWidth="1"/>
    <col min="6416" max="6656" width="9.140625" style="11"/>
    <col min="6657" max="6657" width="15.85546875" style="11" customWidth="1"/>
    <col min="6658" max="6658" width="14.85546875" style="11" bestFit="1" customWidth="1"/>
    <col min="6659" max="6659" width="6" style="11" customWidth="1"/>
    <col min="6660" max="6660" width="8.140625" style="11" bestFit="1" customWidth="1"/>
    <col min="6661" max="6662" width="5.85546875" style="11" customWidth="1"/>
    <col min="6663" max="6663" width="5.140625" style="11" customWidth="1"/>
    <col min="6664" max="6664" width="5.42578125" style="11" customWidth="1"/>
    <col min="6665" max="6665" width="5" style="11" customWidth="1"/>
    <col min="6666" max="6666" width="6.85546875" style="11" customWidth="1"/>
    <col min="6667" max="6667" width="6.140625" style="11" customWidth="1"/>
    <col min="6668" max="6668" width="4.85546875" style="11" customWidth="1"/>
    <col min="6669" max="6669" width="5.140625" style="11" customWidth="1"/>
    <col min="6670" max="6670" width="8.140625" style="11" customWidth="1"/>
    <col min="6671" max="6671" width="15.85546875" style="11" customWidth="1"/>
    <col min="6672" max="6912" width="9.140625" style="11"/>
    <col min="6913" max="6913" width="15.85546875" style="11" customWidth="1"/>
    <col min="6914" max="6914" width="14.85546875" style="11" bestFit="1" customWidth="1"/>
    <col min="6915" max="6915" width="6" style="11" customWidth="1"/>
    <col min="6916" max="6916" width="8.140625" style="11" bestFit="1" customWidth="1"/>
    <col min="6917" max="6918" width="5.85546875" style="11" customWidth="1"/>
    <col min="6919" max="6919" width="5.140625" style="11" customWidth="1"/>
    <col min="6920" max="6920" width="5.42578125" style="11" customWidth="1"/>
    <col min="6921" max="6921" width="5" style="11" customWidth="1"/>
    <col min="6922" max="6922" width="6.85546875" style="11" customWidth="1"/>
    <col min="6923" max="6923" width="6.140625" style="11" customWidth="1"/>
    <col min="6924" max="6924" width="4.85546875" style="11" customWidth="1"/>
    <col min="6925" max="6925" width="5.140625" style="11" customWidth="1"/>
    <col min="6926" max="6926" width="8.140625" style="11" customWidth="1"/>
    <col min="6927" max="6927" width="15.85546875" style="11" customWidth="1"/>
    <col min="6928" max="7168" width="9.140625" style="11"/>
    <col min="7169" max="7169" width="15.85546875" style="11" customWidth="1"/>
    <col min="7170" max="7170" width="14.85546875" style="11" bestFit="1" customWidth="1"/>
    <col min="7171" max="7171" width="6" style="11" customWidth="1"/>
    <col min="7172" max="7172" width="8.140625" style="11" bestFit="1" customWidth="1"/>
    <col min="7173" max="7174" width="5.85546875" style="11" customWidth="1"/>
    <col min="7175" max="7175" width="5.140625" style="11" customWidth="1"/>
    <col min="7176" max="7176" width="5.42578125" style="11" customWidth="1"/>
    <col min="7177" max="7177" width="5" style="11" customWidth="1"/>
    <col min="7178" max="7178" width="6.85546875" style="11" customWidth="1"/>
    <col min="7179" max="7179" width="6.140625" style="11" customWidth="1"/>
    <col min="7180" max="7180" width="4.85546875" style="11" customWidth="1"/>
    <col min="7181" max="7181" width="5.140625" style="11" customWidth="1"/>
    <col min="7182" max="7182" width="8.140625" style="11" customWidth="1"/>
    <col min="7183" max="7183" width="15.85546875" style="11" customWidth="1"/>
    <col min="7184" max="7424" width="9.140625" style="11"/>
    <col min="7425" max="7425" width="15.85546875" style="11" customWidth="1"/>
    <col min="7426" max="7426" width="14.85546875" style="11" bestFit="1" customWidth="1"/>
    <col min="7427" max="7427" width="6" style="11" customWidth="1"/>
    <col min="7428" max="7428" width="8.140625" style="11" bestFit="1" customWidth="1"/>
    <col min="7429" max="7430" width="5.85546875" style="11" customWidth="1"/>
    <col min="7431" max="7431" width="5.140625" style="11" customWidth="1"/>
    <col min="7432" max="7432" width="5.42578125" style="11" customWidth="1"/>
    <col min="7433" max="7433" width="5" style="11" customWidth="1"/>
    <col min="7434" max="7434" width="6.85546875" style="11" customWidth="1"/>
    <col min="7435" max="7435" width="6.140625" style="11" customWidth="1"/>
    <col min="7436" max="7436" width="4.85546875" style="11" customWidth="1"/>
    <col min="7437" max="7437" width="5.140625" style="11" customWidth="1"/>
    <col min="7438" max="7438" width="8.140625" style="11" customWidth="1"/>
    <col min="7439" max="7439" width="15.85546875" style="11" customWidth="1"/>
    <col min="7440" max="7680" width="9.140625" style="11"/>
    <col min="7681" max="7681" width="15.85546875" style="11" customWidth="1"/>
    <col min="7682" max="7682" width="14.85546875" style="11" bestFit="1" customWidth="1"/>
    <col min="7683" max="7683" width="6" style="11" customWidth="1"/>
    <col min="7684" max="7684" width="8.140625" style="11" bestFit="1" customWidth="1"/>
    <col min="7685" max="7686" width="5.85546875" style="11" customWidth="1"/>
    <col min="7687" max="7687" width="5.140625" style="11" customWidth="1"/>
    <col min="7688" max="7688" width="5.42578125" style="11" customWidth="1"/>
    <col min="7689" max="7689" width="5" style="11" customWidth="1"/>
    <col min="7690" max="7690" width="6.85546875" style="11" customWidth="1"/>
    <col min="7691" max="7691" width="6.140625" style="11" customWidth="1"/>
    <col min="7692" max="7692" width="4.85546875" style="11" customWidth="1"/>
    <col min="7693" max="7693" width="5.140625" style="11" customWidth="1"/>
    <col min="7694" max="7694" width="8.140625" style="11" customWidth="1"/>
    <col min="7695" max="7695" width="15.85546875" style="11" customWidth="1"/>
    <col min="7696" max="7936" width="9.140625" style="11"/>
    <col min="7937" max="7937" width="15.85546875" style="11" customWidth="1"/>
    <col min="7938" max="7938" width="14.85546875" style="11" bestFit="1" customWidth="1"/>
    <col min="7939" max="7939" width="6" style="11" customWidth="1"/>
    <col min="7940" max="7940" width="8.140625" style="11" bestFit="1" customWidth="1"/>
    <col min="7941" max="7942" width="5.85546875" style="11" customWidth="1"/>
    <col min="7943" max="7943" width="5.140625" style="11" customWidth="1"/>
    <col min="7944" max="7944" width="5.42578125" style="11" customWidth="1"/>
    <col min="7945" max="7945" width="5" style="11" customWidth="1"/>
    <col min="7946" max="7946" width="6.85546875" style="11" customWidth="1"/>
    <col min="7947" max="7947" width="6.140625" style="11" customWidth="1"/>
    <col min="7948" max="7948" width="4.85546875" style="11" customWidth="1"/>
    <col min="7949" max="7949" width="5.140625" style="11" customWidth="1"/>
    <col min="7950" max="7950" width="8.140625" style="11" customWidth="1"/>
    <col min="7951" max="7951" width="15.85546875" style="11" customWidth="1"/>
    <col min="7952" max="8192" width="9.140625" style="11"/>
    <col min="8193" max="8193" width="15.85546875" style="11" customWidth="1"/>
    <col min="8194" max="8194" width="14.85546875" style="11" bestFit="1" customWidth="1"/>
    <col min="8195" max="8195" width="6" style="11" customWidth="1"/>
    <col min="8196" max="8196" width="8.140625" style="11" bestFit="1" customWidth="1"/>
    <col min="8197" max="8198" width="5.85546875" style="11" customWidth="1"/>
    <col min="8199" max="8199" width="5.140625" style="11" customWidth="1"/>
    <col min="8200" max="8200" width="5.42578125" style="11" customWidth="1"/>
    <col min="8201" max="8201" width="5" style="11" customWidth="1"/>
    <col min="8202" max="8202" width="6.85546875" style="11" customWidth="1"/>
    <col min="8203" max="8203" width="6.140625" style="11" customWidth="1"/>
    <col min="8204" max="8204" width="4.85546875" style="11" customWidth="1"/>
    <col min="8205" max="8205" width="5.140625" style="11" customWidth="1"/>
    <col min="8206" max="8206" width="8.140625" style="11" customWidth="1"/>
    <col min="8207" max="8207" width="15.85546875" style="11" customWidth="1"/>
    <col min="8208" max="8448" width="9.140625" style="11"/>
    <col min="8449" max="8449" width="15.85546875" style="11" customWidth="1"/>
    <col min="8450" max="8450" width="14.85546875" style="11" bestFit="1" customWidth="1"/>
    <col min="8451" max="8451" width="6" style="11" customWidth="1"/>
    <col min="8452" max="8452" width="8.140625" style="11" bestFit="1" customWidth="1"/>
    <col min="8453" max="8454" width="5.85546875" style="11" customWidth="1"/>
    <col min="8455" max="8455" width="5.140625" style="11" customWidth="1"/>
    <col min="8456" max="8456" width="5.42578125" style="11" customWidth="1"/>
    <col min="8457" max="8457" width="5" style="11" customWidth="1"/>
    <col min="8458" max="8458" width="6.85546875" style="11" customWidth="1"/>
    <col min="8459" max="8459" width="6.140625" style="11" customWidth="1"/>
    <col min="8460" max="8460" width="4.85546875" style="11" customWidth="1"/>
    <col min="8461" max="8461" width="5.140625" style="11" customWidth="1"/>
    <col min="8462" max="8462" width="8.140625" style="11" customWidth="1"/>
    <col min="8463" max="8463" width="15.85546875" style="11" customWidth="1"/>
    <col min="8464" max="8704" width="9.140625" style="11"/>
    <col min="8705" max="8705" width="15.85546875" style="11" customWidth="1"/>
    <col min="8706" max="8706" width="14.85546875" style="11" bestFit="1" customWidth="1"/>
    <col min="8707" max="8707" width="6" style="11" customWidth="1"/>
    <col min="8708" max="8708" width="8.140625" style="11" bestFit="1" customWidth="1"/>
    <col min="8709" max="8710" width="5.85546875" style="11" customWidth="1"/>
    <col min="8711" max="8711" width="5.140625" style="11" customWidth="1"/>
    <col min="8712" max="8712" width="5.42578125" style="11" customWidth="1"/>
    <col min="8713" max="8713" width="5" style="11" customWidth="1"/>
    <col min="8714" max="8714" width="6.85546875" style="11" customWidth="1"/>
    <col min="8715" max="8715" width="6.140625" style="11" customWidth="1"/>
    <col min="8716" max="8716" width="4.85546875" style="11" customWidth="1"/>
    <col min="8717" max="8717" width="5.140625" style="11" customWidth="1"/>
    <col min="8718" max="8718" width="8.140625" style="11" customWidth="1"/>
    <col min="8719" max="8719" width="15.85546875" style="11" customWidth="1"/>
    <col min="8720" max="8960" width="9.140625" style="11"/>
    <col min="8961" max="8961" width="15.85546875" style="11" customWidth="1"/>
    <col min="8962" max="8962" width="14.85546875" style="11" bestFit="1" customWidth="1"/>
    <col min="8963" max="8963" width="6" style="11" customWidth="1"/>
    <col min="8964" max="8964" width="8.140625" style="11" bestFit="1" customWidth="1"/>
    <col min="8965" max="8966" width="5.85546875" style="11" customWidth="1"/>
    <col min="8967" max="8967" width="5.140625" style="11" customWidth="1"/>
    <col min="8968" max="8968" width="5.42578125" style="11" customWidth="1"/>
    <col min="8969" max="8969" width="5" style="11" customWidth="1"/>
    <col min="8970" max="8970" width="6.85546875" style="11" customWidth="1"/>
    <col min="8971" max="8971" width="6.140625" style="11" customWidth="1"/>
    <col min="8972" max="8972" width="4.85546875" style="11" customWidth="1"/>
    <col min="8973" max="8973" width="5.140625" style="11" customWidth="1"/>
    <col min="8974" max="8974" width="8.140625" style="11" customWidth="1"/>
    <col min="8975" max="8975" width="15.85546875" style="11" customWidth="1"/>
    <col min="8976" max="9216" width="9.140625" style="11"/>
    <col min="9217" max="9217" width="15.85546875" style="11" customWidth="1"/>
    <col min="9218" max="9218" width="14.85546875" style="11" bestFit="1" customWidth="1"/>
    <col min="9219" max="9219" width="6" style="11" customWidth="1"/>
    <col min="9220" max="9220" width="8.140625" style="11" bestFit="1" customWidth="1"/>
    <col min="9221" max="9222" width="5.85546875" style="11" customWidth="1"/>
    <col min="9223" max="9223" width="5.140625" style="11" customWidth="1"/>
    <col min="9224" max="9224" width="5.42578125" style="11" customWidth="1"/>
    <col min="9225" max="9225" width="5" style="11" customWidth="1"/>
    <col min="9226" max="9226" width="6.85546875" style="11" customWidth="1"/>
    <col min="9227" max="9227" width="6.140625" style="11" customWidth="1"/>
    <col min="9228" max="9228" width="4.85546875" style="11" customWidth="1"/>
    <col min="9229" max="9229" width="5.140625" style="11" customWidth="1"/>
    <col min="9230" max="9230" width="8.140625" style="11" customWidth="1"/>
    <col min="9231" max="9231" width="15.85546875" style="11" customWidth="1"/>
    <col min="9232" max="9472" width="9.140625" style="11"/>
    <col min="9473" max="9473" width="15.85546875" style="11" customWidth="1"/>
    <col min="9474" max="9474" width="14.85546875" style="11" bestFit="1" customWidth="1"/>
    <col min="9475" max="9475" width="6" style="11" customWidth="1"/>
    <col min="9476" max="9476" width="8.140625" style="11" bestFit="1" customWidth="1"/>
    <col min="9477" max="9478" width="5.85546875" style="11" customWidth="1"/>
    <col min="9479" max="9479" width="5.140625" style="11" customWidth="1"/>
    <col min="9480" max="9480" width="5.42578125" style="11" customWidth="1"/>
    <col min="9481" max="9481" width="5" style="11" customWidth="1"/>
    <col min="9482" max="9482" width="6.85546875" style="11" customWidth="1"/>
    <col min="9483" max="9483" width="6.140625" style="11" customWidth="1"/>
    <col min="9484" max="9484" width="4.85546875" style="11" customWidth="1"/>
    <col min="9485" max="9485" width="5.140625" style="11" customWidth="1"/>
    <col min="9486" max="9486" width="8.140625" style="11" customWidth="1"/>
    <col min="9487" max="9487" width="15.85546875" style="11" customWidth="1"/>
    <col min="9488" max="9728" width="9.140625" style="11"/>
    <col min="9729" max="9729" width="15.85546875" style="11" customWidth="1"/>
    <col min="9730" max="9730" width="14.85546875" style="11" bestFit="1" customWidth="1"/>
    <col min="9731" max="9731" width="6" style="11" customWidth="1"/>
    <col min="9732" max="9732" width="8.140625" style="11" bestFit="1" customWidth="1"/>
    <col min="9733" max="9734" width="5.85546875" style="11" customWidth="1"/>
    <col min="9735" max="9735" width="5.140625" style="11" customWidth="1"/>
    <col min="9736" max="9736" width="5.42578125" style="11" customWidth="1"/>
    <col min="9737" max="9737" width="5" style="11" customWidth="1"/>
    <col min="9738" max="9738" width="6.85546875" style="11" customWidth="1"/>
    <col min="9739" max="9739" width="6.140625" style="11" customWidth="1"/>
    <col min="9740" max="9740" width="4.85546875" style="11" customWidth="1"/>
    <col min="9741" max="9741" width="5.140625" style="11" customWidth="1"/>
    <col min="9742" max="9742" width="8.140625" style="11" customWidth="1"/>
    <col min="9743" max="9743" width="15.85546875" style="11" customWidth="1"/>
    <col min="9744" max="9984" width="9.140625" style="11"/>
    <col min="9985" max="9985" width="15.85546875" style="11" customWidth="1"/>
    <col min="9986" max="9986" width="14.85546875" style="11" bestFit="1" customWidth="1"/>
    <col min="9987" max="9987" width="6" style="11" customWidth="1"/>
    <col min="9988" max="9988" width="8.140625" style="11" bestFit="1" customWidth="1"/>
    <col min="9989" max="9990" width="5.85546875" style="11" customWidth="1"/>
    <col min="9991" max="9991" width="5.140625" style="11" customWidth="1"/>
    <col min="9992" max="9992" width="5.42578125" style="11" customWidth="1"/>
    <col min="9993" max="9993" width="5" style="11" customWidth="1"/>
    <col min="9994" max="9994" width="6.85546875" style="11" customWidth="1"/>
    <col min="9995" max="9995" width="6.140625" style="11" customWidth="1"/>
    <col min="9996" max="9996" width="4.85546875" style="11" customWidth="1"/>
    <col min="9997" max="9997" width="5.140625" style="11" customWidth="1"/>
    <col min="9998" max="9998" width="8.140625" style="11" customWidth="1"/>
    <col min="9999" max="9999" width="15.85546875" style="11" customWidth="1"/>
    <col min="10000" max="10240" width="9.140625" style="11"/>
    <col min="10241" max="10241" width="15.85546875" style="11" customWidth="1"/>
    <col min="10242" max="10242" width="14.85546875" style="11" bestFit="1" customWidth="1"/>
    <col min="10243" max="10243" width="6" style="11" customWidth="1"/>
    <col min="10244" max="10244" width="8.140625" style="11" bestFit="1" customWidth="1"/>
    <col min="10245" max="10246" width="5.85546875" style="11" customWidth="1"/>
    <col min="10247" max="10247" width="5.140625" style="11" customWidth="1"/>
    <col min="10248" max="10248" width="5.42578125" style="11" customWidth="1"/>
    <col min="10249" max="10249" width="5" style="11" customWidth="1"/>
    <col min="10250" max="10250" width="6.85546875" style="11" customWidth="1"/>
    <col min="10251" max="10251" width="6.140625" style="11" customWidth="1"/>
    <col min="10252" max="10252" width="4.85546875" style="11" customWidth="1"/>
    <col min="10253" max="10253" width="5.140625" style="11" customWidth="1"/>
    <col min="10254" max="10254" width="8.140625" style="11" customWidth="1"/>
    <col min="10255" max="10255" width="15.85546875" style="11" customWidth="1"/>
    <col min="10256" max="10496" width="9.140625" style="11"/>
    <col min="10497" max="10497" width="15.85546875" style="11" customWidth="1"/>
    <col min="10498" max="10498" width="14.85546875" style="11" bestFit="1" customWidth="1"/>
    <col min="10499" max="10499" width="6" style="11" customWidth="1"/>
    <col min="10500" max="10500" width="8.140625" style="11" bestFit="1" customWidth="1"/>
    <col min="10501" max="10502" width="5.85546875" style="11" customWidth="1"/>
    <col min="10503" max="10503" width="5.140625" style="11" customWidth="1"/>
    <col min="10504" max="10504" width="5.42578125" style="11" customWidth="1"/>
    <col min="10505" max="10505" width="5" style="11" customWidth="1"/>
    <col min="10506" max="10506" width="6.85546875" style="11" customWidth="1"/>
    <col min="10507" max="10507" width="6.140625" style="11" customWidth="1"/>
    <col min="10508" max="10508" width="4.85546875" style="11" customWidth="1"/>
    <col min="10509" max="10509" width="5.140625" style="11" customWidth="1"/>
    <col min="10510" max="10510" width="8.140625" style="11" customWidth="1"/>
    <col min="10511" max="10511" width="15.85546875" style="11" customWidth="1"/>
    <col min="10512" max="10752" width="9.140625" style="11"/>
    <col min="10753" max="10753" width="15.85546875" style="11" customWidth="1"/>
    <col min="10754" max="10754" width="14.85546875" style="11" bestFit="1" customWidth="1"/>
    <col min="10755" max="10755" width="6" style="11" customWidth="1"/>
    <col min="10756" max="10756" width="8.140625" style="11" bestFit="1" customWidth="1"/>
    <col min="10757" max="10758" width="5.85546875" style="11" customWidth="1"/>
    <col min="10759" max="10759" width="5.140625" style="11" customWidth="1"/>
    <col min="10760" max="10760" width="5.42578125" style="11" customWidth="1"/>
    <col min="10761" max="10761" width="5" style="11" customWidth="1"/>
    <col min="10762" max="10762" width="6.85546875" style="11" customWidth="1"/>
    <col min="10763" max="10763" width="6.140625" style="11" customWidth="1"/>
    <col min="10764" max="10764" width="4.85546875" style="11" customWidth="1"/>
    <col min="10765" max="10765" width="5.140625" style="11" customWidth="1"/>
    <col min="10766" max="10766" width="8.140625" style="11" customWidth="1"/>
    <col min="10767" max="10767" width="15.85546875" style="11" customWidth="1"/>
    <col min="10768" max="11008" width="9.140625" style="11"/>
    <col min="11009" max="11009" width="15.85546875" style="11" customWidth="1"/>
    <col min="11010" max="11010" width="14.85546875" style="11" bestFit="1" customWidth="1"/>
    <col min="11011" max="11011" width="6" style="11" customWidth="1"/>
    <col min="11012" max="11012" width="8.140625" style="11" bestFit="1" customWidth="1"/>
    <col min="11013" max="11014" width="5.85546875" style="11" customWidth="1"/>
    <col min="11015" max="11015" width="5.140625" style="11" customWidth="1"/>
    <col min="11016" max="11016" width="5.42578125" style="11" customWidth="1"/>
    <col min="11017" max="11017" width="5" style="11" customWidth="1"/>
    <col min="11018" max="11018" width="6.85546875" style="11" customWidth="1"/>
    <col min="11019" max="11019" width="6.140625" style="11" customWidth="1"/>
    <col min="11020" max="11020" width="4.85546875" style="11" customWidth="1"/>
    <col min="11021" max="11021" width="5.140625" style="11" customWidth="1"/>
    <col min="11022" max="11022" width="8.140625" style="11" customWidth="1"/>
    <col min="11023" max="11023" width="15.85546875" style="11" customWidth="1"/>
    <col min="11024" max="11264" width="9.140625" style="11"/>
    <col min="11265" max="11265" width="15.85546875" style="11" customWidth="1"/>
    <col min="11266" max="11266" width="14.85546875" style="11" bestFit="1" customWidth="1"/>
    <col min="11267" max="11267" width="6" style="11" customWidth="1"/>
    <col min="11268" max="11268" width="8.140625" style="11" bestFit="1" customWidth="1"/>
    <col min="11269" max="11270" width="5.85546875" style="11" customWidth="1"/>
    <col min="11271" max="11271" width="5.140625" style="11" customWidth="1"/>
    <col min="11272" max="11272" width="5.42578125" style="11" customWidth="1"/>
    <col min="11273" max="11273" width="5" style="11" customWidth="1"/>
    <col min="11274" max="11274" width="6.85546875" style="11" customWidth="1"/>
    <col min="11275" max="11275" width="6.140625" style="11" customWidth="1"/>
    <col min="11276" max="11276" width="4.85546875" style="11" customWidth="1"/>
    <col min="11277" max="11277" width="5.140625" style="11" customWidth="1"/>
    <col min="11278" max="11278" width="8.140625" style="11" customWidth="1"/>
    <col min="11279" max="11279" width="15.85546875" style="11" customWidth="1"/>
    <col min="11280" max="11520" width="9.140625" style="11"/>
    <col min="11521" max="11521" width="15.85546875" style="11" customWidth="1"/>
    <col min="11522" max="11522" width="14.85546875" style="11" bestFit="1" customWidth="1"/>
    <col min="11523" max="11523" width="6" style="11" customWidth="1"/>
    <col min="11524" max="11524" width="8.140625" style="11" bestFit="1" customWidth="1"/>
    <col min="11525" max="11526" width="5.85546875" style="11" customWidth="1"/>
    <col min="11527" max="11527" width="5.140625" style="11" customWidth="1"/>
    <col min="11528" max="11528" width="5.42578125" style="11" customWidth="1"/>
    <col min="11529" max="11529" width="5" style="11" customWidth="1"/>
    <col min="11530" max="11530" width="6.85546875" style="11" customWidth="1"/>
    <col min="11531" max="11531" width="6.140625" style="11" customWidth="1"/>
    <col min="11532" max="11532" width="4.85546875" style="11" customWidth="1"/>
    <col min="11533" max="11533" width="5.140625" style="11" customWidth="1"/>
    <col min="11534" max="11534" width="8.140625" style="11" customWidth="1"/>
    <col min="11535" max="11535" width="15.85546875" style="11" customWidth="1"/>
    <col min="11536" max="11776" width="9.140625" style="11"/>
    <col min="11777" max="11777" width="15.85546875" style="11" customWidth="1"/>
    <col min="11778" max="11778" width="14.85546875" style="11" bestFit="1" customWidth="1"/>
    <col min="11779" max="11779" width="6" style="11" customWidth="1"/>
    <col min="11780" max="11780" width="8.140625" style="11" bestFit="1" customWidth="1"/>
    <col min="11781" max="11782" width="5.85546875" style="11" customWidth="1"/>
    <col min="11783" max="11783" width="5.140625" style="11" customWidth="1"/>
    <col min="11784" max="11784" width="5.42578125" style="11" customWidth="1"/>
    <col min="11785" max="11785" width="5" style="11" customWidth="1"/>
    <col min="11786" max="11786" width="6.85546875" style="11" customWidth="1"/>
    <col min="11787" max="11787" width="6.140625" style="11" customWidth="1"/>
    <col min="11788" max="11788" width="4.85546875" style="11" customWidth="1"/>
    <col min="11789" max="11789" width="5.140625" style="11" customWidth="1"/>
    <col min="11790" max="11790" width="8.140625" style="11" customWidth="1"/>
    <col min="11791" max="11791" width="15.85546875" style="11" customWidth="1"/>
    <col min="11792" max="12032" width="9.140625" style="11"/>
    <col min="12033" max="12033" width="15.85546875" style="11" customWidth="1"/>
    <col min="12034" max="12034" width="14.85546875" style="11" bestFit="1" customWidth="1"/>
    <col min="12035" max="12035" width="6" style="11" customWidth="1"/>
    <col min="12036" max="12036" width="8.140625" style="11" bestFit="1" customWidth="1"/>
    <col min="12037" max="12038" width="5.85546875" style="11" customWidth="1"/>
    <col min="12039" max="12039" width="5.140625" style="11" customWidth="1"/>
    <col min="12040" max="12040" width="5.42578125" style="11" customWidth="1"/>
    <col min="12041" max="12041" width="5" style="11" customWidth="1"/>
    <col min="12042" max="12042" width="6.85546875" style="11" customWidth="1"/>
    <col min="12043" max="12043" width="6.140625" style="11" customWidth="1"/>
    <col min="12044" max="12044" width="4.85546875" style="11" customWidth="1"/>
    <col min="12045" max="12045" width="5.140625" style="11" customWidth="1"/>
    <col min="12046" max="12046" width="8.140625" style="11" customWidth="1"/>
    <col min="12047" max="12047" width="15.85546875" style="11" customWidth="1"/>
    <col min="12048" max="12288" width="9.140625" style="11"/>
    <col min="12289" max="12289" width="15.85546875" style="11" customWidth="1"/>
    <col min="12290" max="12290" width="14.85546875" style="11" bestFit="1" customWidth="1"/>
    <col min="12291" max="12291" width="6" style="11" customWidth="1"/>
    <col min="12292" max="12292" width="8.140625" style="11" bestFit="1" customWidth="1"/>
    <col min="12293" max="12294" width="5.85546875" style="11" customWidth="1"/>
    <col min="12295" max="12295" width="5.140625" style="11" customWidth="1"/>
    <col min="12296" max="12296" width="5.42578125" style="11" customWidth="1"/>
    <col min="12297" max="12297" width="5" style="11" customWidth="1"/>
    <col min="12298" max="12298" width="6.85546875" style="11" customWidth="1"/>
    <col min="12299" max="12299" width="6.140625" style="11" customWidth="1"/>
    <col min="12300" max="12300" width="4.85546875" style="11" customWidth="1"/>
    <col min="12301" max="12301" width="5.140625" style="11" customWidth="1"/>
    <col min="12302" max="12302" width="8.140625" style="11" customWidth="1"/>
    <col min="12303" max="12303" width="15.85546875" style="11" customWidth="1"/>
    <col min="12304" max="12544" width="9.140625" style="11"/>
    <col min="12545" max="12545" width="15.85546875" style="11" customWidth="1"/>
    <col min="12546" max="12546" width="14.85546875" style="11" bestFit="1" customWidth="1"/>
    <col min="12547" max="12547" width="6" style="11" customWidth="1"/>
    <col min="12548" max="12548" width="8.140625" style="11" bestFit="1" customWidth="1"/>
    <col min="12549" max="12550" width="5.85546875" style="11" customWidth="1"/>
    <col min="12551" max="12551" width="5.140625" style="11" customWidth="1"/>
    <col min="12552" max="12552" width="5.42578125" style="11" customWidth="1"/>
    <col min="12553" max="12553" width="5" style="11" customWidth="1"/>
    <col min="12554" max="12554" width="6.85546875" style="11" customWidth="1"/>
    <col min="12555" max="12555" width="6.140625" style="11" customWidth="1"/>
    <col min="12556" max="12556" width="4.85546875" style="11" customWidth="1"/>
    <col min="12557" max="12557" width="5.140625" style="11" customWidth="1"/>
    <col min="12558" max="12558" width="8.140625" style="11" customWidth="1"/>
    <col min="12559" max="12559" width="15.85546875" style="11" customWidth="1"/>
    <col min="12560" max="12800" width="9.140625" style="11"/>
    <col min="12801" max="12801" width="15.85546875" style="11" customWidth="1"/>
    <col min="12802" max="12802" width="14.85546875" style="11" bestFit="1" customWidth="1"/>
    <col min="12803" max="12803" width="6" style="11" customWidth="1"/>
    <col min="12804" max="12804" width="8.140625" style="11" bestFit="1" customWidth="1"/>
    <col min="12805" max="12806" width="5.85546875" style="11" customWidth="1"/>
    <col min="12807" max="12807" width="5.140625" style="11" customWidth="1"/>
    <col min="12808" max="12808" width="5.42578125" style="11" customWidth="1"/>
    <col min="12809" max="12809" width="5" style="11" customWidth="1"/>
    <col min="12810" max="12810" width="6.85546875" style="11" customWidth="1"/>
    <col min="12811" max="12811" width="6.140625" style="11" customWidth="1"/>
    <col min="12812" max="12812" width="4.85546875" style="11" customWidth="1"/>
    <col min="12813" max="12813" width="5.140625" style="11" customWidth="1"/>
    <col min="12814" max="12814" width="8.140625" style="11" customWidth="1"/>
    <col min="12815" max="12815" width="15.85546875" style="11" customWidth="1"/>
    <col min="12816" max="13056" width="9.140625" style="11"/>
    <col min="13057" max="13057" width="15.85546875" style="11" customWidth="1"/>
    <col min="13058" max="13058" width="14.85546875" style="11" bestFit="1" customWidth="1"/>
    <col min="13059" max="13059" width="6" style="11" customWidth="1"/>
    <col min="13060" max="13060" width="8.140625" style="11" bestFit="1" customWidth="1"/>
    <col min="13061" max="13062" width="5.85546875" style="11" customWidth="1"/>
    <col min="13063" max="13063" width="5.140625" style="11" customWidth="1"/>
    <col min="13064" max="13064" width="5.42578125" style="11" customWidth="1"/>
    <col min="13065" max="13065" width="5" style="11" customWidth="1"/>
    <col min="13066" max="13066" width="6.85546875" style="11" customWidth="1"/>
    <col min="13067" max="13067" width="6.140625" style="11" customWidth="1"/>
    <col min="13068" max="13068" width="4.85546875" style="11" customWidth="1"/>
    <col min="13069" max="13069" width="5.140625" style="11" customWidth="1"/>
    <col min="13070" max="13070" width="8.140625" style="11" customWidth="1"/>
    <col min="13071" max="13071" width="15.85546875" style="11" customWidth="1"/>
    <col min="13072" max="13312" width="9.140625" style="11"/>
    <col min="13313" max="13313" width="15.85546875" style="11" customWidth="1"/>
    <col min="13314" max="13314" width="14.85546875" style="11" bestFit="1" customWidth="1"/>
    <col min="13315" max="13315" width="6" style="11" customWidth="1"/>
    <col min="13316" max="13316" width="8.140625" style="11" bestFit="1" customWidth="1"/>
    <col min="13317" max="13318" width="5.85546875" style="11" customWidth="1"/>
    <col min="13319" max="13319" width="5.140625" style="11" customWidth="1"/>
    <col min="13320" max="13320" width="5.42578125" style="11" customWidth="1"/>
    <col min="13321" max="13321" width="5" style="11" customWidth="1"/>
    <col min="13322" max="13322" width="6.85546875" style="11" customWidth="1"/>
    <col min="13323" max="13323" width="6.140625" style="11" customWidth="1"/>
    <col min="13324" max="13324" width="4.85546875" style="11" customWidth="1"/>
    <col min="13325" max="13325" width="5.140625" style="11" customWidth="1"/>
    <col min="13326" max="13326" width="8.140625" style="11" customWidth="1"/>
    <col min="13327" max="13327" width="15.85546875" style="11" customWidth="1"/>
    <col min="13328" max="13568" width="9.140625" style="11"/>
    <col min="13569" max="13569" width="15.85546875" style="11" customWidth="1"/>
    <col min="13570" max="13570" width="14.85546875" style="11" bestFit="1" customWidth="1"/>
    <col min="13571" max="13571" width="6" style="11" customWidth="1"/>
    <col min="13572" max="13572" width="8.140625" style="11" bestFit="1" customWidth="1"/>
    <col min="13573" max="13574" width="5.85546875" style="11" customWidth="1"/>
    <col min="13575" max="13575" width="5.140625" style="11" customWidth="1"/>
    <col min="13576" max="13576" width="5.42578125" style="11" customWidth="1"/>
    <col min="13577" max="13577" width="5" style="11" customWidth="1"/>
    <col min="13578" max="13578" width="6.85546875" style="11" customWidth="1"/>
    <col min="13579" max="13579" width="6.140625" style="11" customWidth="1"/>
    <col min="13580" max="13580" width="4.85546875" style="11" customWidth="1"/>
    <col min="13581" max="13581" width="5.140625" style="11" customWidth="1"/>
    <col min="13582" max="13582" width="8.140625" style="11" customWidth="1"/>
    <col min="13583" max="13583" width="15.85546875" style="11" customWidth="1"/>
    <col min="13584" max="13824" width="9.140625" style="11"/>
    <col min="13825" max="13825" width="15.85546875" style="11" customWidth="1"/>
    <col min="13826" max="13826" width="14.85546875" style="11" bestFit="1" customWidth="1"/>
    <col min="13827" max="13827" width="6" style="11" customWidth="1"/>
    <col min="13828" max="13828" width="8.140625" style="11" bestFit="1" customWidth="1"/>
    <col min="13829" max="13830" width="5.85546875" style="11" customWidth="1"/>
    <col min="13831" max="13831" width="5.140625" style="11" customWidth="1"/>
    <col min="13832" max="13832" width="5.42578125" style="11" customWidth="1"/>
    <col min="13833" max="13833" width="5" style="11" customWidth="1"/>
    <col min="13834" max="13834" width="6.85546875" style="11" customWidth="1"/>
    <col min="13835" max="13835" width="6.140625" style="11" customWidth="1"/>
    <col min="13836" max="13836" width="4.85546875" style="11" customWidth="1"/>
    <col min="13837" max="13837" width="5.140625" style="11" customWidth="1"/>
    <col min="13838" max="13838" width="8.140625" style="11" customWidth="1"/>
    <col min="13839" max="13839" width="15.85546875" style="11" customWidth="1"/>
    <col min="13840" max="14080" width="9.140625" style="11"/>
    <col min="14081" max="14081" width="15.85546875" style="11" customWidth="1"/>
    <col min="14082" max="14082" width="14.85546875" style="11" bestFit="1" customWidth="1"/>
    <col min="14083" max="14083" width="6" style="11" customWidth="1"/>
    <col min="14084" max="14084" width="8.140625" style="11" bestFit="1" customWidth="1"/>
    <col min="14085" max="14086" width="5.85546875" style="11" customWidth="1"/>
    <col min="14087" max="14087" width="5.140625" style="11" customWidth="1"/>
    <col min="14088" max="14088" width="5.42578125" style="11" customWidth="1"/>
    <col min="14089" max="14089" width="5" style="11" customWidth="1"/>
    <col min="14090" max="14090" width="6.85546875" style="11" customWidth="1"/>
    <col min="14091" max="14091" width="6.140625" style="11" customWidth="1"/>
    <col min="14092" max="14092" width="4.85546875" style="11" customWidth="1"/>
    <col min="14093" max="14093" width="5.140625" style="11" customWidth="1"/>
    <col min="14094" max="14094" width="8.140625" style="11" customWidth="1"/>
    <col min="14095" max="14095" width="15.85546875" style="11" customWidth="1"/>
    <col min="14096" max="14336" width="9.140625" style="11"/>
    <col min="14337" max="14337" width="15.85546875" style="11" customWidth="1"/>
    <col min="14338" max="14338" width="14.85546875" style="11" bestFit="1" customWidth="1"/>
    <col min="14339" max="14339" width="6" style="11" customWidth="1"/>
    <col min="14340" max="14340" width="8.140625" style="11" bestFit="1" customWidth="1"/>
    <col min="14341" max="14342" width="5.85546875" style="11" customWidth="1"/>
    <col min="14343" max="14343" width="5.140625" style="11" customWidth="1"/>
    <col min="14344" max="14344" width="5.42578125" style="11" customWidth="1"/>
    <col min="14345" max="14345" width="5" style="11" customWidth="1"/>
    <col min="14346" max="14346" width="6.85546875" style="11" customWidth="1"/>
    <col min="14347" max="14347" width="6.140625" style="11" customWidth="1"/>
    <col min="14348" max="14348" width="4.85546875" style="11" customWidth="1"/>
    <col min="14349" max="14349" width="5.140625" style="11" customWidth="1"/>
    <col min="14350" max="14350" width="8.140625" style="11" customWidth="1"/>
    <col min="14351" max="14351" width="15.85546875" style="11" customWidth="1"/>
    <col min="14352" max="14592" width="9.140625" style="11"/>
    <col min="14593" max="14593" width="15.85546875" style="11" customWidth="1"/>
    <col min="14594" max="14594" width="14.85546875" style="11" bestFit="1" customWidth="1"/>
    <col min="14595" max="14595" width="6" style="11" customWidth="1"/>
    <col min="14596" max="14596" width="8.140625" style="11" bestFit="1" customWidth="1"/>
    <col min="14597" max="14598" width="5.85546875" style="11" customWidth="1"/>
    <col min="14599" max="14599" width="5.140625" style="11" customWidth="1"/>
    <col min="14600" max="14600" width="5.42578125" style="11" customWidth="1"/>
    <col min="14601" max="14601" width="5" style="11" customWidth="1"/>
    <col min="14602" max="14602" width="6.85546875" style="11" customWidth="1"/>
    <col min="14603" max="14603" width="6.140625" style="11" customWidth="1"/>
    <col min="14604" max="14604" width="4.85546875" style="11" customWidth="1"/>
    <col min="14605" max="14605" width="5.140625" style="11" customWidth="1"/>
    <col min="14606" max="14606" width="8.140625" style="11" customWidth="1"/>
    <col min="14607" max="14607" width="15.85546875" style="11" customWidth="1"/>
    <col min="14608" max="14848" width="9.140625" style="11"/>
    <col min="14849" max="14849" width="15.85546875" style="11" customWidth="1"/>
    <col min="14850" max="14850" width="14.85546875" style="11" bestFit="1" customWidth="1"/>
    <col min="14851" max="14851" width="6" style="11" customWidth="1"/>
    <col min="14852" max="14852" width="8.140625" style="11" bestFit="1" customWidth="1"/>
    <col min="14853" max="14854" width="5.85546875" style="11" customWidth="1"/>
    <col min="14855" max="14855" width="5.140625" style="11" customWidth="1"/>
    <col min="14856" max="14856" width="5.42578125" style="11" customWidth="1"/>
    <col min="14857" max="14857" width="5" style="11" customWidth="1"/>
    <col min="14858" max="14858" width="6.85546875" style="11" customWidth="1"/>
    <col min="14859" max="14859" width="6.140625" style="11" customWidth="1"/>
    <col min="14860" max="14860" width="4.85546875" style="11" customWidth="1"/>
    <col min="14861" max="14861" width="5.140625" style="11" customWidth="1"/>
    <col min="14862" max="14862" width="8.140625" style="11" customWidth="1"/>
    <col min="14863" max="14863" width="15.85546875" style="11" customWidth="1"/>
    <col min="14864" max="15104" width="9.140625" style="11"/>
    <col min="15105" max="15105" width="15.85546875" style="11" customWidth="1"/>
    <col min="15106" max="15106" width="14.85546875" style="11" bestFit="1" customWidth="1"/>
    <col min="15107" max="15107" width="6" style="11" customWidth="1"/>
    <col min="15108" max="15108" width="8.140625" style="11" bestFit="1" customWidth="1"/>
    <col min="15109" max="15110" width="5.85546875" style="11" customWidth="1"/>
    <col min="15111" max="15111" width="5.140625" style="11" customWidth="1"/>
    <col min="15112" max="15112" width="5.42578125" style="11" customWidth="1"/>
    <col min="15113" max="15113" width="5" style="11" customWidth="1"/>
    <col min="15114" max="15114" width="6.85546875" style="11" customWidth="1"/>
    <col min="15115" max="15115" width="6.140625" style="11" customWidth="1"/>
    <col min="15116" max="15116" width="4.85546875" style="11" customWidth="1"/>
    <col min="15117" max="15117" width="5.140625" style="11" customWidth="1"/>
    <col min="15118" max="15118" width="8.140625" style="11" customWidth="1"/>
    <col min="15119" max="15119" width="15.85546875" style="11" customWidth="1"/>
    <col min="15120" max="15360" width="9.140625" style="11"/>
    <col min="15361" max="15361" width="15.85546875" style="11" customWidth="1"/>
    <col min="15362" max="15362" width="14.85546875" style="11" bestFit="1" customWidth="1"/>
    <col min="15363" max="15363" width="6" style="11" customWidth="1"/>
    <col min="15364" max="15364" width="8.140625" style="11" bestFit="1" customWidth="1"/>
    <col min="15365" max="15366" width="5.85546875" style="11" customWidth="1"/>
    <col min="15367" max="15367" width="5.140625" style="11" customWidth="1"/>
    <col min="15368" max="15368" width="5.42578125" style="11" customWidth="1"/>
    <col min="15369" max="15369" width="5" style="11" customWidth="1"/>
    <col min="15370" max="15370" width="6.85546875" style="11" customWidth="1"/>
    <col min="15371" max="15371" width="6.140625" style="11" customWidth="1"/>
    <col min="15372" max="15372" width="4.85546875" style="11" customWidth="1"/>
    <col min="15373" max="15373" width="5.140625" style="11" customWidth="1"/>
    <col min="15374" max="15374" width="8.140625" style="11" customWidth="1"/>
    <col min="15375" max="15375" width="15.85546875" style="11" customWidth="1"/>
    <col min="15376" max="15616" width="9.140625" style="11"/>
    <col min="15617" max="15617" width="15.85546875" style="11" customWidth="1"/>
    <col min="15618" max="15618" width="14.85546875" style="11" bestFit="1" customWidth="1"/>
    <col min="15619" max="15619" width="6" style="11" customWidth="1"/>
    <col min="15620" max="15620" width="8.140625" style="11" bestFit="1" customWidth="1"/>
    <col min="15621" max="15622" width="5.85546875" style="11" customWidth="1"/>
    <col min="15623" max="15623" width="5.140625" style="11" customWidth="1"/>
    <col min="15624" max="15624" width="5.42578125" style="11" customWidth="1"/>
    <col min="15625" max="15625" width="5" style="11" customWidth="1"/>
    <col min="15626" max="15626" width="6.85546875" style="11" customWidth="1"/>
    <col min="15627" max="15627" width="6.140625" style="11" customWidth="1"/>
    <col min="15628" max="15628" width="4.85546875" style="11" customWidth="1"/>
    <col min="15629" max="15629" width="5.140625" style="11" customWidth="1"/>
    <col min="15630" max="15630" width="8.140625" style="11" customWidth="1"/>
    <col min="15631" max="15631" width="15.85546875" style="11" customWidth="1"/>
    <col min="15632" max="15872" width="9.140625" style="11"/>
    <col min="15873" max="15873" width="15.85546875" style="11" customWidth="1"/>
    <col min="15874" max="15874" width="14.85546875" style="11" bestFit="1" customWidth="1"/>
    <col min="15875" max="15875" width="6" style="11" customWidth="1"/>
    <col min="15876" max="15876" width="8.140625" style="11" bestFit="1" customWidth="1"/>
    <col min="15877" max="15878" width="5.85546875" style="11" customWidth="1"/>
    <col min="15879" max="15879" width="5.140625" style="11" customWidth="1"/>
    <col min="15880" max="15880" width="5.42578125" style="11" customWidth="1"/>
    <col min="15881" max="15881" width="5" style="11" customWidth="1"/>
    <col min="15882" max="15882" width="6.85546875" style="11" customWidth="1"/>
    <col min="15883" max="15883" width="6.140625" style="11" customWidth="1"/>
    <col min="15884" max="15884" width="4.85546875" style="11" customWidth="1"/>
    <col min="15885" max="15885" width="5.140625" style="11" customWidth="1"/>
    <col min="15886" max="15886" width="8.140625" style="11" customWidth="1"/>
    <col min="15887" max="15887" width="15.85546875" style="11" customWidth="1"/>
    <col min="15888" max="16128" width="9.140625" style="11"/>
    <col min="16129" max="16129" width="15.85546875" style="11" customWidth="1"/>
    <col min="16130" max="16130" width="14.85546875" style="11" bestFit="1" customWidth="1"/>
    <col min="16131" max="16131" width="6" style="11" customWidth="1"/>
    <col min="16132" max="16132" width="8.140625" style="11" bestFit="1" customWidth="1"/>
    <col min="16133" max="16134" width="5.85546875" style="11" customWidth="1"/>
    <col min="16135" max="16135" width="5.140625" style="11" customWidth="1"/>
    <col min="16136" max="16136" width="5.42578125" style="11" customWidth="1"/>
    <col min="16137" max="16137" width="5" style="11" customWidth="1"/>
    <col min="16138" max="16138" width="6.85546875" style="11" customWidth="1"/>
    <col min="16139" max="16139" width="6.140625" style="11" customWidth="1"/>
    <col min="16140" max="16140" width="4.85546875" style="11" customWidth="1"/>
    <col min="16141" max="16141" width="5.140625" style="11" customWidth="1"/>
    <col min="16142" max="16142" width="8.140625" style="11" customWidth="1"/>
    <col min="16143" max="16143" width="15.85546875" style="11" customWidth="1"/>
    <col min="16144" max="16384" width="9.1406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5.75" thickBot="1">
      <c r="A38" s="20" t="s">
        <v>91</v>
      </c>
    </row>
    <row r="39" spans="1:4" ht="15.75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abSelected="1" topLeftCell="H1" zoomScale="70" zoomScaleNormal="70" workbookViewId="0">
      <selection activeCell="Q17" sqref="Q17"/>
    </sheetView>
  </sheetViews>
  <sheetFormatPr defaultRowHeight="15"/>
  <cols>
    <col min="1" max="1" width="23.85546875" style="22" customWidth="1"/>
    <col min="2" max="10" width="9.140625" style="11"/>
    <col min="11" max="11" width="19.140625" style="11" bestFit="1" customWidth="1"/>
    <col min="12" max="12" width="9.140625" style="11"/>
    <col min="13" max="13" width="14.140625" style="11" bestFit="1" customWidth="1"/>
    <col min="14" max="21" width="9.140625" style="11"/>
    <col min="22" max="22" width="3.140625" style="11" bestFit="1" customWidth="1"/>
    <col min="23" max="251" width="9.140625" style="11"/>
    <col min="252" max="252" width="20.85546875" style="11" customWidth="1"/>
    <col min="253" max="260" width="9.140625" style="11"/>
    <col min="261" max="261" width="20.85546875" style="11" bestFit="1" customWidth="1"/>
    <col min="262" max="507" width="9.140625" style="11"/>
    <col min="508" max="508" width="20.85546875" style="11" customWidth="1"/>
    <col min="509" max="516" width="9.140625" style="11"/>
    <col min="517" max="517" width="20.85546875" style="11" bestFit="1" customWidth="1"/>
    <col min="518" max="763" width="9.140625" style="11"/>
    <col min="764" max="764" width="20.85546875" style="11" customWidth="1"/>
    <col min="765" max="772" width="9.140625" style="11"/>
    <col min="773" max="773" width="20.85546875" style="11" bestFit="1" customWidth="1"/>
    <col min="774" max="1019" width="9.140625" style="11"/>
    <col min="1020" max="1020" width="20.85546875" style="11" customWidth="1"/>
    <col min="1021" max="1028" width="9.140625" style="11"/>
    <col min="1029" max="1029" width="20.85546875" style="11" bestFit="1" customWidth="1"/>
    <col min="1030" max="1275" width="9.140625" style="11"/>
    <col min="1276" max="1276" width="20.85546875" style="11" customWidth="1"/>
    <col min="1277" max="1284" width="9.140625" style="11"/>
    <col min="1285" max="1285" width="20.85546875" style="11" bestFit="1" customWidth="1"/>
    <col min="1286" max="1531" width="9.140625" style="11"/>
    <col min="1532" max="1532" width="20.85546875" style="11" customWidth="1"/>
    <col min="1533" max="1540" width="9.140625" style="11"/>
    <col min="1541" max="1541" width="20.85546875" style="11" bestFit="1" customWidth="1"/>
    <col min="1542" max="1787" width="9.140625" style="11"/>
    <col min="1788" max="1788" width="20.85546875" style="11" customWidth="1"/>
    <col min="1789" max="1796" width="9.140625" style="11"/>
    <col min="1797" max="1797" width="20.85546875" style="11" bestFit="1" customWidth="1"/>
    <col min="1798" max="2043" width="9.140625" style="11"/>
    <col min="2044" max="2044" width="20.85546875" style="11" customWidth="1"/>
    <col min="2045" max="2052" width="9.140625" style="11"/>
    <col min="2053" max="2053" width="20.85546875" style="11" bestFit="1" customWidth="1"/>
    <col min="2054" max="2299" width="9.140625" style="11"/>
    <col min="2300" max="2300" width="20.85546875" style="11" customWidth="1"/>
    <col min="2301" max="2308" width="9.140625" style="11"/>
    <col min="2309" max="2309" width="20.85546875" style="11" bestFit="1" customWidth="1"/>
    <col min="2310" max="2555" width="9.140625" style="11"/>
    <col min="2556" max="2556" width="20.85546875" style="11" customWidth="1"/>
    <col min="2557" max="2564" width="9.140625" style="11"/>
    <col min="2565" max="2565" width="20.85546875" style="11" bestFit="1" customWidth="1"/>
    <col min="2566" max="2811" width="9.140625" style="11"/>
    <col min="2812" max="2812" width="20.85546875" style="11" customWidth="1"/>
    <col min="2813" max="2820" width="9.140625" style="11"/>
    <col min="2821" max="2821" width="20.85546875" style="11" bestFit="1" customWidth="1"/>
    <col min="2822" max="3067" width="9.140625" style="11"/>
    <col min="3068" max="3068" width="20.85546875" style="11" customWidth="1"/>
    <col min="3069" max="3076" width="9.140625" style="11"/>
    <col min="3077" max="3077" width="20.85546875" style="11" bestFit="1" customWidth="1"/>
    <col min="3078" max="3323" width="9.140625" style="11"/>
    <col min="3324" max="3324" width="20.85546875" style="11" customWidth="1"/>
    <col min="3325" max="3332" width="9.140625" style="11"/>
    <col min="3333" max="3333" width="20.85546875" style="11" bestFit="1" customWidth="1"/>
    <col min="3334" max="3579" width="9.140625" style="11"/>
    <col min="3580" max="3580" width="20.85546875" style="11" customWidth="1"/>
    <col min="3581" max="3588" width="9.140625" style="11"/>
    <col min="3589" max="3589" width="20.85546875" style="11" bestFit="1" customWidth="1"/>
    <col min="3590" max="3835" width="9.140625" style="11"/>
    <col min="3836" max="3836" width="20.85546875" style="11" customWidth="1"/>
    <col min="3837" max="3844" width="9.140625" style="11"/>
    <col min="3845" max="3845" width="20.85546875" style="11" bestFit="1" customWidth="1"/>
    <col min="3846" max="4091" width="9.140625" style="11"/>
    <col min="4092" max="4092" width="20.85546875" style="11" customWidth="1"/>
    <col min="4093" max="4100" width="9.140625" style="11"/>
    <col min="4101" max="4101" width="20.85546875" style="11" bestFit="1" customWidth="1"/>
    <col min="4102" max="4347" width="9.140625" style="11"/>
    <col min="4348" max="4348" width="20.85546875" style="11" customWidth="1"/>
    <col min="4349" max="4356" width="9.140625" style="11"/>
    <col min="4357" max="4357" width="20.85546875" style="11" bestFit="1" customWidth="1"/>
    <col min="4358" max="4603" width="9.140625" style="11"/>
    <col min="4604" max="4604" width="20.85546875" style="11" customWidth="1"/>
    <col min="4605" max="4612" width="9.140625" style="11"/>
    <col min="4613" max="4613" width="20.85546875" style="11" bestFit="1" customWidth="1"/>
    <col min="4614" max="4859" width="9.140625" style="11"/>
    <col min="4860" max="4860" width="20.85546875" style="11" customWidth="1"/>
    <col min="4861" max="4868" width="9.140625" style="11"/>
    <col min="4869" max="4869" width="20.85546875" style="11" bestFit="1" customWidth="1"/>
    <col min="4870" max="5115" width="9.140625" style="11"/>
    <col min="5116" max="5116" width="20.85546875" style="11" customWidth="1"/>
    <col min="5117" max="5124" width="9.140625" style="11"/>
    <col min="5125" max="5125" width="20.85546875" style="11" bestFit="1" customWidth="1"/>
    <col min="5126" max="5371" width="9.140625" style="11"/>
    <col min="5372" max="5372" width="20.85546875" style="11" customWidth="1"/>
    <col min="5373" max="5380" width="9.140625" style="11"/>
    <col min="5381" max="5381" width="20.85546875" style="11" bestFit="1" customWidth="1"/>
    <col min="5382" max="5627" width="9.140625" style="11"/>
    <col min="5628" max="5628" width="20.85546875" style="11" customWidth="1"/>
    <col min="5629" max="5636" width="9.140625" style="11"/>
    <col min="5637" max="5637" width="20.85546875" style="11" bestFit="1" customWidth="1"/>
    <col min="5638" max="5883" width="9.140625" style="11"/>
    <col min="5884" max="5884" width="20.85546875" style="11" customWidth="1"/>
    <col min="5885" max="5892" width="9.140625" style="11"/>
    <col min="5893" max="5893" width="20.85546875" style="11" bestFit="1" customWidth="1"/>
    <col min="5894" max="6139" width="9.140625" style="11"/>
    <col min="6140" max="6140" width="20.85546875" style="11" customWidth="1"/>
    <col min="6141" max="6148" width="9.140625" style="11"/>
    <col min="6149" max="6149" width="20.85546875" style="11" bestFit="1" customWidth="1"/>
    <col min="6150" max="6395" width="9.140625" style="11"/>
    <col min="6396" max="6396" width="20.85546875" style="11" customWidth="1"/>
    <col min="6397" max="6404" width="9.140625" style="11"/>
    <col min="6405" max="6405" width="20.85546875" style="11" bestFit="1" customWidth="1"/>
    <col min="6406" max="6651" width="9.140625" style="11"/>
    <col min="6652" max="6652" width="20.85546875" style="11" customWidth="1"/>
    <col min="6653" max="6660" width="9.140625" style="11"/>
    <col min="6661" max="6661" width="20.85546875" style="11" bestFit="1" customWidth="1"/>
    <col min="6662" max="6907" width="9.140625" style="11"/>
    <col min="6908" max="6908" width="20.85546875" style="11" customWidth="1"/>
    <col min="6909" max="6916" width="9.140625" style="11"/>
    <col min="6917" max="6917" width="20.85546875" style="11" bestFit="1" customWidth="1"/>
    <col min="6918" max="7163" width="9.140625" style="11"/>
    <col min="7164" max="7164" width="20.85546875" style="11" customWidth="1"/>
    <col min="7165" max="7172" width="9.140625" style="11"/>
    <col min="7173" max="7173" width="20.85546875" style="11" bestFit="1" customWidth="1"/>
    <col min="7174" max="7419" width="9.140625" style="11"/>
    <col min="7420" max="7420" width="20.85546875" style="11" customWidth="1"/>
    <col min="7421" max="7428" width="9.140625" style="11"/>
    <col min="7429" max="7429" width="20.85546875" style="11" bestFit="1" customWidth="1"/>
    <col min="7430" max="7675" width="9.140625" style="11"/>
    <col min="7676" max="7676" width="20.85546875" style="11" customWidth="1"/>
    <col min="7677" max="7684" width="9.140625" style="11"/>
    <col min="7685" max="7685" width="20.85546875" style="11" bestFit="1" customWidth="1"/>
    <col min="7686" max="7931" width="9.140625" style="11"/>
    <col min="7932" max="7932" width="20.85546875" style="11" customWidth="1"/>
    <col min="7933" max="7940" width="9.140625" style="11"/>
    <col min="7941" max="7941" width="20.85546875" style="11" bestFit="1" customWidth="1"/>
    <col min="7942" max="8187" width="9.140625" style="11"/>
    <col min="8188" max="8188" width="20.85546875" style="11" customWidth="1"/>
    <col min="8189" max="8196" width="9.140625" style="11"/>
    <col min="8197" max="8197" width="20.85546875" style="11" bestFit="1" customWidth="1"/>
    <col min="8198" max="8443" width="9.140625" style="11"/>
    <col min="8444" max="8444" width="20.85546875" style="11" customWidth="1"/>
    <col min="8445" max="8452" width="9.140625" style="11"/>
    <col min="8453" max="8453" width="20.85546875" style="11" bestFit="1" customWidth="1"/>
    <col min="8454" max="8699" width="9.140625" style="11"/>
    <col min="8700" max="8700" width="20.85546875" style="11" customWidth="1"/>
    <col min="8701" max="8708" width="9.140625" style="11"/>
    <col min="8709" max="8709" width="20.85546875" style="11" bestFit="1" customWidth="1"/>
    <col min="8710" max="8955" width="9.140625" style="11"/>
    <col min="8956" max="8956" width="20.85546875" style="11" customWidth="1"/>
    <col min="8957" max="8964" width="9.140625" style="11"/>
    <col min="8965" max="8965" width="20.85546875" style="11" bestFit="1" customWidth="1"/>
    <col min="8966" max="9211" width="9.140625" style="11"/>
    <col min="9212" max="9212" width="20.85546875" style="11" customWidth="1"/>
    <col min="9213" max="9220" width="9.140625" style="11"/>
    <col min="9221" max="9221" width="20.85546875" style="11" bestFit="1" customWidth="1"/>
    <col min="9222" max="9467" width="9.140625" style="11"/>
    <col min="9468" max="9468" width="20.85546875" style="11" customWidth="1"/>
    <col min="9469" max="9476" width="9.140625" style="11"/>
    <col min="9477" max="9477" width="20.85546875" style="11" bestFit="1" customWidth="1"/>
    <col min="9478" max="9723" width="9.140625" style="11"/>
    <col min="9724" max="9724" width="20.85546875" style="11" customWidth="1"/>
    <col min="9725" max="9732" width="9.140625" style="11"/>
    <col min="9733" max="9733" width="20.85546875" style="11" bestFit="1" customWidth="1"/>
    <col min="9734" max="9979" width="9.140625" style="11"/>
    <col min="9980" max="9980" width="20.85546875" style="11" customWidth="1"/>
    <col min="9981" max="9988" width="9.140625" style="11"/>
    <col min="9989" max="9989" width="20.85546875" style="11" bestFit="1" customWidth="1"/>
    <col min="9990" max="10235" width="9.140625" style="11"/>
    <col min="10236" max="10236" width="20.85546875" style="11" customWidth="1"/>
    <col min="10237" max="10244" width="9.140625" style="11"/>
    <col min="10245" max="10245" width="20.85546875" style="11" bestFit="1" customWidth="1"/>
    <col min="10246" max="10491" width="9.140625" style="11"/>
    <col min="10492" max="10492" width="20.85546875" style="11" customWidth="1"/>
    <col min="10493" max="10500" width="9.140625" style="11"/>
    <col min="10501" max="10501" width="20.85546875" style="11" bestFit="1" customWidth="1"/>
    <col min="10502" max="10747" width="9.140625" style="11"/>
    <col min="10748" max="10748" width="20.85546875" style="11" customWidth="1"/>
    <col min="10749" max="10756" width="9.140625" style="11"/>
    <col min="10757" max="10757" width="20.85546875" style="11" bestFit="1" customWidth="1"/>
    <col min="10758" max="11003" width="9.140625" style="11"/>
    <col min="11004" max="11004" width="20.85546875" style="11" customWidth="1"/>
    <col min="11005" max="11012" width="9.140625" style="11"/>
    <col min="11013" max="11013" width="20.85546875" style="11" bestFit="1" customWidth="1"/>
    <col min="11014" max="11259" width="9.140625" style="11"/>
    <col min="11260" max="11260" width="20.85546875" style="11" customWidth="1"/>
    <col min="11261" max="11268" width="9.140625" style="11"/>
    <col min="11269" max="11269" width="20.85546875" style="11" bestFit="1" customWidth="1"/>
    <col min="11270" max="11515" width="9.140625" style="11"/>
    <col min="11516" max="11516" width="20.85546875" style="11" customWidth="1"/>
    <col min="11517" max="11524" width="9.140625" style="11"/>
    <col min="11525" max="11525" width="20.85546875" style="11" bestFit="1" customWidth="1"/>
    <col min="11526" max="11771" width="9.140625" style="11"/>
    <col min="11772" max="11772" width="20.85546875" style="11" customWidth="1"/>
    <col min="11773" max="11780" width="9.140625" style="11"/>
    <col min="11781" max="11781" width="20.85546875" style="11" bestFit="1" customWidth="1"/>
    <col min="11782" max="12027" width="9.140625" style="11"/>
    <col min="12028" max="12028" width="20.85546875" style="11" customWidth="1"/>
    <col min="12029" max="12036" width="9.140625" style="11"/>
    <col min="12037" max="12037" width="20.85546875" style="11" bestFit="1" customWidth="1"/>
    <col min="12038" max="12283" width="9.140625" style="11"/>
    <col min="12284" max="12284" width="20.85546875" style="11" customWidth="1"/>
    <col min="12285" max="12292" width="9.140625" style="11"/>
    <col min="12293" max="12293" width="20.85546875" style="11" bestFit="1" customWidth="1"/>
    <col min="12294" max="12539" width="9.140625" style="11"/>
    <col min="12540" max="12540" width="20.85546875" style="11" customWidth="1"/>
    <col min="12541" max="12548" width="9.140625" style="11"/>
    <col min="12549" max="12549" width="20.85546875" style="11" bestFit="1" customWidth="1"/>
    <col min="12550" max="12795" width="9.140625" style="11"/>
    <col min="12796" max="12796" width="20.85546875" style="11" customWidth="1"/>
    <col min="12797" max="12804" width="9.140625" style="11"/>
    <col min="12805" max="12805" width="20.85546875" style="11" bestFit="1" customWidth="1"/>
    <col min="12806" max="13051" width="9.140625" style="11"/>
    <col min="13052" max="13052" width="20.85546875" style="11" customWidth="1"/>
    <col min="13053" max="13060" width="9.140625" style="11"/>
    <col min="13061" max="13061" width="20.85546875" style="11" bestFit="1" customWidth="1"/>
    <col min="13062" max="13307" width="9.140625" style="11"/>
    <col min="13308" max="13308" width="20.85546875" style="11" customWidth="1"/>
    <col min="13309" max="13316" width="9.140625" style="11"/>
    <col min="13317" max="13317" width="20.85546875" style="11" bestFit="1" customWidth="1"/>
    <col min="13318" max="13563" width="9.140625" style="11"/>
    <col min="13564" max="13564" width="20.85546875" style="11" customWidth="1"/>
    <col min="13565" max="13572" width="9.140625" style="11"/>
    <col min="13573" max="13573" width="20.85546875" style="11" bestFit="1" customWidth="1"/>
    <col min="13574" max="13819" width="9.140625" style="11"/>
    <col min="13820" max="13820" width="20.85546875" style="11" customWidth="1"/>
    <col min="13821" max="13828" width="9.140625" style="11"/>
    <col min="13829" max="13829" width="20.85546875" style="11" bestFit="1" customWidth="1"/>
    <col min="13830" max="14075" width="9.140625" style="11"/>
    <col min="14076" max="14076" width="20.85546875" style="11" customWidth="1"/>
    <col min="14077" max="14084" width="9.140625" style="11"/>
    <col min="14085" max="14085" width="20.85546875" style="11" bestFit="1" customWidth="1"/>
    <col min="14086" max="14331" width="9.140625" style="11"/>
    <col min="14332" max="14332" width="20.85546875" style="11" customWidth="1"/>
    <col min="14333" max="14340" width="9.140625" style="11"/>
    <col min="14341" max="14341" width="20.85546875" style="11" bestFit="1" customWidth="1"/>
    <col min="14342" max="14587" width="9.140625" style="11"/>
    <col min="14588" max="14588" width="20.85546875" style="11" customWidth="1"/>
    <col min="14589" max="14596" width="9.140625" style="11"/>
    <col min="14597" max="14597" width="20.85546875" style="11" bestFit="1" customWidth="1"/>
    <col min="14598" max="14843" width="9.140625" style="11"/>
    <col min="14844" max="14844" width="20.85546875" style="11" customWidth="1"/>
    <col min="14845" max="14852" width="9.140625" style="11"/>
    <col min="14853" max="14853" width="20.85546875" style="11" bestFit="1" customWidth="1"/>
    <col min="14854" max="15099" width="9.140625" style="11"/>
    <col min="15100" max="15100" width="20.85546875" style="11" customWidth="1"/>
    <col min="15101" max="15108" width="9.140625" style="11"/>
    <col min="15109" max="15109" width="20.85546875" style="11" bestFit="1" customWidth="1"/>
    <col min="15110" max="15355" width="9.140625" style="11"/>
    <col min="15356" max="15356" width="20.85546875" style="11" customWidth="1"/>
    <col min="15357" max="15364" width="9.140625" style="11"/>
    <col min="15365" max="15365" width="20.85546875" style="11" bestFit="1" customWidth="1"/>
    <col min="15366" max="15611" width="9.140625" style="11"/>
    <col min="15612" max="15612" width="20.85546875" style="11" customWidth="1"/>
    <col min="15613" max="15620" width="9.140625" style="11"/>
    <col min="15621" max="15621" width="20.85546875" style="11" bestFit="1" customWidth="1"/>
    <col min="15622" max="15867" width="9.140625" style="11"/>
    <col min="15868" max="15868" width="20.85546875" style="11" customWidth="1"/>
    <col min="15869" max="15876" width="9.140625" style="11"/>
    <col min="15877" max="15877" width="20.85546875" style="11" bestFit="1" customWidth="1"/>
    <col min="15878" max="16123" width="9.140625" style="11"/>
    <col min="16124" max="16124" width="20.85546875" style="11" customWidth="1"/>
    <col min="16125" max="16132" width="9.140625" style="11"/>
    <col min="16133" max="16133" width="20.85546875" style="11" bestFit="1" customWidth="1"/>
    <col min="16134" max="16384" width="9.140625" style="11"/>
  </cols>
  <sheetData>
    <row r="1" spans="1:23" ht="20.25" thickBot="1">
      <c r="A1" s="25" t="s">
        <v>203</v>
      </c>
      <c r="K1" s="89" t="s">
        <v>449</v>
      </c>
    </row>
    <row r="2" spans="1:23" ht="15.75" thickTop="1">
      <c r="N2" s="11" t="s">
        <v>296</v>
      </c>
      <c r="O2" s="11" t="s">
        <v>297</v>
      </c>
      <c r="P2" s="11" t="s">
        <v>458</v>
      </c>
      <c r="Q2" s="11" t="s">
        <v>459</v>
      </c>
      <c r="R2" s="11" t="s">
        <v>460</v>
      </c>
      <c r="S2" s="11" t="s">
        <v>461</v>
      </c>
      <c r="T2" s="11" t="s">
        <v>462</v>
      </c>
    </row>
    <row r="3" spans="1:23">
      <c r="A3" s="25" t="s">
        <v>204</v>
      </c>
      <c r="M3" s="11" t="s">
        <v>457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463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595</v>
      </c>
    </row>
    <row r="5" spans="1:23">
      <c r="A5" s="22" t="s">
        <v>206</v>
      </c>
      <c r="B5" s="46">
        <v>3</v>
      </c>
      <c r="M5" s="11" t="s">
        <v>464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465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>SUMPRODUCT(N6:T6,$N$3:$T$3)</f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466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ref="U7:U11" si="0">SUMPRODUCT(N7:T7,$N$3:$T$3)</f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467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>SUMPRODUCT(N8:T8,$N$3:$T$3)</f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468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469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470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23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23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23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23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23">
      <c r="B21" s="28"/>
      <c r="C21" s="28"/>
      <c r="D21" s="28"/>
      <c r="E21" s="28"/>
      <c r="F21" s="28"/>
      <c r="G21" s="28"/>
      <c r="H21" s="28"/>
    </row>
    <row r="22" spans="1:23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23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23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5" spans="1:23">
      <c r="M25"/>
      <c r="N25"/>
      <c r="O25"/>
      <c r="P25"/>
      <c r="Q25"/>
      <c r="R25"/>
      <c r="S25"/>
      <c r="T25"/>
      <c r="U25"/>
      <c r="V25"/>
      <c r="W25"/>
    </row>
    <row r="26" spans="1:23">
      <c r="A26" s="25" t="s">
        <v>91</v>
      </c>
      <c r="M26" s="8"/>
      <c r="N26"/>
      <c r="O26"/>
      <c r="P26"/>
      <c r="Q26"/>
      <c r="R26"/>
      <c r="S26"/>
      <c r="T26"/>
      <c r="U26"/>
      <c r="V26"/>
      <c r="W26"/>
    </row>
    <row r="27" spans="1:23">
      <c r="A27" s="22" t="s">
        <v>215</v>
      </c>
      <c r="B27" s="28">
        <f>SUM(B4:B10)</f>
        <v>23</v>
      </c>
    </row>
  </sheetData>
  <phoneticPr fontId="1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5"/>
  <cols>
    <col min="2" max="2" width="11.1406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5.75" thickBot="1">
      <c r="A13">
        <v>3</v>
      </c>
      <c r="B13">
        <v>4</v>
      </c>
      <c r="C13" s="35">
        <v>180</v>
      </c>
      <c r="D13" s="52"/>
    </row>
    <row r="14" spans="1:9" ht="15.75" thickBot="1">
      <c r="A14" t="s">
        <v>230</v>
      </c>
      <c r="D14" s="5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5"/>
  <cols>
    <col min="1" max="6" width="8.85546875" style="11"/>
    <col min="7" max="7" width="15.42578125" style="11" customWidth="1"/>
    <col min="8" max="12" width="8.85546875" style="11"/>
    <col min="13" max="13" width="12.5703125" style="11" customWidth="1"/>
    <col min="14" max="262" width="8.85546875" style="11"/>
    <col min="263" max="263" width="15.42578125" style="11" customWidth="1"/>
    <col min="264" max="268" width="8.85546875" style="11"/>
    <col min="269" max="269" width="12.5703125" style="11" customWidth="1"/>
    <col min="270" max="518" width="8.85546875" style="11"/>
    <col min="519" max="519" width="15.42578125" style="11" customWidth="1"/>
    <col min="520" max="524" width="8.85546875" style="11"/>
    <col min="525" max="525" width="12.5703125" style="11" customWidth="1"/>
    <col min="526" max="774" width="8.85546875" style="11"/>
    <col min="775" max="775" width="15.42578125" style="11" customWidth="1"/>
    <col min="776" max="780" width="8.85546875" style="11"/>
    <col min="781" max="781" width="12.5703125" style="11" customWidth="1"/>
    <col min="782" max="1030" width="8.85546875" style="11"/>
    <col min="1031" max="1031" width="15.42578125" style="11" customWidth="1"/>
    <col min="1032" max="1036" width="8.85546875" style="11"/>
    <col min="1037" max="1037" width="12.5703125" style="11" customWidth="1"/>
    <col min="1038" max="1286" width="8.85546875" style="11"/>
    <col min="1287" max="1287" width="15.42578125" style="11" customWidth="1"/>
    <col min="1288" max="1292" width="8.85546875" style="11"/>
    <col min="1293" max="1293" width="12.5703125" style="11" customWidth="1"/>
    <col min="1294" max="1542" width="8.85546875" style="11"/>
    <col min="1543" max="1543" width="15.42578125" style="11" customWidth="1"/>
    <col min="1544" max="1548" width="8.85546875" style="11"/>
    <col min="1549" max="1549" width="12.5703125" style="11" customWidth="1"/>
    <col min="1550" max="1798" width="8.85546875" style="11"/>
    <col min="1799" max="1799" width="15.42578125" style="11" customWidth="1"/>
    <col min="1800" max="1804" width="8.85546875" style="11"/>
    <col min="1805" max="1805" width="12.5703125" style="11" customWidth="1"/>
    <col min="1806" max="2054" width="8.85546875" style="11"/>
    <col min="2055" max="2055" width="15.42578125" style="11" customWidth="1"/>
    <col min="2056" max="2060" width="8.85546875" style="11"/>
    <col min="2061" max="2061" width="12.5703125" style="11" customWidth="1"/>
    <col min="2062" max="2310" width="8.85546875" style="11"/>
    <col min="2311" max="2311" width="15.42578125" style="11" customWidth="1"/>
    <col min="2312" max="2316" width="8.85546875" style="11"/>
    <col min="2317" max="2317" width="12.5703125" style="11" customWidth="1"/>
    <col min="2318" max="2566" width="8.85546875" style="11"/>
    <col min="2567" max="2567" width="15.42578125" style="11" customWidth="1"/>
    <col min="2568" max="2572" width="8.85546875" style="11"/>
    <col min="2573" max="2573" width="12.5703125" style="11" customWidth="1"/>
    <col min="2574" max="2822" width="8.85546875" style="11"/>
    <col min="2823" max="2823" width="15.42578125" style="11" customWidth="1"/>
    <col min="2824" max="2828" width="8.85546875" style="11"/>
    <col min="2829" max="2829" width="12.5703125" style="11" customWidth="1"/>
    <col min="2830" max="3078" width="8.85546875" style="11"/>
    <col min="3079" max="3079" width="15.42578125" style="11" customWidth="1"/>
    <col min="3080" max="3084" width="8.85546875" style="11"/>
    <col min="3085" max="3085" width="12.5703125" style="11" customWidth="1"/>
    <col min="3086" max="3334" width="8.85546875" style="11"/>
    <col min="3335" max="3335" width="15.42578125" style="11" customWidth="1"/>
    <col min="3336" max="3340" width="8.85546875" style="11"/>
    <col min="3341" max="3341" width="12.5703125" style="11" customWidth="1"/>
    <col min="3342" max="3590" width="8.85546875" style="11"/>
    <col min="3591" max="3591" width="15.42578125" style="11" customWidth="1"/>
    <col min="3592" max="3596" width="8.85546875" style="11"/>
    <col min="3597" max="3597" width="12.5703125" style="11" customWidth="1"/>
    <col min="3598" max="3846" width="8.85546875" style="11"/>
    <col min="3847" max="3847" width="15.42578125" style="11" customWidth="1"/>
    <col min="3848" max="3852" width="8.85546875" style="11"/>
    <col min="3853" max="3853" width="12.5703125" style="11" customWidth="1"/>
    <col min="3854" max="4102" width="8.85546875" style="11"/>
    <col min="4103" max="4103" width="15.42578125" style="11" customWidth="1"/>
    <col min="4104" max="4108" width="8.85546875" style="11"/>
    <col min="4109" max="4109" width="12.5703125" style="11" customWidth="1"/>
    <col min="4110" max="4358" width="8.85546875" style="11"/>
    <col min="4359" max="4359" width="15.42578125" style="11" customWidth="1"/>
    <col min="4360" max="4364" width="8.85546875" style="11"/>
    <col min="4365" max="4365" width="12.5703125" style="11" customWidth="1"/>
    <col min="4366" max="4614" width="8.85546875" style="11"/>
    <col min="4615" max="4615" width="15.42578125" style="11" customWidth="1"/>
    <col min="4616" max="4620" width="8.85546875" style="11"/>
    <col min="4621" max="4621" width="12.5703125" style="11" customWidth="1"/>
    <col min="4622" max="4870" width="8.85546875" style="11"/>
    <col min="4871" max="4871" width="15.42578125" style="11" customWidth="1"/>
    <col min="4872" max="4876" width="8.85546875" style="11"/>
    <col min="4877" max="4877" width="12.5703125" style="11" customWidth="1"/>
    <col min="4878" max="5126" width="8.85546875" style="11"/>
    <col min="5127" max="5127" width="15.42578125" style="11" customWidth="1"/>
    <col min="5128" max="5132" width="8.85546875" style="11"/>
    <col min="5133" max="5133" width="12.5703125" style="11" customWidth="1"/>
    <col min="5134" max="5382" width="8.85546875" style="11"/>
    <col min="5383" max="5383" width="15.42578125" style="11" customWidth="1"/>
    <col min="5384" max="5388" width="8.85546875" style="11"/>
    <col min="5389" max="5389" width="12.5703125" style="11" customWidth="1"/>
    <col min="5390" max="5638" width="8.85546875" style="11"/>
    <col min="5639" max="5639" width="15.42578125" style="11" customWidth="1"/>
    <col min="5640" max="5644" width="8.85546875" style="11"/>
    <col min="5645" max="5645" width="12.5703125" style="11" customWidth="1"/>
    <col min="5646" max="5894" width="8.85546875" style="11"/>
    <col min="5895" max="5895" width="15.42578125" style="11" customWidth="1"/>
    <col min="5896" max="5900" width="8.85546875" style="11"/>
    <col min="5901" max="5901" width="12.5703125" style="11" customWidth="1"/>
    <col min="5902" max="6150" width="8.85546875" style="11"/>
    <col min="6151" max="6151" width="15.42578125" style="11" customWidth="1"/>
    <col min="6152" max="6156" width="8.85546875" style="11"/>
    <col min="6157" max="6157" width="12.5703125" style="11" customWidth="1"/>
    <col min="6158" max="6406" width="8.85546875" style="11"/>
    <col min="6407" max="6407" width="15.42578125" style="11" customWidth="1"/>
    <col min="6408" max="6412" width="8.85546875" style="11"/>
    <col min="6413" max="6413" width="12.5703125" style="11" customWidth="1"/>
    <col min="6414" max="6662" width="8.85546875" style="11"/>
    <col min="6663" max="6663" width="15.42578125" style="11" customWidth="1"/>
    <col min="6664" max="6668" width="8.85546875" style="11"/>
    <col min="6669" max="6669" width="12.5703125" style="11" customWidth="1"/>
    <col min="6670" max="6918" width="8.85546875" style="11"/>
    <col min="6919" max="6919" width="15.42578125" style="11" customWidth="1"/>
    <col min="6920" max="6924" width="8.85546875" style="11"/>
    <col min="6925" max="6925" width="12.5703125" style="11" customWidth="1"/>
    <col min="6926" max="7174" width="8.85546875" style="11"/>
    <col min="7175" max="7175" width="15.42578125" style="11" customWidth="1"/>
    <col min="7176" max="7180" width="8.85546875" style="11"/>
    <col min="7181" max="7181" width="12.5703125" style="11" customWidth="1"/>
    <col min="7182" max="7430" width="8.85546875" style="11"/>
    <col min="7431" max="7431" width="15.42578125" style="11" customWidth="1"/>
    <col min="7432" max="7436" width="8.85546875" style="11"/>
    <col min="7437" max="7437" width="12.5703125" style="11" customWidth="1"/>
    <col min="7438" max="7686" width="8.85546875" style="11"/>
    <col min="7687" max="7687" width="15.42578125" style="11" customWidth="1"/>
    <col min="7688" max="7692" width="8.85546875" style="11"/>
    <col min="7693" max="7693" width="12.5703125" style="11" customWidth="1"/>
    <col min="7694" max="7942" width="8.85546875" style="11"/>
    <col min="7943" max="7943" width="15.42578125" style="11" customWidth="1"/>
    <col min="7944" max="7948" width="8.85546875" style="11"/>
    <col min="7949" max="7949" width="12.5703125" style="11" customWidth="1"/>
    <col min="7950" max="8198" width="8.85546875" style="11"/>
    <col min="8199" max="8199" width="15.42578125" style="11" customWidth="1"/>
    <col min="8200" max="8204" width="8.85546875" style="11"/>
    <col min="8205" max="8205" width="12.5703125" style="11" customWidth="1"/>
    <col min="8206" max="8454" width="8.85546875" style="11"/>
    <col min="8455" max="8455" width="15.42578125" style="11" customWidth="1"/>
    <col min="8456" max="8460" width="8.85546875" style="11"/>
    <col min="8461" max="8461" width="12.5703125" style="11" customWidth="1"/>
    <col min="8462" max="8710" width="8.85546875" style="11"/>
    <col min="8711" max="8711" width="15.42578125" style="11" customWidth="1"/>
    <col min="8712" max="8716" width="8.85546875" style="11"/>
    <col min="8717" max="8717" width="12.5703125" style="11" customWidth="1"/>
    <col min="8718" max="8966" width="8.85546875" style="11"/>
    <col min="8967" max="8967" width="15.42578125" style="11" customWidth="1"/>
    <col min="8968" max="8972" width="8.85546875" style="11"/>
    <col min="8973" max="8973" width="12.5703125" style="11" customWidth="1"/>
    <col min="8974" max="9222" width="8.85546875" style="11"/>
    <col min="9223" max="9223" width="15.42578125" style="11" customWidth="1"/>
    <col min="9224" max="9228" width="8.85546875" style="11"/>
    <col min="9229" max="9229" width="12.5703125" style="11" customWidth="1"/>
    <col min="9230" max="9478" width="8.85546875" style="11"/>
    <col min="9479" max="9479" width="15.42578125" style="11" customWidth="1"/>
    <col min="9480" max="9484" width="8.85546875" style="11"/>
    <col min="9485" max="9485" width="12.5703125" style="11" customWidth="1"/>
    <col min="9486" max="9734" width="8.85546875" style="11"/>
    <col min="9735" max="9735" width="15.42578125" style="11" customWidth="1"/>
    <col min="9736" max="9740" width="8.85546875" style="11"/>
    <col min="9741" max="9741" width="12.5703125" style="11" customWidth="1"/>
    <col min="9742" max="9990" width="8.85546875" style="11"/>
    <col min="9991" max="9991" width="15.42578125" style="11" customWidth="1"/>
    <col min="9992" max="9996" width="8.85546875" style="11"/>
    <col min="9997" max="9997" width="12.5703125" style="11" customWidth="1"/>
    <col min="9998" max="10246" width="8.85546875" style="11"/>
    <col min="10247" max="10247" width="15.42578125" style="11" customWidth="1"/>
    <col min="10248" max="10252" width="8.85546875" style="11"/>
    <col min="10253" max="10253" width="12.5703125" style="11" customWidth="1"/>
    <col min="10254" max="10502" width="8.85546875" style="11"/>
    <col min="10503" max="10503" width="15.42578125" style="11" customWidth="1"/>
    <col min="10504" max="10508" width="8.85546875" style="11"/>
    <col min="10509" max="10509" width="12.5703125" style="11" customWidth="1"/>
    <col min="10510" max="10758" width="8.85546875" style="11"/>
    <col min="10759" max="10759" width="15.42578125" style="11" customWidth="1"/>
    <col min="10760" max="10764" width="8.85546875" style="11"/>
    <col min="10765" max="10765" width="12.5703125" style="11" customWidth="1"/>
    <col min="10766" max="11014" width="8.85546875" style="11"/>
    <col min="11015" max="11015" width="15.42578125" style="11" customWidth="1"/>
    <col min="11016" max="11020" width="8.85546875" style="11"/>
    <col min="11021" max="11021" width="12.5703125" style="11" customWidth="1"/>
    <col min="11022" max="11270" width="8.85546875" style="11"/>
    <col min="11271" max="11271" width="15.42578125" style="11" customWidth="1"/>
    <col min="11272" max="11276" width="8.85546875" style="11"/>
    <col min="11277" max="11277" width="12.5703125" style="11" customWidth="1"/>
    <col min="11278" max="11526" width="8.85546875" style="11"/>
    <col min="11527" max="11527" width="15.42578125" style="11" customWidth="1"/>
    <col min="11528" max="11532" width="8.85546875" style="11"/>
    <col min="11533" max="11533" width="12.5703125" style="11" customWidth="1"/>
    <col min="11534" max="11782" width="8.85546875" style="11"/>
    <col min="11783" max="11783" width="15.42578125" style="11" customWidth="1"/>
    <col min="11784" max="11788" width="8.85546875" style="11"/>
    <col min="11789" max="11789" width="12.5703125" style="11" customWidth="1"/>
    <col min="11790" max="12038" width="8.85546875" style="11"/>
    <col min="12039" max="12039" width="15.42578125" style="11" customWidth="1"/>
    <col min="12040" max="12044" width="8.85546875" style="11"/>
    <col min="12045" max="12045" width="12.5703125" style="11" customWidth="1"/>
    <col min="12046" max="12294" width="8.85546875" style="11"/>
    <col min="12295" max="12295" width="15.42578125" style="11" customWidth="1"/>
    <col min="12296" max="12300" width="8.85546875" style="11"/>
    <col min="12301" max="12301" width="12.5703125" style="11" customWidth="1"/>
    <col min="12302" max="12550" width="8.85546875" style="11"/>
    <col min="12551" max="12551" width="15.42578125" style="11" customWidth="1"/>
    <col min="12552" max="12556" width="8.85546875" style="11"/>
    <col min="12557" max="12557" width="12.5703125" style="11" customWidth="1"/>
    <col min="12558" max="12806" width="8.85546875" style="11"/>
    <col min="12807" max="12807" width="15.42578125" style="11" customWidth="1"/>
    <col min="12808" max="12812" width="8.85546875" style="11"/>
    <col min="12813" max="12813" width="12.5703125" style="11" customWidth="1"/>
    <col min="12814" max="13062" width="8.85546875" style="11"/>
    <col min="13063" max="13063" width="15.42578125" style="11" customWidth="1"/>
    <col min="13064" max="13068" width="8.85546875" style="11"/>
    <col min="13069" max="13069" width="12.5703125" style="11" customWidth="1"/>
    <col min="13070" max="13318" width="8.85546875" style="11"/>
    <col min="13319" max="13319" width="15.42578125" style="11" customWidth="1"/>
    <col min="13320" max="13324" width="8.85546875" style="11"/>
    <col min="13325" max="13325" width="12.5703125" style="11" customWidth="1"/>
    <col min="13326" max="13574" width="8.85546875" style="11"/>
    <col min="13575" max="13575" width="15.42578125" style="11" customWidth="1"/>
    <col min="13576" max="13580" width="8.85546875" style="11"/>
    <col min="13581" max="13581" width="12.5703125" style="11" customWidth="1"/>
    <col min="13582" max="13830" width="8.85546875" style="11"/>
    <col min="13831" max="13831" width="15.42578125" style="11" customWidth="1"/>
    <col min="13832" max="13836" width="8.85546875" style="11"/>
    <col min="13837" max="13837" width="12.5703125" style="11" customWidth="1"/>
    <col min="13838" max="14086" width="8.85546875" style="11"/>
    <col min="14087" max="14087" width="15.42578125" style="11" customWidth="1"/>
    <col min="14088" max="14092" width="8.85546875" style="11"/>
    <col min="14093" max="14093" width="12.5703125" style="11" customWidth="1"/>
    <col min="14094" max="14342" width="8.85546875" style="11"/>
    <col min="14343" max="14343" width="15.42578125" style="11" customWidth="1"/>
    <col min="14344" max="14348" width="8.85546875" style="11"/>
    <col min="14349" max="14349" width="12.5703125" style="11" customWidth="1"/>
    <col min="14350" max="14598" width="8.85546875" style="11"/>
    <col min="14599" max="14599" width="15.42578125" style="11" customWidth="1"/>
    <col min="14600" max="14604" width="8.85546875" style="11"/>
    <col min="14605" max="14605" width="12.5703125" style="11" customWidth="1"/>
    <col min="14606" max="14854" width="8.85546875" style="11"/>
    <col min="14855" max="14855" width="15.42578125" style="11" customWidth="1"/>
    <col min="14856" max="14860" width="8.85546875" style="11"/>
    <col min="14861" max="14861" width="12.5703125" style="11" customWidth="1"/>
    <col min="14862" max="15110" width="8.85546875" style="11"/>
    <col min="15111" max="15111" width="15.42578125" style="11" customWidth="1"/>
    <col min="15112" max="15116" width="8.85546875" style="11"/>
    <col min="15117" max="15117" width="12.5703125" style="11" customWidth="1"/>
    <col min="15118" max="15366" width="8.85546875" style="11"/>
    <col min="15367" max="15367" width="15.42578125" style="11" customWidth="1"/>
    <col min="15368" max="15372" width="8.85546875" style="11"/>
    <col min="15373" max="15373" width="12.5703125" style="11" customWidth="1"/>
    <col min="15374" max="15622" width="8.85546875" style="11"/>
    <col min="15623" max="15623" width="15.42578125" style="11" customWidth="1"/>
    <col min="15624" max="15628" width="8.85546875" style="11"/>
    <col min="15629" max="15629" width="12.5703125" style="11" customWidth="1"/>
    <col min="15630" max="15878" width="8.85546875" style="11"/>
    <col min="15879" max="15879" width="15.42578125" style="11" customWidth="1"/>
    <col min="15880" max="15884" width="8.85546875" style="11"/>
    <col min="15885" max="15885" width="12.5703125" style="11" customWidth="1"/>
    <col min="15886" max="16134" width="8.85546875" style="11"/>
    <col min="16135" max="16135" width="15.42578125" style="11" customWidth="1"/>
    <col min="16136" max="16140" width="8.85546875" style="11"/>
    <col min="16141" max="16141" width="12.5703125" style="11" customWidth="1"/>
    <col min="16142" max="16384" width="8.85546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zoomScaleNormal="100" workbookViewId="0">
      <selection activeCell="D18" sqref="D18"/>
    </sheetView>
  </sheetViews>
  <sheetFormatPr defaultRowHeight="15"/>
  <cols>
    <col min="1" max="1" width="22.140625" style="11" customWidth="1"/>
    <col min="2" max="2" width="9.85546875" style="11" customWidth="1"/>
    <col min="3" max="3" width="12.42578125" style="11" customWidth="1"/>
    <col min="4" max="4" width="13.85546875" style="11" bestFit="1" customWidth="1"/>
    <col min="5" max="5" width="11.42578125" style="11" customWidth="1"/>
    <col min="6" max="8" width="4.5703125" style="11" customWidth="1"/>
    <col min="9" max="256" width="8.85546875" style="11"/>
    <col min="257" max="257" width="19" style="11" customWidth="1"/>
    <col min="258" max="258" width="9.85546875" style="11" customWidth="1"/>
    <col min="259" max="260" width="12.42578125" style="11" customWidth="1"/>
    <col min="261" max="261" width="11.42578125" style="11" customWidth="1"/>
    <col min="262" max="262" width="16.5703125" style="11" customWidth="1"/>
    <col min="263" max="512" width="8.85546875" style="11"/>
    <col min="513" max="513" width="19" style="11" customWidth="1"/>
    <col min="514" max="514" width="9.85546875" style="11" customWidth="1"/>
    <col min="515" max="516" width="12.42578125" style="11" customWidth="1"/>
    <col min="517" max="517" width="11.42578125" style="11" customWidth="1"/>
    <col min="518" max="518" width="16.5703125" style="11" customWidth="1"/>
    <col min="519" max="768" width="8.85546875" style="11"/>
    <col min="769" max="769" width="19" style="11" customWidth="1"/>
    <col min="770" max="770" width="9.85546875" style="11" customWidth="1"/>
    <col min="771" max="772" width="12.42578125" style="11" customWidth="1"/>
    <col min="773" max="773" width="11.42578125" style="11" customWidth="1"/>
    <col min="774" max="774" width="16.5703125" style="11" customWidth="1"/>
    <col min="775" max="1024" width="8.85546875" style="11"/>
    <col min="1025" max="1025" width="19" style="11" customWidth="1"/>
    <col min="1026" max="1026" width="9.85546875" style="11" customWidth="1"/>
    <col min="1027" max="1028" width="12.42578125" style="11" customWidth="1"/>
    <col min="1029" max="1029" width="11.42578125" style="11" customWidth="1"/>
    <col min="1030" max="1030" width="16.5703125" style="11" customWidth="1"/>
    <col min="1031" max="1280" width="8.85546875" style="11"/>
    <col min="1281" max="1281" width="19" style="11" customWidth="1"/>
    <col min="1282" max="1282" width="9.85546875" style="11" customWidth="1"/>
    <col min="1283" max="1284" width="12.42578125" style="11" customWidth="1"/>
    <col min="1285" max="1285" width="11.42578125" style="11" customWidth="1"/>
    <col min="1286" max="1286" width="16.5703125" style="11" customWidth="1"/>
    <col min="1287" max="1536" width="8.85546875" style="11"/>
    <col min="1537" max="1537" width="19" style="11" customWidth="1"/>
    <col min="1538" max="1538" width="9.85546875" style="11" customWidth="1"/>
    <col min="1539" max="1540" width="12.42578125" style="11" customWidth="1"/>
    <col min="1541" max="1541" width="11.42578125" style="11" customWidth="1"/>
    <col min="1542" max="1542" width="16.5703125" style="11" customWidth="1"/>
    <col min="1543" max="1792" width="8.85546875" style="11"/>
    <col min="1793" max="1793" width="19" style="11" customWidth="1"/>
    <col min="1794" max="1794" width="9.85546875" style="11" customWidth="1"/>
    <col min="1795" max="1796" width="12.42578125" style="11" customWidth="1"/>
    <col min="1797" max="1797" width="11.42578125" style="11" customWidth="1"/>
    <col min="1798" max="1798" width="16.5703125" style="11" customWidth="1"/>
    <col min="1799" max="2048" width="8.85546875" style="11"/>
    <col min="2049" max="2049" width="19" style="11" customWidth="1"/>
    <col min="2050" max="2050" width="9.85546875" style="11" customWidth="1"/>
    <col min="2051" max="2052" width="12.42578125" style="11" customWidth="1"/>
    <col min="2053" max="2053" width="11.42578125" style="11" customWidth="1"/>
    <col min="2054" max="2054" width="16.5703125" style="11" customWidth="1"/>
    <col min="2055" max="2304" width="8.85546875" style="11"/>
    <col min="2305" max="2305" width="19" style="11" customWidth="1"/>
    <col min="2306" max="2306" width="9.85546875" style="11" customWidth="1"/>
    <col min="2307" max="2308" width="12.42578125" style="11" customWidth="1"/>
    <col min="2309" max="2309" width="11.42578125" style="11" customWidth="1"/>
    <col min="2310" max="2310" width="16.5703125" style="11" customWidth="1"/>
    <col min="2311" max="2560" width="8.85546875" style="11"/>
    <col min="2561" max="2561" width="19" style="11" customWidth="1"/>
    <col min="2562" max="2562" width="9.85546875" style="11" customWidth="1"/>
    <col min="2563" max="2564" width="12.42578125" style="11" customWidth="1"/>
    <col min="2565" max="2565" width="11.42578125" style="11" customWidth="1"/>
    <col min="2566" max="2566" width="16.5703125" style="11" customWidth="1"/>
    <col min="2567" max="2816" width="8.85546875" style="11"/>
    <col min="2817" max="2817" width="19" style="11" customWidth="1"/>
    <col min="2818" max="2818" width="9.85546875" style="11" customWidth="1"/>
    <col min="2819" max="2820" width="12.42578125" style="11" customWidth="1"/>
    <col min="2821" max="2821" width="11.42578125" style="11" customWidth="1"/>
    <col min="2822" max="2822" width="16.5703125" style="11" customWidth="1"/>
    <col min="2823" max="3072" width="8.85546875" style="11"/>
    <col min="3073" max="3073" width="19" style="11" customWidth="1"/>
    <col min="3074" max="3074" width="9.85546875" style="11" customWidth="1"/>
    <col min="3075" max="3076" width="12.42578125" style="11" customWidth="1"/>
    <col min="3077" max="3077" width="11.42578125" style="11" customWidth="1"/>
    <col min="3078" max="3078" width="16.5703125" style="11" customWidth="1"/>
    <col min="3079" max="3328" width="8.85546875" style="11"/>
    <col min="3329" max="3329" width="19" style="11" customWidth="1"/>
    <col min="3330" max="3330" width="9.85546875" style="11" customWidth="1"/>
    <col min="3331" max="3332" width="12.42578125" style="11" customWidth="1"/>
    <col min="3333" max="3333" width="11.42578125" style="11" customWidth="1"/>
    <col min="3334" max="3334" width="16.5703125" style="11" customWidth="1"/>
    <col min="3335" max="3584" width="8.85546875" style="11"/>
    <col min="3585" max="3585" width="19" style="11" customWidth="1"/>
    <col min="3586" max="3586" width="9.85546875" style="11" customWidth="1"/>
    <col min="3587" max="3588" width="12.42578125" style="11" customWidth="1"/>
    <col min="3589" max="3589" width="11.42578125" style="11" customWidth="1"/>
    <col min="3590" max="3590" width="16.5703125" style="11" customWidth="1"/>
    <col min="3591" max="3840" width="8.85546875" style="11"/>
    <col min="3841" max="3841" width="19" style="11" customWidth="1"/>
    <col min="3842" max="3842" width="9.85546875" style="11" customWidth="1"/>
    <col min="3843" max="3844" width="12.42578125" style="11" customWidth="1"/>
    <col min="3845" max="3845" width="11.42578125" style="11" customWidth="1"/>
    <col min="3846" max="3846" width="16.5703125" style="11" customWidth="1"/>
    <col min="3847" max="4096" width="8.85546875" style="11"/>
    <col min="4097" max="4097" width="19" style="11" customWidth="1"/>
    <col min="4098" max="4098" width="9.85546875" style="11" customWidth="1"/>
    <col min="4099" max="4100" width="12.42578125" style="11" customWidth="1"/>
    <col min="4101" max="4101" width="11.42578125" style="11" customWidth="1"/>
    <col min="4102" max="4102" width="16.5703125" style="11" customWidth="1"/>
    <col min="4103" max="4352" width="8.85546875" style="11"/>
    <col min="4353" max="4353" width="19" style="11" customWidth="1"/>
    <col min="4354" max="4354" width="9.85546875" style="11" customWidth="1"/>
    <col min="4355" max="4356" width="12.42578125" style="11" customWidth="1"/>
    <col min="4357" max="4357" width="11.42578125" style="11" customWidth="1"/>
    <col min="4358" max="4358" width="16.5703125" style="11" customWidth="1"/>
    <col min="4359" max="4608" width="8.85546875" style="11"/>
    <col min="4609" max="4609" width="19" style="11" customWidth="1"/>
    <col min="4610" max="4610" width="9.85546875" style="11" customWidth="1"/>
    <col min="4611" max="4612" width="12.42578125" style="11" customWidth="1"/>
    <col min="4613" max="4613" width="11.42578125" style="11" customWidth="1"/>
    <col min="4614" max="4614" width="16.5703125" style="11" customWidth="1"/>
    <col min="4615" max="4864" width="8.85546875" style="11"/>
    <col min="4865" max="4865" width="19" style="11" customWidth="1"/>
    <col min="4866" max="4866" width="9.85546875" style="11" customWidth="1"/>
    <col min="4867" max="4868" width="12.42578125" style="11" customWidth="1"/>
    <col min="4869" max="4869" width="11.42578125" style="11" customWidth="1"/>
    <col min="4870" max="4870" width="16.5703125" style="11" customWidth="1"/>
    <col min="4871" max="5120" width="8.85546875" style="11"/>
    <col min="5121" max="5121" width="19" style="11" customWidth="1"/>
    <col min="5122" max="5122" width="9.85546875" style="11" customWidth="1"/>
    <col min="5123" max="5124" width="12.42578125" style="11" customWidth="1"/>
    <col min="5125" max="5125" width="11.42578125" style="11" customWidth="1"/>
    <col min="5126" max="5126" width="16.5703125" style="11" customWidth="1"/>
    <col min="5127" max="5376" width="8.85546875" style="11"/>
    <col min="5377" max="5377" width="19" style="11" customWidth="1"/>
    <col min="5378" max="5378" width="9.85546875" style="11" customWidth="1"/>
    <col min="5379" max="5380" width="12.42578125" style="11" customWidth="1"/>
    <col min="5381" max="5381" width="11.42578125" style="11" customWidth="1"/>
    <col min="5382" max="5382" width="16.5703125" style="11" customWidth="1"/>
    <col min="5383" max="5632" width="8.85546875" style="11"/>
    <col min="5633" max="5633" width="19" style="11" customWidth="1"/>
    <col min="5634" max="5634" width="9.85546875" style="11" customWidth="1"/>
    <col min="5635" max="5636" width="12.42578125" style="11" customWidth="1"/>
    <col min="5637" max="5637" width="11.42578125" style="11" customWidth="1"/>
    <col min="5638" max="5638" width="16.5703125" style="11" customWidth="1"/>
    <col min="5639" max="5888" width="8.85546875" style="11"/>
    <col min="5889" max="5889" width="19" style="11" customWidth="1"/>
    <col min="5890" max="5890" width="9.85546875" style="11" customWidth="1"/>
    <col min="5891" max="5892" width="12.42578125" style="11" customWidth="1"/>
    <col min="5893" max="5893" width="11.42578125" style="11" customWidth="1"/>
    <col min="5894" max="5894" width="16.5703125" style="11" customWidth="1"/>
    <col min="5895" max="6144" width="8.85546875" style="11"/>
    <col min="6145" max="6145" width="19" style="11" customWidth="1"/>
    <col min="6146" max="6146" width="9.85546875" style="11" customWidth="1"/>
    <col min="6147" max="6148" width="12.42578125" style="11" customWidth="1"/>
    <col min="6149" max="6149" width="11.42578125" style="11" customWidth="1"/>
    <col min="6150" max="6150" width="16.5703125" style="11" customWidth="1"/>
    <col min="6151" max="6400" width="8.85546875" style="11"/>
    <col min="6401" max="6401" width="19" style="11" customWidth="1"/>
    <col min="6402" max="6402" width="9.85546875" style="11" customWidth="1"/>
    <col min="6403" max="6404" width="12.42578125" style="11" customWidth="1"/>
    <col min="6405" max="6405" width="11.42578125" style="11" customWidth="1"/>
    <col min="6406" max="6406" width="16.5703125" style="11" customWidth="1"/>
    <col min="6407" max="6656" width="8.85546875" style="11"/>
    <col min="6657" max="6657" width="19" style="11" customWidth="1"/>
    <col min="6658" max="6658" width="9.85546875" style="11" customWidth="1"/>
    <col min="6659" max="6660" width="12.42578125" style="11" customWidth="1"/>
    <col min="6661" max="6661" width="11.42578125" style="11" customWidth="1"/>
    <col min="6662" max="6662" width="16.5703125" style="11" customWidth="1"/>
    <col min="6663" max="6912" width="8.85546875" style="11"/>
    <col min="6913" max="6913" width="19" style="11" customWidth="1"/>
    <col min="6914" max="6914" width="9.85546875" style="11" customWidth="1"/>
    <col min="6915" max="6916" width="12.42578125" style="11" customWidth="1"/>
    <col min="6917" max="6917" width="11.42578125" style="11" customWidth="1"/>
    <col min="6918" max="6918" width="16.5703125" style="11" customWidth="1"/>
    <col min="6919" max="7168" width="8.85546875" style="11"/>
    <col min="7169" max="7169" width="19" style="11" customWidth="1"/>
    <col min="7170" max="7170" width="9.85546875" style="11" customWidth="1"/>
    <col min="7171" max="7172" width="12.42578125" style="11" customWidth="1"/>
    <col min="7173" max="7173" width="11.42578125" style="11" customWidth="1"/>
    <col min="7174" max="7174" width="16.5703125" style="11" customWidth="1"/>
    <col min="7175" max="7424" width="8.85546875" style="11"/>
    <col min="7425" max="7425" width="19" style="11" customWidth="1"/>
    <col min="7426" max="7426" width="9.85546875" style="11" customWidth="1"/>
    <col min="7427" max="7428" width="12.42578125" style="11" customWidth="1"/>
    <col min="7429" max="7429" width="11.42578125" style="11" customWidth="1"/>
    <col min="7430" max="7430" width="16.5703125" style="11" customWidth="1"/>
    <col min="7431" max="7680" width="8.85546875" style="11"/>
    <col min="7681" max="7681" width="19" style="11" customWidth="1"/>
    <col min="7682" max="7682" width="9.85546875" style="11" customWidth="1"/>
    <col min="7683" max="7684" width="12.42578125" style="11" customWidth="1"/>
    <col min="7685" max="7685" width="11.42578125" style="11" customWidth="1"/>
    <col min="7686" max="7686" width="16.5703125" style="11" customWidth="1"/>
    <col min="7687" max="7936" width="8.85546875" style="11"/>
    <col min="7937" max="7937" width="19" style="11" customWidth="1"/>
    <col min="7938" max="7938" width="9.85546875" style="11" customWidth="1"/>
    <col min="7939" max="7940" width="12.42578125" style="11" customWidth="1"/>
    <col min="7941" max="7941" width="11.42578125" style="11" customWidth="1"/>
    <col min="7942" max="7942" width="16.5703125" style="11" customWidth="1"/>
    <col min="7943" max="8192" width="8.85546875" style="11"/>
    <col min="8193" max="8193" width="19" style="11" customWidth="1"/>
    <col min="8194" max="8194" width="9.85546875" style="11" customWidth="1"/>
    <col min="8195" max="8196" width="12.42578125" style="11" customWidth="1"/>
    <col min="8197" max="8197" width="11.42578125" style="11" customWidth="1"/>
    <col min="8198" max="8198" width="16.5703125" style="11" customWidth="1"/>
    <col min="8199" max="8448" width="8.85546875" style="11"/>
    <col min="8449" max="8449" width="19" style="11" customWidth="1"/>
    <col min="8450" max="8450" width="9.85546875" style="11" customWidth="1"/>
    <col min="8451" max="8452" width="12.42578125" style="11" customWidth="1"/>
    <col min="8453" max="8453" width="11.42578125" style="11" customWidth="1"/>
    <col min="8454" max="8454" width="16.5703125" style="11" customWidth="1"/>
    <col min="8455" max="8704" width="8.85546875" style="11"/>
    <col min="8705" max="8705" width="19" style="11" customWidth="1"/>
    <col min="8706" max="8706" width="9.85546875" style="11" customWidth="1"/>
    <col min="8707" max="8708" width="12.42578125" style="11" customWidth="1"/>
    <col min="8709" max="8709" width="11.42578125" style="11" customWidth="1"/>
    <col min="8710" max="8710" width="16.5703125" style="11" customWidth="1"/>
    <col min="8711" max="8960" width="8.85546875" style="11"/>
    <col min="8961" max="8961" width="19" style="11" customWidth="1"/>
    <col min="8962" max="8962" width="9.85546875" style="11" customWidth="1"/>
    <col min="8963" max="8964" width="12.42578125" style="11" customWidth="1"/>
    <col min="8965" max="8965" width="11.42578125" style="11" customWidth="1"/>
    <col min="8966" max="8966" width="16.5703125" style="11" customWidth="1"/>
    <col min="8967" max="9216" width="8.85546875" style="11"/>
    <col min="9217" max="9217" width="19" style="11" customWidth="1"/>
    <col min="9218" max="9218" width="9.85546875" style="11" customWidth="1"/>
    <col min="9219" max="9220" width="12.42578125" style="11" customWidth="1"/>
    <col min="9221" max="9221" width="11.42578125" style="11" customWidth="1"/>
    <col min="9222" max="9222" width="16.5703125" style="11" customWidth="1"/>
    <col min="9223" max="9472" width="8.85546875" style="11"/>
    <col min="9473" max="9473" width="19" style="11" customWidth="1"/>
    <col min="9474" max="9474" width="9.85546875" style="11" customWidth="1"/>
    <col min="9475" max="9476" width="12.42578125" style="11" customWidth="1"/>
    <col min="9477" max="9477" width="11.42578125" style="11" customWidth="1"/>
    <col min="9478" max="9478" width="16.5703125" style="11" customWidth="1"/>
    <col min="9479" max="9728" width="8.85546875" style="11"/>
    <col min="9729" max="9729" width="19" style="11" customWidth="1"/>
    <col min="9730" max="9730" width="9.85546875" style="11" customWidth="1"/>
    <col min="9731" max="9732" width="12.42578125" style="11" customWidth="1"/>
    <col min="9733" max="9733" width="11.42578125" style="11" customWidth="1"/>
    <col min="9734" max="9734" width="16.5703125" style="11" customWidth="1"/>
    <col min="9735" max="9984" width="8.85546875" style="11"/>
    <col min="9985" max="9985" width="19" style="11" customWidth="1"/>
    <col min="9986" max="9986" width="9.85546875" style="11" customWidth="1"/>
    <col min="9987" max="9988" width="12.42578125" style="11" customWidth="1"/>
    <col min="9989" max="9989" width="11.42578125" style="11" customWidth="1"/>
    <col min="9990" max="9990" width="16.5703125" style="11" customWidth="1"/>
    <col min="9991" max="10240" width="8.85546875" style="11"/>
    <col min="10241" max="10241" width="19" style="11" customWidth="1"/>
    <col min="10242" max="10242" width="9.85546875" style="11" customWidth="1"/>
    <col min="10243" max="10244" width="12.42578125" style="11" customWidth="1"/>
    <col min="10245" max="10245" width="11.42578125" style="11" customWidth="1"/>
    <col min="10246" max="10246" width="16.5703125" style="11" customWidth="1"/>
    <col min="10247" max="10496" width="8.85546875" style="11"/>
    <col min="10497" max="10497" width="19" style="11" customWidth="1"/>
    <col min="10498" max="10498" width="9.85546875" style="11" customWidth="1"/>
    <col min="10499" max="10500" width="12.42578125" style="11" customWidth="1"/>
    <col min="10501" max="10501" width="11.42578125" style="11" customWidth="1"/>
    <col min="10502" max="10502" width="16.5703125" style="11" customWidth="1"/>
    <col min="10503" max="10752" width="8.85546875" style="11"/>
    <col min="10753" max="10753" width="19" style="11" customWidth="1"/>
    <col min="10754" max="10754" width="9.85546875" style="11" customWidth="1"/>
    <col min="10755" max="10756" width="12.42578125" style="11" customWidth="1"/>
    <col min="10757" max="10757" width="11.42578125" style="11" customWidth="1"/>
    <col min="10758" max="10758" width="16.5703125" style="11" customWidth="1"/>
    <col min="10759" max="11008" width="8.85546875" style="11"/>
    <col min="11009" max="11009" width="19" style="11" customWidth="1"/>
    <col min="11010" max="11010" width="9.85546875" style="11" customWidth="1"/>
    <col min="11011" max="11012" width="12.42578125" style="11" customWidth="1"/>
    <col min="11013" max="11013" width="11.42578125" style="11" customWidth="1"/>
    <col min="11014" max="11014" width="16.5703125" style="11" customWidth="1"/>
    <col min="11015" max="11264" width="8.85546875" style="11"/>
    <col min="11265" max="11265" width="19" style="11" customWidth="1"/>
    <col min="11266" max="11266" width="9.85546875" style="11" customWidth="1"/>
    <col min="11267" max="11268" width="12.42578125" style="11" customWidth="1"/>
    <col min="11269" max="11269" width="11.42578125" style="11" customWidth="1"/>
    <col min="11270" max="11270" width="16.5703125" style="11" customWidth="1"/>
    <col min="11271" max="11520" width="8.85546875" style="11"/>
    <col min="11521" max="11521" width="19" style="11" customWidth="1"/>
    <col min="11522" max="11522" width="9.85546875" style="11" customWidth="1"/>
    <col min="11523" max="11524" width="12.42578125" style="11" customWidth="1"/>
    <col min="11525" max="11525" width="11.42578125" style="11" customWidth="1"/>
    <col min="11526" max="11526" width="16.5703125" style="11" customWidth="1"/>
    <col min="11527" max="11776" width="8.85546875" style="11"/>
    <col min="11777" max="11777" width="19" style="11" customWidth="1"/>
    <col min="11778" max="11778" width="9.85546875" style="11" customWidth="1"/>
    <col min="11779" max="11780" width="12.42578125" style="11" customWidth="1"/>
    <col min="11781" max="11781" width="11.42578125" style="11" customWidth="1"/>
    <col min="11782" max="11782" width="16.5703125" style="11" customWidth="1"/>
    <col min="11783" max="12032" width="8.85546875" style="11"/>
    <col min="12033" max="12033" width="19" style="11" customWidth="1"/>
    <col min="12034" max="12034" width="9.85546875" style="11" customWidth="1"/>
    <col min="12035" max="12036" width="12.42578125" style="11" customWidth="1"/>
    <col min="12037" max="12037" width="11.42578125" style="11" customWidth="1"/>
    <col min="12038" max="12038" width="16.5703125" style="11" customWidth="1"/>
    <col min="12039" max="12288" width="8.85546875" style="11"/>
    <col min="12289" max="12289" width="19" style="11" customWidth="1"/>
    <col min="12290" max="12290" width="9.85546875" style="11" customWidth="1"/>
    <col min="12291" max="12292" width="12.42578125" style="11" customWidth="1"/>
    <col min="12293" max="12293" width="11.42578125" style="11" customWidth="1"/>
    <col min="12294" max="12294" width="16.5703125" style="11" customWidth="1"/>
    <col min="12295" max="12544" width="8.85546875" style="11"/>
    <col min="12545" max="12545" width="19" style="11" customWidth="1"/>
    <col min="12546" max="12546" width="9.85546875" style="11" customWidth="1"/>
    <col min="12547" max="12548" width="12.42578125" style="11" customWidth="1"/>
    <col min="12549" max="12549" width="11.42578125" style="11" customWidth="1"/>
    <col min="12550" max="12550" width="16.5703125" style="11" customWidth="1"/>
    <col min="12551" max="12800" width="8.85546875" style="11"/>
    <col min="12801" max="12801" width="19" style="11" customWidth="1"/>
    <col min="12802" max="12802" width="9.85546875" style="11" customWidth="1"/>
    <col min="12803" max="12804" width="12.42578125" style="11" customWidth="1"/>
    <col min="12805" max="12805" width="11.42578125" style="11" customWidth="1"/>
    <col min="12806" max="12806" width="16.5703125" style="11" customWidth="1"/>
    <col min="12807" max="13056" width="8.85546875" style="11"/>
    <col min="13057" max="13057" width="19" style="11" customWidth="1"/>
    <col min="13058" max="13058" width="9.85546875" style="11" customWidth="1"/>
    <col min="13059" max="13060" width="12.42578125" style="11" customWidth="1"/>
    <col min="13061" max="13061" width="11.42578125" style="11" customWidth="1"/>
    <col min="13062" max="13062" width="16.5703125" style="11" customWidth="1"/>
    <col min="13063" max="13312" width="8.85546875" style="11"/>
    <col min="13313" max="13313" width="19" style="11" customWidth="1"/>
    <col min="13314" max="13314" width="9.85546875" style="11" customWidth="1"/>
    <col min="13315" max="13316" width="12.42578125" style="11" customWidth="1"/>
    <col min="13317" max="13317" width="11.42578125" style="11" customWidth="1"/>
    <col min="13318" max="13318" width="16.5703125" style="11" customWidth="1"/>
    <col min="13319" max="13568" width="8.85546875" style="11"/>
    <col min="13569" max="13569" width="19" style="11" customWidth="1"/>
    <col min="13570" max="13570" width="9.85546875" style="11" customWidth="1"/>
    <col min="13571" max="13572" width="12.42578125" style="11" customWidth="1"/>
    <col min="13573" max="13573" width="11.42578125" style="11" customWidth="1"/>
    <col min="13574" max="13574" width="16.5703125" style="11" customWidth="1"/>
    <col min="13575" max="13824" width="8.85546875" style="11"/>
    <col min="13825" max="13825" width="19" style="11" customWidth="1"/>
    <col min="13826" max="13826" width="9.85546875" style="11" customWidth="1"/>
    <col min="13827" max="13828" width="12.42578125" style="11" customWidth="1"/>
    <col min="13829" max="13829" width="11.42578125" style="11" customWidth="1"/>
    <col min="13830" max="13830" width="16.5703125" style="11" customWidth="1"/>
    <col min="13831" max="14080" width="8.85546875" style="11"/>
    <col min="14081" max="14081" width="19" style="11" customWidth="1"/>
    <col min="14082" max="14082" width="9.85546875" style="11" customWidth="1"/>
    <col min="14083" max="14084" width="12.42578125" style="11" customWidth="1"/>
    <col min="14085" max="14085" width="11.42578125" style="11" customWidth="1"/>
    <col min="14086" max="14086" width="16.5703125" style="11" customWidth="1"/>
    <col min="14087" max="14336" width="8.85546875" style="11"/>
    <col min="14337" max="14337" width="19" style="11" customWidth="1"/>
    <col min="14338" max="14338" width="9.85546875" style="11" customWidth="1"/>
    <col min="14339" max="14340" width="12.42578125" style="11" customWidth="1"/>
    <col min="14341" max="14341" width="11.42578125" style="11" customWidth="1"/>
    <col min="14342" max="14342" width="16.5703125" style="11" customWidth="1"/>
    <col min="14343" max="14592" width="8.85546875" style="11"/>
    <col min="14593" max="14593" width="19" style="11" customWidth="1"/>
    <col min="14594" max="14594" width="9.85546875" style="11" customWidth="1"/>
    <col min="14595" max="14596" width="12.42578125" style="11" customWidth="1"/>
    <col min="14597" max="14597" width="11.42578125" style="11" customWidth="1"/>
    <col min="14598" max="14598" width="16.5703125" style="11" customWidth="1"/>
    <col min="14599" max="14848" width="8.85546875" style="11"/>
    <col min="14849" max="14849" width="19" style="11" customWidth="1"/>
    <col min="14850" max="14850" width="9.85546875" style="11" customWidth="1"/>
    <col min="14851" max="14852" width="12.42578125" style="11" customWidth="1"/>
    <col min="14853" max="14853" width="11.42578125" style="11" customWidth="1"/>
    <col min="14854" max="14854" width="16.5703125" style="11" customWidth="1"/>
    <col min="14855" max="15104" width="8.85546875" style="11"/>
    <col min="15105" max="15105" width="19" style="11" customWidth="1"/>
    <col min="15106" max="15106" width="9.85546875" style="11" customWidth="1"/>
    <col min="15107" max="15108" width="12.42578125" style="11" customWidth="1"/>
    <col min="15109" max="15109" width="11.42578125" style="11" customWidth="1"/>
    <col min="15110" max="15110" width="16.5703125" style="11" customWidth="1"/>
    <col min="15111" max="15360" width="8.85546875" style="11"/>
    <col min="15361" max="15361" width="19" style="11" customWidth="1"/>
    <col min="15362" max="15362" width="9.85546875" style="11" customWidth="1"/>
    <col min="15363" max="15364" width="12.42578125" style="11" customWidth="1"/>
    <col min="15365" max="15365" width="11.42578125" style="11" customWidth="1"/>
    <col min="15366" max="15366" width="16.5703125" style="11" customWidth="1"/>
    <col min="15367" max="15616" width="8.85546875" style="11"/>
    <col min="15617" max="15617" width="19" style="11" customWidth="1"/>
    <col min="15618" max="15618" width="9.85546875" style="11" customWidth="1"/>
    <col min="15619" max="15620" width="12.42578125" style="11" customWidth="1"/>
    <col min="15621" max="15621" width="11.42578125" style="11" customWidth="1"/>
    <col min="15622" max="15622" width="16.5703125" style="11" customWidth="1"/>
    <col min="15623" max="15872" width="8.85546875" style="11"/>
    <col min="15873" max="15873" width="19" style="11" customWidth="1"/>
    <col min="15874" max="15874" width="9.85546875" style="11" customWidth="1"/>
    <col min="15875" max="15876" width="12.42578125" style="11" customWidth="1"/>
    <col min="15877" max="15877" width="11.42578125" style="11" customWidth="1"/>
    <col min="15878" max="15878" width="16.5703125" style="11" customWidth="1"/>
    <col min="15879" max="16128" width="8.85546875" style="11"/>
    <col min="16129" max="16129" width="19" style="11" customWidth="1"/>
    <col min="16130" max="16130" width="9.85546875" style="11" customWidth="1"/>
    <col min="16131" max="16132" width="12.42578125" style="11" customWidth="1"/>
    <col min="16133" max="16133" width="11.42578125" style="11" customWidth="1"/>
    <col min="16134" max="16134" width="16.5703125" style="11" customWidth="1"/>
    <col min="16135" max="16384" width="8.85546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130">
        <v>137.57112194445477</v>
      </c>
      <c r="C13" s="130">
        <v>75.848899722255098</v>
      </c>
    </row>
    <row r="14" spans="1:17">
      <c r="B14" s="70"/>
      <c r="C14" s="70"/>
      <c r="D14" s="40"/>
    </row>
    <row r="15" spans="1:17">
      <c r="A15" s="11" t="s">
        <v>89</v>
      </c>
      <c r="B15" s="131">
        <v>0.69212211388844735</v>
      </c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>
        <f>SUMPRODUCT(C6:D6,B13:C13) +B6</f>
        <v>0.69212211388885336</v>
      </c>
      <c r="C19" s="40">
        <f>SUMPRODUCT(C7:D7, B13:C13) + B7</f>
        <v>0.69212211388844747</v>
      </c>
    </row>
    <row r="20" spans="1:7">
      <c r="B20" s="23" t="s">
        <v>278</v>
      </c>
      <c r="C20" s="23" t="s">
        <v>278</v>
      </c>
    </row>
    <row r="21" spans="1:7">
      <c r="A21" s="11" t="s">
        <v>89</v>
      </c>
      <c r="B21" s="40">
        <f>$B$15</f>
        <v>0.69212211388844735</v>
      </c>
      <c r="C21" s="40">
        <f>$B$15</f>
        <v>0.69212211388844735</v>
      </c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>
        <f>SUMPRODUCT(B19:C19,B13:C13)</f>
        <v>147.71271654213734</v>
      </c>
      <c r="C24" s="71"/>
    </row>
    <row r="25" spans="1:7">
      <c r="A25" s="11" t="s">
        <v>293</v>
      </c>
      <c r="B25" s="71">
        <f>$B$9*B15</f>
        <v>51.909158541633552</v>
      </c>
    </row>
    <row r="26" spans="1:7">
      <c r="A26" s="11" t="s">
        <v>181</v>
      </c>
      <c r="B26" s="132">
        <f>B24-B25</f>
        <v>95.803558000503784</v>
      </c>
    </row>
    <row r="28" spans="1:7">
      <c r="A28" s="20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9189-507B-492C-B892-EA89AEC44AA6}">
  <dimension ref="A1:G6"/>
  <sheetViews>
    <sheetView workbookViewId="0">
      <selection activeCell="H4" sqref="H4"/>
    </sheetView>
  </sheetViews>
  <sheetFormatPr defaultRowHeight="15"/>
  <sheetData>
    <row r="1" spans="1:7">
      <c r="B1" s="2" t="s">
        <v>296</v>
      </c>
      <c r="C1" s="2" t="s">
        <v>297</v>
      </c>
      <c r="D1" s="2" t="s">
        <v>601</v>
      </c>
      <c r="E1" s="2"/>
    </row>
    <row r="2" spans="1:7">
      <c r="A2" t="s">
        <v>457</v>
      </c>
      <c r="B2" s="52">
        <v>0.1818181818181818</v>
      </c>
      <c r="C2" s="52">
        <v>0.81818181818181812</v>
      </c>
      <c r="D2" s="52">
        <v>-4.3636363636363633</v>
      </c>
    </row>
    <row r="3" spans="1:7">
      <c r="A3" t="s">
        <v>602</v>
      </c>
      <c r="B3">
        <v>0</v>
      </c>
      <c r="C3">
        <v>0</v>
      </c>
      <c r="D3">
        <v>1</v>
      </c>
      <c r="E3" s="101">
        <f t="shared" ref="E3:E5" si="0">SUMPRODUCT(B3:D3,$B$2:$D$2)</f>
        <v>-4.3636363636363633</v>
      </c>
      <c r="F3" s="2"/>
    </row>
    <row r="4" spans="1:7">
      <c r="A4" t="s">
        <v>603</v>
      </c>
      <c r="B4">
        <v>12</v>
      </c>
      <c r="C4">
        <v>-8</v>
      </c>
      <c r="D4">
        <v>-1</v>
      </c>
      <c r="E4">
        <f t="shared" si="0"/>
        <v>0</v>
      </c>
      <c r="F4" s="2" t="s">
        <v>220</v>
      </c>
      <c r="G4">
        <v>0</v>
      </c>
    </row>
    <row r="5" spans="1:7">
      <c r="A5" t="s">
        <v>604</v>
      </c>
      <c r="B5">
        <v>-6</v>
      </c>
      <c r="C5">
        <v>-4</v>
      </c>
      <c r="D5">
        <v>-1</v>
      </c>
      <c r="E5">
        <f t="shared" si="0"/>
        <v>0</v>
      </c>
      <c r="F5" s="2" t="s">
        <v>220</v>
      </c>
      <c r="G5">
        <v>0</v>
      </c>
    </row>
    <row r="6" spans="1:7">
      <c r="A6" t="s">
        <v>605</v>
      </c>
      <c r="B6">
        <v>1</v>
      </c>
      <c r="C6">
        <v>1</v>
      </c>
      <c r="D6">
        <v>0</v>
      </c>
      <c r="E6">
        <f>SUMPRODUCT(B6:D6,$B$2:$D$2)</f>
        <v>0.99999999999999989</v>
      </c>
      <c r="F6" s="2" t="s">
        <v>354</v>
      </c>
      <c r="G6">
        <v>1</v>
      </c>
    </row>
  </sheetData>
  <phoneticPr fontId="1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L17" sqref="L17"/>
    </sheetView>
  </sheetViews>
  <sheetFormatPr defaultRowHeight="15"/>
  <cols>
    <col min="1" max="1" width="21.85546875" style="11" customWidth="1"/>
    <col min="2" max="5" width="16.85546875" style="11" customWidth="1"/>
    <col min="6" max="6" width="17.85546875" style="11" customWidth="1"/>
    <col min="7" max="7" width="11.5703125" style="11" customWidth="1"/>
    <col min="8" max="256" width="8.85546875" style="11"/>
    <col min="257" max="257" width="21.85546875" style="11" customWidth="1"/>
    <col min="258" max="261" width="16.85546875" style="11" customWidth="1"/>
    <col min="262" max="262" width="17.85546875" style="11" customWidth="1"/>
    <col min="263" max="263" width="11.5703125" style="11" customWidth="1"/>
    <col min="264" max="512" width="8.85546875" style="11"/>
    <col min="513" max="513" width="21.85546875" style="11" customWidth="1"/>
    <col min="514" max="517" width="16.85546875" style="11" customWidth="1"/>
    <col min="518" max="518" width="17.85546875" style="11" customWidth="1"/>
    <col min="519" max="519" width="11.5703125" style="11" customWidth="1"/>
    <col min="520" max="768" width="8.85546875" style="11"/>
    <col min="769" max="769" width="21.85546875" style="11" customWidth="1"/>
    <col min="770" max="773" width="16.85546875" style="11" customWidth="1"/>
    <col min="774" max="774" width="17.85546875" style="11" customWidth="1"/>
    <col min="775" max="775" width="11.5703125" style="11" customWidth="1"/>
    <col min="776" max="1024" width="8.85546875" style="11"/>
    <col min="1025" max="1025" width="21.85546875" style="11" customWidth="1"/>
    <col min="1026" max="1029" width="16.85546875" style="11" customWidth="1"/>
    <col min="1030" max="1030" width="17.85546875" style="11" customWidth="1"/>
    <col min="1031" max="1031" width="11.5703125" style="11" customWidth="1"/>
    <col min="1032" max="1280" width="8.85546875" style="11"/>
    <col min="1281" max="1281" width="21.85546875" style="11" customWidth="1"/>
    <col min="1282" max="1285" width="16.85546875" style="11" customWidth="1"/>
    <col min="1286" max="1286" width="17.85546875" style="11" customWidth="1"/>
    <col min="1287" max="1287" width="11.5703125" style="11" customWidth="1"/>
    <col min="1288" max="1536" width="8.85546875" style="11"/>
    <col min="1537" max="1537" width="21.85546875" style="11" customWidth="1"/>
    <col min="1538" max="1541" width="16.85546875" style="11" customWidth="1"/>
    <col min="1542" max="1542" width="17.85546875" style="11" customWidth="1"/>
    <col min="1543" max="1543" width="11.5703125" style="11" customWidth="1"/>
    <col min="1544" max="1792" width="8.85546875" style="11"/>
    <col min="1793" max="1793" width="21.85546875" style="11" customWidth="1"/>
    <col min="1794" max="1797" width="16.85546875" style="11" customWidth="1"/>
    <col min="1798" max="1798" width="17.85546875" style="11" customWidth="1"/>
    <col min="1799" max="1799" width="11.5703125" style="11" customWidth="1"/>
    <col min="1800" max="2048" width="8.85546875" style="11"/>
    <col min="2049" max="2049" width="21.85546875" style="11" customWidth="1"/>
    <col min="2050" max="2053" width="16.85546875" style="11" customWidth="1"/>
    <col min="2054" max="2054" width="17.85546875" style="11" customWidth="1"/>
    <col min="2055" max="2055" width="11.5703125" style="11" customWidth="1"/>
    <col min="2056" max="2304" width="8.85546875" style="11"/>
    <col min="2305" max="2305" width="21.85546875" style="11" customWidth="1"/>
    <col min="2306" max="2309" width="16.85546875" style="11" customWidth="1"/>
    <col min="2310" max="2310" width="17.85546875" style="11" customWidth="1"/>
    <col min="2311" max="2311" width="11.5703125" style="11" customWidth="1"/>
    <col min="2312" max="2560" width="8.85546875" style="11"/>
    <col min="2561" max="2561" width="21.85546875" style="11" customWidth="1"/>
    <col min="2562" max="2565" width="16.85546875" style="11" customWidth="1"/>
    <col min="2566" max="2566" width="17.85546875" style="11" customWidth="1"/>
    <col min="2567" max="2567" width="11.5703125" style="11" customWidth="1"/>
    <col min="2568" max="2816" width="8.85546875" style="11"/>
    <col min="2817" max="2817" width="21.85546875" style="11" customWidth="1"/>
    <col min="2818" max="2821" width="16.85546875" style="11" customWidth="1"/>
    <col min="2822" max="2822" width="17.85546875" style="11" customWidth="1"/>
    <col min="2823" max="2823" width="11.5703125" style="11" customWidth="1"/>
    <col min="2824" max="3072" width="8.85546875" style="11"/>
    <col min="3073" max="3073" width="21.85546875" style="11" customWidth="1"/>
    <col min="3074" max="3077" width="16.85546875" style="11" customWidth="1"/>
    <col min="3078" max="3078" width="17.85546875" style="11" customWidth="1"/>
    <col min="3079" max="3079" width="11.5703125" style="11" customWidth="1"/>
    <col min="3080" max="3328" width="8.85546875" style="11"/>
    <col min="3329" max="3329" width="21.85546875" style="11" customWidth="1"/>
    <col min="3330" max="3333" width="16.85546875" style="11" customWidth="1"/>
    <col min="3334" max="3334" width="17.85546875" style="11" customWidth="1"/>
    <col min="3335" max="3335" width="11.5703125" style="11" customWidth="1"/>
    <col min="3336" max="3584" width="8.85546875" style="11"/>
    <col min="3585" max="3585" width="21.85546875" style="11" customWidth="1"/>
    <col min="3586" max="3589" width="16.85546875" style="11" customWidth="1"/>
    <col min="3590" max="3590" width="17.85546875" style="11" customWidth="1"/>
    <col min="3591" max="3591" width="11.5703125" style="11" customWidth="1"/>
    <col min="3592" max="3840" width="8.85546875" style="11"/>
    <col min="3841" max="3841" width="21.85546875" style="11" customWidth="1"/>
    <col min="3842" max="3845" width="16.85546875" style="11" customWidth="1"/>
    <col min="3846" max="3846" width="17.85546875" style="11" customWidth="1"/>
    <col min="3847" max="3847" width="11.5703125" style="11" customWidth="1"/>
    <col min="3848" max="4096" width="8.85546875" style="11"/>
    <col min="4097" max="4097" width="21.85546875" style="11" customWidth="1"/>
    <col min="4098" max="4101" width="16.85546875" style="11" customWidth="1"/>
    <col min="4102" max="4102" width="17.85546875" style="11" customWidth="1"/>
    <col min="4103" max="4103" width="11.5703125" style="11" customWidth="1"/>
    <col min="4104" max="4352" width="8.85546875" style="11"/>
    <col min="4353" max="4353" width="21.85546875" style="11" customWidth="1"/>
    <col min="4354" max="4357" width="16.85546875" style="11" customWidth="1"/>
    <col min="4358" max="4358" width="17.85546875" style="11" customWidth="1"/>
    <col min="4359" max="4359" width="11.5703125" style="11" customWidth="1"/>
    <col min="4360" max="4608" width="8.85546875" style="11"/>
    <col min="4609" max="4609" width="21.85546875" style="11" customWidth="1"/>
    <col min="4610" max="4613" width="16.85546875" style="11" customWidth="1"/>
    <col min="4614" max="4614" width="17.85546875" style="11" customWidth="1"/>
    <col min="4615" max="4615" width="11.5703125" style="11" customWidth="1"/>
    <col min="4616" max="4864" width="8.85546875" style="11"/>
    <col min="4865" max="4865" width="21.85546875" style="11" customWidth="1"/>
    <col min="4866" max="4869" width="16.85546875" style="11" customWidth="1"/>
    <col min="4870" max="4870" width="17.85546875" style="11" customWidth="1"/>
    <col min="4871" max="4871" width="11.5703125" style="11" customWidth="1"/>
    <col min="4872" max="5120" width="8.85546875" style="11"/>
    <col min="5121" max="5121" width="21.85546875" style="11" customWidth="1"/>
    <col min="5122" max="5125" width="16.85546875" style="11" customWidth="1"/>
    <col min="5126" max="5126" width="17.85546875" style="11" customWidth="1"/>
    <col min="5127" max="5127" width="11.5703125" style="11" customWidth="1"/>
    <col min="5128" max="5376" width="8.85546875" style="11"/>
    <col min="5377" max="5377" width="21.85546875" style="11" customWidth="1"/>
    <col min="5378" max="5381" width="16.85546875" style="11" customWidth="1"/>
    <col min="5382" max="5382" width="17.85546875" style="11" customWidth="1"/>
    <col min="5383" max="5383" width="11.5703125" style="11" customWidth="1"/>
    <col min="5384" max="5632" width="8.85546875" style="11"/>
    <col min="5633" max="5633" width="21.85546875" style="11" customWidth="1"/>
    <col min="5634" max="5637" width="16.85546875" style="11" customWidth="1"/>
    <col min="5638" max="5638" width="17.85546875" style="11" customWidth="1"/>
    <col min="5639" max="5639" width="11.5703125" style="11" customWidth="1"/>
    <col min="5640" max="5888" width="8.85546875" style="11"/>
    <col min="5889" max="5889" width="21.85546875" style="11" customWidth="1"/>
    <col min="5890" max="5893" width="16.85546875" style="11" customWidth="1"/>
    <col min="5894" max="5894" width="17.85546875" style="11" customWidth="1"/>
    <col min="5895" max="5895" width="11.5703125" style="11" customWidth="1"/>
    <col min="5896" max="6144" width="8.85546875" style="11"/>
    <col min="6145" max="6145" width="21.85546875" style="11" customWidth="1"/>
    <col min="6146" max="6149" width="16.85546875" style="11" customWidth="1"/>
    <col min="6150" max="6150" width="17.85546875" style="11" customWidth="1"/>
    <col min="6151" max="6151" width="11.5703125" style="11" customWidth="1"/>
    <col min="6152" max="6400" width="8.85546875" style="11"/>
    <col min="6401" max="6401" width="21.85546875" style="11" customWidth="1"/>
    <col min="6402" max="6405" width="16.85546875" style="11" customWidth="1"/>
    <col min="6406" max="6406" width="17.85546875" style="11" customWidth="1"/>
    <col min="6407" max="6407" width="11.5703125" style="11" customWidth="1"/>
    <col min="6408" max="6656" width="8.85546875" style="11"/>
    <col min="6657" max="6657" width="21.85546875" style="11" customWidth="1"/>
    <col min="6658" max="6661" width="16.85546875" style="11" customWidth="1"/>
    <col min="6662" max="6662" width="17.85546875" style="11" customWidth="1"/>
    <col min="6663" max="6663" width="11.5703125" style="11" customWidth="1"/>
    <col min="6664" max="6912" width="8.85546875" style="11"/>
    <col min="6913" max="6913" width="21.85546875" style="11" customWidth="1"/>
    <col min="6914" max="6917" width="16.85546875" style="11" customWidth="1"/>
    <col min="6918" max="6918" width="17.85546875" style="11" customWidth="1"/>
    <col min="6919" max="6919" width="11.5703125" style="11" customWidth="1"/>
    <col min="6920" max="7168" width="8.85546875" style="11"/>
    <col min="7169" max="7169" width="21.85546875" style="11" customWidth="1"/>
    <col min="7170" max="7173" width="16.85546875" style="11" customWidth="1"/>
    <col min="7174" max="7174" width="17.85546875" style="11" customWidth="1"/>
    <col min="7175" max="7175" width="11.5703125" style="11" customWidth="1"/>
    <col min="7176" max="7424" width="8.85546875" style="11"/>
    <col min="7425" max="7425" width="21.85546875" style="11" customWidth="1"/>
    <col min="7426" max="7429" width="16.85546875" style="11" customWidth="1"/>
    <col min="7430" max="7430" width="17.85546875" style="11" customWidth="1"/>
    <col min="7431" max="7431" width="11.5703125" style="11" customWidth="1"/>
    <col min="7432" max="7680" width="8.85546875" style="11"/>
    <col min="7681" max="7681" width="21.85546875" style="11" customWidth="1"/>
    <col min="7682" max="7685" width="16.85546875" style="11" customWidth="1"/>
    <col min="7686" max="7686" width="17.85546875" style="11" customWidth="1"/>
    <col min="7687" max="7687" width="11.5703125" style="11" customWidth="1"/>
    <col min="7688" max="7936" width="8.85546875" style="11"/>
    <col min="7937" max="7937" width="21.85546875" style="11" customWidth="1"/>
    <col min="7938" max="7941" width="16.85546875" style="11" customWidth="1"/>
    <col min="7942" max="7942" width="17.85546875" style="11" customWidth="1"/>
    <col min="7943" max="7943" width="11.5703125" style="11" customWidth="1"/>
    <col min="7944" max="8192" width="8.85546875" style="11"/>
    <col min="8193" max="8193" width="21.85546875" style="11" customWidth="1"/>
    <col min="8194" max="8197" width="16.85546875" style="11" customWidth="1"/>
    <col min="8198" max="8198" width="17.85546875" style="11" customWidth="1"/>
    <col min="8199" max="8199" width="11.5703125" style="11" customWidth="1"/>
    <col min="8200" max="8448" width="8.85546875" style="11"/>
    <col min="8449" max="8449" width="21.85546875" style="11" customWidth="1"/>
    <col min="8450" max="8453" width="16.85546875" style="11" customWidth="1"/>
    <col min="8454" max="8454" width="17.85546875" style="11" customWidth="1"/>
    <col min="8455" max="8455" width="11.5703125" style="11" customWidth="1"/>
    <col min="8456" max="8704" width="8.85546875" style="11"/>
    <col min="8705" max="8705" width="21.85546875" style="11" customWidth="1"/>
    <col min="8706" max="8709" width="16.85546875" style="11" customWidth="1"/>
    <col min="8710" max="8710" width="17.85546875" style="11" customWidth="1"/>
    <col min="8711" max="8711" width="11.5703125" style="11" customWidth="1"/>
    <col min="8712" max="8960" width="8.85546875" style="11"/>
    <col min="8961" max="8961" width="21.85546875" style="11" customWidth="1"/>
    <col min="8962" max="8965" width="16.85546875" style="11" customWidth="1"/>
    <col min="8966" max="8966" width="17.85546875" style="11" customWidth="1"/>
    <col min="8967" max="8967" width="11.5703125" style="11" customWidth="1"/>
    <col min="8968" max="9216" width="8.85546875" style="11"/>
    <col min="9217" max="9217" width="21.85546875" style="11" customWidth="1"/>
    <col min="9218" max="9221" width="16.85546875" style="11" customWidth="1"/>
    <col min="9222" max="9222" width="17.85546875" style="11" customWidth="1"/>
    <col min="9223" max="9223" width="11.5703125" style="11" customWidth="1"/>
    <col min="9224" max="9472" width="8.85546875" style="11"/>
    <col min="9473" max="9473" width="21.85546875" style="11" customWidth="1"/>
    <col min="9474" max="9477" width="16.85546875" style="11" customWidth="1"/>
    <col min="9478" max="9478" width="17.85546875" style="11" customWidth="1"/>
    <col min="9479" max="9479" width="11.5703125" style="11" customWidth="1"/>
    <col min="9480" max="9728" width="8.85546875" style="11"/>
    <col min="9729" max="9729" width="21.85546875" style="11" customWidth="1"/>
    <col min="9730" max="9733" width="16.85546875" style="11" customWidth="1"/>
    <col min="9734" max="9734" width="17.85546875" style="11" customWidth="1"/>
    <col min="9735" max="9735" width="11.5703125" style="11" customWidth="1"/>
    <col min="9736" max="9984" width="8.85546875" style="11"/>
    <col min="9985" max="9985" width="21.85546875" style="11" customWidth="1"/>
    <col min="9986" max="9989" width="16.85546875" style="11" customWidth="1"/>
    <col min="9990" max="9990" width="17.85546875" style="11" customWidth="1"/>
    <col min="9991" max="9991" width="11.5703125" style="11" customWidth="1"/>
    <col min="9992" max="10240" width="8.85546875" style="11"/>
    <col min="10241" max="10241" width="21.85546875" style="11" customWidth="1"/>
    <col min="10242" max="10245" width="16.85546875" style="11" customWidth="1"/>
    <col min="10246" max="10246" width="17.85546875" style="11" customWidth="1"/>
    <col min="10247" max="10247" width="11.5703125" style="11" customWidth="1"/>
    <col min="10248" max="10496" width="8.85546875" style="11"/>
    <col min="10497" max="10497" width="21.85546875" style="11" customWidth="1"/>
    <col min="10498" max="10501" width="16.85546875" style="11" customWidth="1"/>
    <col min="10502" max="10502" width="17.85546875" style="11" customWidth="1"/>
    <col min="10503" max="10503" width="11.5703125" style="11" customWidth="1"/>
    <col min="10504" max="10752" width="8.85546875" style="11"/>
    <col min="10753" max="10753" width="21.85546875" style="11" customWidth="1"/>
    <col min="10754" max="10757" width="16.85546875" style="11" customWidth="1"/>
    <col min="10758" max="10758" width="17.85546875" style="11" customWidth="1"/>
    <col min="10759" max="10759" width="11.5703125" style="11" customWidth="1"/>
    <col min="10760" max="11008" width="8.85546875" style="11"/>
    <col min="11009" max="11009" width="21.85546875" style="11" customWidth="1"/>
    <col min="11010" max="11013" width="16.85546875" style="11" customWidth="1"/>
    <col min="11014" max="11014" width="17.85546875" style="11" customWidth="1"/>
    <col min="11015" max="11015" width="11.5703125" style="11" customWidth="1"/>
    <col min="11016" max="11264" width="8.85546875" style="11"/>
    <col min="11265" max="11265" width="21.85546875" style="11" customWidth="1"/>
    <col min="11266" max="11269" width="16.85546875" style="11" customWidth="1"/>
    <col min="11270" max="11270" width="17.85546875" style="11" customWidth="1"/>
    <col min="11271" max="11271" width="11.5703125" style="11" customWidth="1"/>
    <col min="11272" max="11520" width="8.85546875" style="11"/>
    <col min="11521" max="11521" width="21.85546875" style="11" customWidth="1"/>
    <col min="11522" max="11525" width="16.85546875" style="11" customWidth="1"/>
    <col min="11526" max="11526" width="17.85546875" style="11" customWidth="1"/>
    <col min="11527" max="11527" width="11.5703125" style="11" customWidth="1"/>
    <col min="11528" max="11776" width="8.85546875" style="11"/>
    <col min="11777" max="11777" width="21.85546875" style="11" customWidth="1"/>
    <col min="11778" max="11781" width="16.85546875" style="11" customWidth="1"/>
    <col min="11782" max="11782" width="17.85546875" style="11" customWidth="1"/>
    <col min="11783" max="11783" width="11.5703125" style="11" customWidth="1"/>
    <col min="11784" max="12032" width="8.85546875" style="11"/>
    <col min="12033" max="12033" width="21.85546875" style="11" customWidth="1"/>
    <col min="12034" max="12037" width="16.85546875" style="11" customWidth="1"/>
    <col min="12038" max="12038" width="17.85546875" style="11" customWidth="1"/>
    <col min="12039" max="12039" width="11.5703125" style="11" customWidth="1"/>
    <col min="12040" max="12288" width="8.85546875" style="11"/>
    <col min="12289" max="12289" width="21.85546875" style="11" customWidth="1"/>
    <col min="12290" max="12293" width="16.85546875" style="11" customWidth="1"/>
    <col min="12294" max="12294" width="17.85546875" style="11" customWidth="1"/>
    <col min="12295" max="12295" width="11.5703125" style="11" customWidth="1"/>
    <col min="12296" max="12544" width="8.85546875" style="11"/>
    <col min="12545" max="12545" width="21.85546875" style="11" customWidth="1"/>
    <col min="12546" max="12549" width="16.85546875" style="11" customWidth="1"/>
    <col min="12550" max="12550" width="17.85546875" style="11" customWidth="1"/>
    <col min="12551" max="12551" width="11.5703125" style="11" customWidth="1"/>
    <col min="12552" max="12800" width="8.85546875" style="11"/>
    <col min="12801" max="12801" width="21.85546875" style="11" customWidth="1"/>
    <col min="12802" max="12805" width="16.85546875" style="11" customWidth="1"/>
    <col min="12806" max="12806" width="17.85546875" style="11" customWidth="1"/>
    <col min="12807" max="12807" width="11.5703125" style="11" customWidth="1"/>
    <col min="12808" max="13056" width="8.85546875" style="11"/>
    <col min="13057" max="13057" width="21.85546875" style="11" customWidth="1"/>
    <col min="13058" max="13061" width="16.85546875" style="11" customWidth="1"/>
    <col min="13062" max="13062" width="17.85546875" style="11" customWidth="1"/>
    <col min="13063" max="13063" width="11.5703125" style="11" customWidth="1"/>
    <col min="13064" max="13312" width="8.85546875" style="11"/>
    <col min="13313" max="13313" width="21.85546875" style="11" customWidth="1"/>
    <col min="13314" max="13317" width="16.85546875" style="11" customWidth="1"/>
    <col min="13318" max="13318" width="17.85546875" style="11" customWidth="1"/>
    <col min="13319" max="13319" width="11.5703125" style="11" customWidth="1"/>
    <col min="13320" max="13568" width="8.85546875" style="11"/>
    <col min="13569" max="13569" width="21.85546875" style="11" customWidth="1"/>
    <col min="13570" max="13573" width="16.85546875" style="11" customWidth="1"/>
    <col min="13574" max="13574" width="17.85546875" style="11" customWidth="1"/>
    <col min="13575" max="13575" width="11.5703125" style="11" customWidth="1"/>
    <col min="13576" max="13824" width="8.85546875" style="11"/>
    <col min="13825" max="13825" width="21.85546875" style="11" customWidth="1"/>
    <col min="13826" max="13829" width="16.85546875" style="11" customWidth="1"/>
    <col min="13830" max="13830" width="17.85546875" style="11" customWidth="1"/>
    <col min="13831" max="13831" width="11.5703125" style="11" customWidth="1"/>
    <col min="13832" max="14080" width="8.85546875" style="11"/>
    <col min="14081" max="14081" width="21.85546875" style="11" customWidth="1"/>
    <col min="14082" max="14085" width="16.85546875" style="11" customWidth="1"/>
    <col min="14086" max="14086" width="17.85546875" style="11" customWidth="1"/>
    <col min="14087" max="14087" width="11.5703125" style="11" customWidth="1"/>
    <col min="14088" max="14336" width="8.85546875" style="11"/>
    <col min="14337" max="14337" width="21.85546875" style="11" customWidth="1"/>
    <col min="14338" max="14341" width="16.85546875" style="11" customWidth="1"/>
    <col min="14342" max="14342" width="17.85546875" style="11" customWidth="1"/>
    <col min="14343" max="14343" width="11.5703125" style="11" customWidth="1"/>
    <col min="14344" max="14592" width="8.85546875" style="11"/>
    <col min="14593" max="14593" width="21.85546875" style="11" customWidth="1"/>
    <col min="14594" max="14597" width="16.85546875" style="11" customWidth="1"/>
    <col min="14598" max="14598" width="17.85546875" style="11" customWidth="1"/>
    <col min="14599" max="14599" width="11.5703125" style="11" customWidth="1"/>
    <col min="14600" max="14848" width="8.85546875" style="11"/>
    <col min="14849" max="14849" width="21.85546875" style="11" customWidth="1"/>
    <col min="14850" max="14853" width="16.85546875" style="11" customWidth="1"/>
    <col min="14854" max="14854" width="17.85546875" style="11" customWidth="1"/>
    <col min="14855" max="14855" width="11.5703125" style="11" customWidth="1"/>
    <col min="14856" max="15104" width="8.85546875" style="11"/>
    <col min="15105" max="15105" width="21.85546875" style="11" customWidth="1"/>
    <col min="15106" max="15109" width="16.85546875" style="11" customWidth="1"/>
    <col min="15110" max="15110" width="17.85546875" style="11" customWidth="1"/>
    <col min="15111" max="15111" width="11.5703125" style="11" customWidth="1"/>
    <col min="15112" max="15360" width="8.85546875" style="11"/>
    <col min="15361" max="15361" width="21.85546875" style="11" customWidth="1"/>
    <col min="15362" max="15365" width="16.85546875" style="11" customWidth="1"/>
    <col min="15366" max="15366" width="17.85546875" style="11" customWidth="1"/>
    <col min="15367" max="15367" width="11.5703125" style="11" customWidth="1"/>
    <col min="15368" max="15616" width="8.85546875" style="11"/>
    <col min="15617" max="15617" width="21.85546875" style="11" customWidth="1"/>
    <col min="15618" max="15621" width="16.85546875" style="11" customWidth="1"/>
    <col min="15622" max="15622" width="17.85546875" style="11" customWidth="1"/>
    <col min="15623" max="15623" width="11.5703125" style="11" customWidth="1"/>
    <col min="15624" max="15872" width="8.85546875" style="11"/>
    <col min="15873" max="15873" width="21.85546875" style="11" customWidth="1"/>
    <col min="15874" max="15877" width="16.85546875" style="11" customWidth="1"/>
    <col min="15878" max="15878" width="17.85546875" style="11" customWidth="1"/>
    <col min="15879" max="15879" width="11.5703125" style="11" customWidth="1"/>
    <col min="15880" max="16128" width="8.85546875" style="11"/>
    <col min="16129" max="16129" width="21.85546875" style="11" customWidth="1"/>
    <col min="16130" max="16133" width="16.85546875" style="11" customWidth="1"/>
    <col min="16134" max="16134" width="17.85546875" style="11" customWidth="1"/>
    <col min="16135" max="16135" width="11.5703125" style="11" customWidth="1"/>
    <col min="16136" max="16384" width="8.85546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Normal="100" workbookViewId="0">
      <selection activeCell="H21" sqref="H21"/>
    </sheetView>
  </sheetViews>
  <sheetFormatPr defaultRowHeight="15"/>
  <cols>
    <col min="1" max="1" width="36.28515625" bestFit="1" customWidth="1"/>
    <col min="5" max="5" width="19" customWidth="1"/>
    <col min="6" max="6" width="19.5703125" bestFit="1" customWidth="1"/>
    <col min="11" max="11" width="3" bestFit="1" customWidth="1"/>
  </cols>
  <sheetData>
    <row r="1" spans="1:12" ht="20.25" thickBot="1">
      <c r="A1" s="89" t="s">
        <v>394</v>
      </c>
      <c r="E1" s="89" t="s">
        <v>393</v>
      </c>
    </row>
    <row r="2" spans="1:12" ht="15.75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A5" s="128"/>
      <c r="B5" s="128"/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596</v>
      </c>
      <c r="B6" s="52">
        <v>30618.621786410153</v>
      </c>
      <c r="F6" t="s">
        <v>378</v>
      </c>
      <c r="G6" s="79">
        <v>100</v>
      </c>
      <c r="H6" s="79">
        <v>100</v>
      </c>
      <c r="I6" s="79">
        <v>100</v>
      </c>
    </row>
    <row r="7" spans="1:12" ht="30">
      <c r="A7" s="129" t="s">
        <v>598</v>
      </c>
      <c r="B7">
        <f>B2/B6</f>
        <v>7.8383671764913405</v>
      </c>
      <c r="F7" t="s">
        <v>379</v>
      </c>
    </row>
    <row r="8" spans="1:12" ht="30">
      <c r="A8" s="129" t="s">
        <v>599</v>
      </c>
      <c r="B8">
        <f>B6/2</f>
        <v>15309.310893205076</v>
      </c>
      <c r="F8" t="s">
        <v>380</v>
      </c>
      <c r="G8" s="79">
        <v>0.5</v>
      </c>
      <c r="H8" s="79">
        <v>0.4</v>
      </c>
      <c r="I8" s="79">
        <v>1</v>
      </c>
    </row>
    <row r="9" spans="1:12" ht="30">
      <c r="A9" s="129" t="s">
        <v>597</v>
      </c>
      <c r="B9">
        <f>B3*B7</f>
        <v>117575.5076473701</v>
      </c>
      <c r="F9" t="s">
        <v>372</v>
      </c>
      <c r="G9" s="52"/>
      <c r="H9" s="52"/>
      <c r="I9" s="52"/>
    </row>
    <row r="10" spans="1:12">
      <c r="A10" t="s">
        <v>398</v>
      </c>
      <c r="B10">
        <f>B8*B4</f>
        <v>117575.50765981498</v>
      </c>
    </row>
    <row r="11" spans="1:12">
      <c r="A11" t="s">
        <v>399</v>
      </c>
      <c r="B11" s="101">
        <f>B9+B10</f>
        <v>235151.01530718507</v>
      </c>
      <c r="F11" t="s">
        <v>374</v>
      </c>
    </row>
    <row r="12" spans="1:12" ht="15.75" thickBot="1">
      <c r="F12" t="s">
        <v>375</v>
      </c>
    </row>
    <row r="13" spans="1:12" ht="15.75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5"/>
  <cols>
    <col min="1" max="4" width="9" bestFit="1" customWidth="1"/>
    <col min="5" max="5" width="15.5703125" bestFit="1" customWidth="1"/>
    <col min="6" max="6" width="9" bestFit="1" customWidth="1"/>
    <col min="7" max="7" width="13.140625" bestFit="1" customWidth="1"/>
    <col min="8" max="8" width="3" bestFit="1" customWidth="1"/>
    <col min="9" max="9" width="9" bestFit="1" customWidth="1"/>
  </cols>
  <sheetData>
    <row r="1" spans="1:9" ht="18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8.75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8.75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5"/>
  <sheetData>
    <row r="2" spans="1:10">
      <c r="A2" t="s">
        <v>400</v>
      </c>
      <c r="G2" t="s">
        <v>408</v>
      </c>
      <c r="H2" t="s">
        <v>409</v>
      </c>
      <c r="J2" t="s">
        <v>412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413</v>
      </c>
      <c r="G5" t="s">
        <v>290</v>
      </c>
      <c r="H5" t="s">
        <v>54</v>
      </c>
      <c r="I5" t="s">
        <v>410</v>
      </c>
      <c r="J5" t="s">
        <v>411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5"/>
  <cols>
    <col min="2" max="2" width="10.5703125" bestFit="1" customWidth="1"/>
  </cols>
  <sheetData>
    <row r="1" spans="1:3">
      <c r="A1" t="s">
        <v>442</v>
      </c>
      <c r="B1" t="s">
        <v>7</v>
      </c>
      <c r="C1" t="s">
        <v>443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9"/>
  <sheetViews>
    <sheetView zoomScaleNormal="100" workbookViewId="0">
      <selection activeCell="G8" sqref="G8"/>
    </sheetView>
  </sheetViews>
  <sheetFormatPr defaultRowHeight="15"/>
  <cols>
    <col min="1" max="1" width="11.140625" bestFit="1" customWidth="1"/>
    <col min="4" max="4" width="35.42578125" bestFit="1" customWidth="1"/>
    <col min="5" max="5" width="6.7109375" bestFit="1" customWidth="1"/>
    <col min="6" max="6" width="20.140625" bestFit="1" customWidth="1"/>
    <col min="7" max="7" width="13.42578125" bestFit="1" customWidth="1"/>
  </cols>
  <sheetData>
    <row r="1" spans="1:7">
      <c r="A1" s="93" t="s">
        <v>438</v>
      </c>
      <c r="B1" t="s">
        <v>436</v>
      </c>
      <c r="C1" t="s">
        <v>437</v>
      </c>
      <c r="D1" t="s">
        <v>471</v>
      </c>
      <c r="E1" t="s">
        <v>472</v>
      </c>
      <c r="F1" t="s">
        <v>440</v>
      </c>
    </row>
    <row r="2" spans="1:7">
      <c r="A2">
        <v>1</v>
      </c>
      <c r="B2">
        <v>5</v>
      </c>
      <c r="C2">
        <v>10</v>
      </c>
      <c r="D2" s="91">
        <f>SQRT(($B$6-B2)^2+($C$6-C2)^2)</f>
        <v>6.5822388548643165</v>
      </c>
      <c r="E2" s="91">
        <f>SQRT(SUMSQ(B2-$B$6,C2-$C$6))</f>
        <v>6.5822388548643165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0.68643097869524783</v>
      </c>
      <c r="E3" s="91">
        <f t="shared" ref="E3:E5" si="1">SQRT(SUMSQ(B3-$B$6,C3-$C$6))</f>
        <v>0.68643097869524783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11.634120361102164</v>
      </c>
      <c r="E4" s="91">
        <f t="shared" si="1"/>
        <v>11.634120361102164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5.7010106583900315</v>
      </c>
      <c r="E5" s="91">
        <f t="shared" si="1"/>
        <v>5.7010106583900315</v>
      </c>
      <c r="F5">
        <v>300</v>
      </c>
      <c r="G5" s="92"/>
    </row>
    <row r="6" spans="1:7">
      <c r="A6" t="s">
        <v>439</v>
      </c>
      <c r="B6" s="52">
        <v>9.3141693154228697</v>
      </c>
      <c r="C6" s="52">
        <v>5.02870123002557</v>
      </c>
    </row>
    <row r="7" spans="1:7">
      <c r="A7" s="143" t="s">
        <v>441</v>
      </c>
      <c r="B7" s="143"/>
      <c r="C7" s="143"/>
      <c r="D7" s="143"/>
      <c r="E7" s="143"/>
      <c r="F7" s="142">
        <f>SUMPRODUCT(F2:F5,E2:E5)</f>
        <v>5456.5396875145925</v>
      </c>
      <c r="G7" s="92"/>
    </row>
    <row r="8" spans="1:7">
      <c r="D8" s="91"/>
    </row>
    <row r="9" spans="1:7">
      <c r="A9" t="s">
        <v>600</v>
      </c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30</vt:i4>
      </vt:variant>
    </vt:vector>
  </HeadingPairs>
  <TitlesOfParts>
    <vt:vector size="68" baseType="lpstr">
      <vt:lpstr>Advertising </vt:lpstr>
      <vt:lpstr>Advertising _Sensitivity Report</vt:lpstr>
      <vt:lpstr>monopolist</vt:lpstr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GameTheory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2026-09-22T03:05:04Z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