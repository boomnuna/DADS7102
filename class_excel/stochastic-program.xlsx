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DADS7102\class_excel\"/>
    </mc:Choice>
  </mc:AlternateContent>
  <xr:revisionPtr revIDLastSave="0" documentId="13_ncr:1_{451DC630-1795-43E8-AF32-1FCBC917EBBB}" xr6:coauthVersionLast="47" xr6:coauthVersionMax="47" xr10:uidLastSave="{00000000-0000-0000-0000-000000000000}"/>
  <bookViews>
    <workbookView xWindow="-98" yWindow="-98" windowWidth="21795" windowHeight="12975" tabRatio="805" activeTab="1" xr2:uid="{00000000-000D-0000-FFFF-FFFF00000000}"/>
  </bookViews>
  <sheets>
    <sheet name="farmer0" sheetId="6" r:id="rId1"/>
    <sheet name="farmerSP (2)" sheetId="20" r:id="rId2"/>
    <sheet name="farmerSP" sheetId="9" r:id="rId3"/>
    <sheet name="2prod" sheetId="19" r:id="rId4"/>
  </sheets>
  <definedNames>
    <definedName name="solver_adj" localSheetId="0" hidden="1">farmer0!$K$2:$S$2</definedName>
    <definedName name="solver_adj" localSheetId="2" hidden="1">farmerSP!$K$5:$AE$5</definedName>
    <definedName name="solver_adj" localSheetId="1" hidden="1">'farmerSP (2)'!$K$5:$AQ$5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0" hidden="1">2</definedName>
    <definedName name="solver_eng" localSheetId="2" hidden="1">2</definedName>
    <definedName name="solver_eng" localSheetId="1" hidden="1">2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0" hidden="1">farmer0!$T$4</definedName>
    <definedName name="solver_lhs1" localSheetId="2" hidden="1">farmerSP!$AF$7</definedName>
    <definedName name="solver_lhs1" localSheetId="1" hidden="1">'farmerSP (2)'!$AR$7</definedName>
    <definedName name="solver_lhs2" localSheetId="0" hidden="1">farmer0!$T$5:$T$8</definedName>
    <definedName name="solver_lhs2" localSheetId="2" hidden="1">farmerSP!$AF$8:$AF$19</definedName>
    <definedName name="solver_lhs2" localSheetId="1" hidden="1">'farmerSP (2)'!$AR$8:$AR$27</definedName>
    <definedName name="solver_lhs3" localSheetId="0" hidden="1">farmer0!$T$5:$T$8</definedName>
    <definedName name="solver_lhs3" localSheetId="2" hidden="1">farmerSP!#REF!</definedName>
    <definedName name="solver_lhs3" localSheetId="1" hidden="1">'farmerSP (2)'!#REF!</definedName>
    <definedName name="solver_lhs4" localSheetId="0" hidden="1">farmer0!#REF!</definedName>
    <definedName name="solver_lhs4" localSheetId="2" hidden="1">farmerSP!#REF!</definedName>
    <definedName name="solver_lhs4" localSheetId="1" hidden="1">'farmerSP (2)'!#REF!</definedName>
    <definedName name="solver_lhs5" localSheetId="0" hidden="1">farmer0!#REF!</definedName>
    <definedName name="solver_lhs5" localSheetId="2" hidden="1">farmerSP!#REF!</definedName>
    <definedName name="solver_lhs5" localSheetId="1" hidden="1">'farmerSP (2)'!#REF!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0</definedName>
    <definedName name="solver_num" localSheetId="0" hidden="1">3</definedName>
    <definedName name="solver_num" localSheetId="2" hidden="1">2</definedName>
    <definedName name="solver_num" localSheetId="1" hidden="1">2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'2prod'!$O$10</definedName>
    <definedName name="solver_opt" localSheetId="0" hidden="1">farmer0!$T$3</definedName>
    <definedName name="solver_opt" localSheetId="2" hidden="1">farmerSP!$AF$6</definedName>
    <definedName name="solver_opt" localSheetId="1" hidden="1">'farmerSP (2)'!$AR$6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0" hidden="1">2</definedName>
    <definedName name="solver_rel1" localSheetId="2" hidden="1">2</definedName>
    <definedName name="solver_rel1" localSheetId="1" hidden="1">2</definedName>
    <definedName name="solver_rel2" localSheetId="0" hidden="1">3</definedName>
    <definedName name="solver_rel2" localSheetId="2" hidden="1">3</definedName>
    <definedName name="solver_rel2" localSheetId="1" hidden="1">3</definedName>
    <definedName name="solver_rel3" localSheetId="0" hidden="1">3</definedName>
    <definedName name="solver_rel3" localSheetId="2" hidden="1">3</definedName>
    <definedName name="solver_rel3" localSheetId="1" hidden="1">3</definedName>
    <definedName name="solver_rel4" localSheetId="0" hidden="1">2</definedName>
    <definedName name="solver_rel4" localSheetId="2" hidden="1">2</definedName>
    <definedName name="solver_rel4" localSheetId="1" hidden="1">2</definedName>
    <definedName name="solver_rel5" localSheetId="0" hidden="1">3</definedName>
    <definedName name="solver_rel5" localSheetId="2" hidden="1">3</definedName>
    <definedName name="solver_rel5" localSheetId="1" hidden="1">3</definedName>
    <definedName name="solver_rhs1" localSheetId="0" hidden="1">farmer0!$V$4</definedName>
    <definedName name="solver_rhs1" localSheetId="2" hidden="1">farmerSP!$AH$7</definedName>
    <definedName name="solver_rhs1" localSheetId="1" hidden="1">'farmerSP (2)'!$AT$7</definedName>
    <definedName name="solver_rhs2" localSheetId="0" hidden="1">farmer0!$V$5:$V$8</definedName>
    <definedName name="solver_rhs2" localSheetId="2" hidden="1">farmerSP!$AH$8:$AH$19</definedName>
    <definedName name="solver_rhs2" localSheetId="1" hidden="1">'farmerSP (2)'!$AT$8:$AT$27</definedName>
    <definedName name="solver_rhs3" localSheetId="0" hidden="1">farmer0!$V$5:$V$8</definedName>
    <definedName name="solver_rhs3" localSheetId="2" hidden="1">farmerSP!#REF!</definedName>
    <definedName name="solver_rhs3" localSheetId="1" hidden="1">'farmerSP (2)'!#REF!</definedName>
    <definedName name="solver_rhs4" localSheetId="0" hidden="1">farmer0!#REF!</definedName>
    <definedName name="solver_rhs4" localSheetId="2" hidden="1">farmerSP!#REF!</definedName>
    <definedName name="solver_rhs4" localSheetId="1" hidden="1">'farmerSP (2)'!#REF!</definedName>
    <definedName name="solver_rhs5" localSheetId="0" hidden="1">farmer0!#REF!</definedName>
    <definedName name="solver_rhs5" localSheetId="2" hidden="1">farmerSP!#REF!</definedName>
    <definedName name="solver_rhs5" localSheetId="1" hidden="1">'farmerSP (2)'!#REF!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20" l="1"/>
  <c r="AR15" i="20"/>
  <c r="AR8" i="20"/>
  <c r="AR11" i="20"/>
  <c r="AR12" i="20"/>
  <c r="AR13" i="20"/>
  <c r="AR14" i="20"/>
  <c r="AR19" i="20"/>
  <c r="AR20" i="20"/>
  <c r="AR21" i="20"/>
  <c r="AR22" i="20"/>
  <c r="AR23" i="20"/>
  <c r="AR24" i="20"/>
  <c r="AR25" i="20"/>
  <c r="AR26" i="20"/>
  <c r="AR27" i="20"/>
  <c r="AR7" i="20"/>
  <c r="AA6" i="20"/>
  <c r="AB6" i="20"/>
  <c r="AC6" i="20"/>
  <c r="AD6" i="20"/>
  <c r="AE6" i="20"/>
  <c r="AF6" i="20"/>
  <c r="AG6" i="20"/>
  <c r="AH6" i="20"/>
  <c r="AI6" i="20"/>
  <c r="AJ6" i="20"/>
  <c r="AK6" i="20"/>
  <c r="AM6" i="20"/>
  <c r="AN6" i="20"/>
  <c r="AO6" i="20"/>
  <c r="AP6" i="20"/>
  <c r="AQ6" i="20"/>
  <c r="M18" i="20"/>
  <c r="AR18" i="20" s="1"/>
  <c r="L17" i="20"/>
  <c r="AR17" i="20" s="1"/>
  <c r="K16" i="20"/>
  <c r="AR16" i="20" s="1"/>
  <c r="M10" i="20"/>
  <c r="AR10" i="20" s="1"/>
  <c r="L9" i="20"/>
  <c r="AR9" i="20" s="1"/>
  <c r="K8" i="20"/>
  <c r="E8" i="20"/>
  <c r="D8" i="20"/>
  <c r="C8" i="20"/>
  <c r="B8" i="20"/>
  <c r="M6" i="20"/>
  <c r="L6" i="20"/>
  <c r="K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7" i="6"/>
  <c r="L6" i="6"/>
  <c r="K5" i="6"/>
  <c r="B13" i="19"/>
  <c r="B14" i="19"/>
  <c r="B15" i="19"/>
  <c r="B16" i="19"/>
  <c r="B12" i="19"/>
  <c r="B8" i="19"/>
  <c r="B9" i="19"/>
  <c r="B10" i="19"/>
  <c r="B11" i="19"/>
  <c r="D11" i="19" s="1"/>
  <c r="B7" i="19"/>
  <c r="B3" i="19"/>
  <c r="B4" i="19"/>
  <c r="B5" i="19"/>
  <c r="B6" i="19"/>
  <c r="B2" i="19"/>
  <c r="C13" i="19"/>
  <c r="C14" i="19"/>
  <c r="C15" i="19"/>
  <c r="C16" i="19"/>
  <c r="C12" i="19"/>
  <c r="C8" i="19"/>
  <c r="C9" i="19"/>
  <c r="D9" i="19" s="1"/>
  <c r="C10" i="19"/>
  <c r="C11" i="19"/>
  <c r="C7" i="19"/>
  <c r="C3" i="19"/>
  <c r="C4" i="19"/>
  <c r="C5" i="19"/>
  <c r="C6" i="19"/>
  <c r="C2" i="19"/>
  <c r="D8" i="19"/>
  <c r="J5" i="19"/>
  <c r="G7" i="19"/>
  <c r="AR6" i="20" l="1"/>
  <c r="D14" i="19"/>
  <c r="D13" i="19"/>
  <c r="D10" i="19"/>
  <c r="D5" i="19"/>
  <c r="D16" i="19"/>
  <c r="D15" i="19"/>
  <c r="D4" i="19"/>
  <c r="D3" i="19"/>
  <c r="D6" i="19"/>
  <c r="D12" i="19"/>
  <c r="D7" i="19"/>
  <c r="D2" i="19"/>
  <c r="D17" i="19" l="1"/>
  <c r="M10" i="9" l="1"/>
  <c r="L9" i="9"/>
  <c r="AF9" i="9" s="1"/>
  <c r="K8" i="9"/>
  <c r="AF19" i="9"/>
  <c r="M18" i="9"/>
  <c r="AF18" i="9" s="1"/>
  <c r="L17" i="9"/>
  <c r="AF17" i="9" s="1"/>
  <c r="K16" i="9"/>
  <c r="AF16" i="9" s="1"/>
  <c r="AF15" i="9"/>
  <c r="AF14" i="9"/>
  <c r="AF13" i="9"/>
  <c r="AF12" i="9"/>
  <c r="AF11" i="9"/>
  <c r="AF10" i="9"/>
  <c r="AF8" i="9"/>
  <c r="E8" i="9"/>
  <c r="D8" i="9"/>
  <c r="C8" i="9"/>
  <c r="B8" i="9"/>
  <c r="AF7" i="9"/>
  <c r="AE6" i="9"/>
  <c r="AD6" i="9"/>
  <c r="T6" i="9"/>
  <c r="P6" i="9"/>
  <c r="M6" i="9"/>
  <c r="L6" i="9"/>
  <c r="K6" i="9"/>
  <c r="AE2" i="9"/>
  <c r="AD2" i="9"/>
  <c r="AC2" i="9"/>
  <c r="AC6" i="9" s="1"/>
  <c r="AB2" i="9"/>
  <c r="AB6" i="9" s="1"/>
  <c r="AA2" i="9"/>
  <c r="AA6" i="9" s="1"/>
  <c r="Z2" i="9"/>
  <c r="Z6" i="9" s="1"/>
  <c r="Y2" i="9"/>
  <c r="Y6" i="9" s="1"/>
  <c r="X2" i="9"/>
  <c r="X6" i="9" s="1"/>
  <c r="W2" i="9"/>
  <c r="W6" i="9" s="1"/>
  <c r="V2" i="9"/>
  <c r="V6" i="9" s="1"/>
  <c r="U2" i="9"/>
  <c r="U6" i="9" s="1"/>
  <c r="T2" i="9"/>
  <c r="S2" i="9"/>
  <c r="S6" i="9" s="1"/>
  <c r="R2" i="9"/>
  <c r="R6" i="9" s="1"/>
  <c r="Q2" i="9"/>
  <c r="Q6" i="9" s="1"/>
  <c r="P2" i="9"/>
  <c r="O2" i="9"/>
  <c r="O6" i="9" s="1"/>
  <c r="N2" i="9"/>
  <c r="N6" i="9" s="1"/>
  <c r="AF6" i="9" l="1"/>
  <c r="T4" i="6"/>
  <c r="T5" i="6"/>
  <c r="T6" i="6"/>
  <c r="T7" i="6"/>
  <c r="T8" i="6"/>
  <c r="T3" i="6"/>
  <c r="E8" i="6" l="1"/>
  <c r="D8" i="6"/>
  <c r="C8" i="6"/>
  <c r="B8" i="6"/>
</calcChain>
</file>

<file path=xl/sharedStrings.xml><?xml version="1.0" encoding="utf-8"?>
<sst xmlns="http://schemas.openxmlformats.org/spreadsheetml/2006/main" count="216" uniqueCount="74">
  <si>
    <t>=</t>
  </si>
  <si>
    <t>Yield (T/acre)</t>
  </si>
  <si>
    <t>Wheat</t>
  </si>
  <si>
    <t>Corn</t>
  </si>
  <si>
    <t>Planting cost ($/acre)</t>
  </si>
  <si>
    <t>Selling price ($/T)</t>
  </si>
  <si>
    <t>under 6000 T</t>
  </si>
  <si>
    <t>above 6000 T</t>
  </si>
  <si>
    <t>Profit per acrea ($/acre)</t>
  </si>
  <si>
    <t>Sugar Beets</t>
  </si>
  <si>
    <t>Ranking of profit per acre</t>
  </si>
  <si>
    <t>Rank #1</t>
  </si>
  <si>
    <t>Rank #2</t>
  </si>
  <si>
    <t>Rank #3</t>
  </si>
  <si>
    <t>Minimum req (T)</t>
  </si>
  <si>
    <t>Purchase price ($/T)</t>
  </si>
  <si>
    <t>Rank #4</t>
  </si>
  <si>
    <t>x1</t>
  </si>
  <si>
    <t>x2</t>
  </si>
  <si>
    <t>x3</t>
  </si>
  <si>
    <t>y1</t>
  </si>
  <si>
    <t>y2</t>
  </si>
  <si>
    <t>w1</t>
  </si>
  <si>
    <t>w2</t>
  </si>
  <si>
    <t>w3</t>
  </si>
  <si>
    <t>w4</t>
  </si>
  <si>
    <t>Land</t>
  </si>
  <si>
    <t>BeetSold</t>
  </si>
  <si>
    <t>BeetFavPrice</t>
  </si>
  <si>
    <t>Obj</t>
  </si>
  <si>
    <t>&gt;=</t>
  </si>
  <si>
    <t>w11</t>
  </si>
  <si>
    <t>y11</t>
  </si>
  <si>
    <t>y21</t>
  </si>
  <si>
    <t>w21</t>
  </si>
  <si>
    <t>w31</t>
  </si>
  <si>
    <t>w41</t>
  </si>
  <si>
    <t>y12</t>
  </si>
  <si>
    <t>y22</t>
  </si>
  <si>
    <t>w12</t>
  </si>
  <si>
    <t>w32</t>
  </si>
  <si>
    <t>w42</t>
  </si>
  <si>
    <t>y13</t>
  </si>
  <si>
    <t>y23</t>
  </si>
  <si>
    <t>w13</t>
  </si>
  <si>
    <t>w23</t>
  </si>
  <si>
    <t>w33</t>
  </si>
  <si>
    <t>w43</t>
  </si>
  <si>
    <t>Obj-Sc</t>
  </si>
  <si>
    <t>Avg</t>
  </si>
  <si>
    <t>Prob</t>
  </si>
  <si>
    <t>Variables</t>
  </si>
  <si>
    <t>Below 
Avg</t>
  </si>
  <si>
    <t>Above Avg</t>
  </si>
  <si>
    <t>k</t>
  </si>
  <si>
    <t>P(D1 = k)</t>
  </si>
  <si>
    <t>P(D2 = k)</t>
  </si>
  <si>
    <t>SUM</t>
  </si>
  <si>
    <t>Sc</t>
  </si>
  <si>
    <t>Demand Basic, D1</t>
  </si>
  <si>
    <t>Demand XP, D2</t>
  </si>
  <si>
    <t>w22</t>
  </si>
  <si>
    <t>y14</t>
  </si>
  <si>
    <t>y15</t>
  </si>
  <si>
    <t>y24</t>
  </si>
  <si>
    <t>w14</t>
  </si>
  <si>
    <t>w24</t>
  </si>
  <si>
    <t>w34</t>
  </si>
  <si>
    <t>w44</t>
  </si>
  <si>
    <t>y25</t>
  </si>
  <si>
    <t>w15</t>
  </si>
  <si>
    <t>w25</t>
  </si>
  <si>
    <t>w35</t>
  </si>
  <si>
    <t>w45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</si>
</sst>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0.00000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MS Sans Serif"/>
      <family val="2"/>
    </font>
    <font>
      <sz val="8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87" fontId="0" fillId="0" borderId="0" xfId="1" applyFont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/>
    <xf numFmtId="0" fontId="0" fillId="0" borderId="9" xfId="0" quotePrefix="1" applyBorder="1"/>
    <xf numFmtId="0" fontId="0" fillId="0" borderId="14" xfId="0" quotePrefix="1" applyBorder="1"/>
    <xf numFmtId="0" fontId="0" fillId="0" borderId="6" xfId="0" quotePrefix="1" applyBorder="1"/>
    <xf numFmtId="2" fontId="0" fillId="0" borderId="0" xfId="0" applyNumberFormat="1"/>
    <xf numFmtId="0" fontId="0" fillId="2" borderId="2" xfId="0" applyFill="1" applyBorder="1"/>
    <xf numFmtId="0" fontId="0" fillId="2" borderId="0" xfId="0" applyFill="1"/>
    <xf numFmtId="188" fontId="0" fillId="0" borderId="0" xfId="0" applyNumberFormat="1"/>
    <xf numFmtId="0" fontId="0" fillId="2" borderId="11" xfId="0" applyFill="1" applyBorder="1"/>
    <xf numFmtId="0" fontId="0" fillId="2" borderId="12" xfId="0" applyFill="1" applyBorder="1"/>
    <xf numFmtId="0" fontId="0" fillId="3" borderId="1" xfId="0" applyFill="1" applyBorder="1"/>
    <xf numFmtId="0" fontId="0" fillId="3" borderId="3" xfId="0" applyFill="1" applyBorder="1"/>
    <xf numFmtId="0" fontId="0" fillId="4" borderId="7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15" xfId="0" applyFill="1" applyBorder="1"/>
    <xf numFmtId="0" fontId="0" fillId="5" borderId="14" xfId="0" applyFill="1" applyBorder="1"/>
    <xf numFmtId="0" fontId="0" fillId="5" borderId="9" xfId="0" applyFill="1" applyBorder="1"/>
    <xf numFmtId="0" fontId="0" fillId="5" borderId="0" xfId="0" applyFill="1"/>
    <xf numFmtId="2" fontId="0" fillId="5" borderId="0" xfId="0" applyNumberFormat="1" applyFill="1"/>
    <xf numFmtId="0" fontId="0" fillId="5" borderId="6" xfId="0" applyFill="1" applyBorder="1"/>
    <xf numFmtId="0" fontId="0" fillId="0" borderId="8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B1A74790-5408-4797-B231-1A321A907D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D5A0-F96E-4065-ADE4-1E546597877D}">
  <dimension ref="A1:V9"/>
  <sheetViews>
    <sheetView topLeftCell="B1" zoomScale="85" zoomScaleNormal="85" workbookViewId="0">
      <selection activeCell="O11" sqref="O11"/>
    </sheetView>
  </sheetViews>
  <sheetFormatPr defaultRowHeight="13.5" x14ac:dyDescent="0.35"/>
  <cols>
    <col min="1" max="1" width="22" bestFit="1" customWidth="1"/>
    <col min="4" max="4" width="11.5625" bestFit="1" customWidth="1"/>
    <col min="5" max="5" width="11.9375" bestFit="1" customWidth="1"/>
    <col min="7" max="7" width="12.1875" bestFit="1" customWidth="1"/>
    <col min="10" max="10" width="11.5625" bestFit="1" customWidth="1"/>
    <col min="21" max="21" width="3" bestFit="1" customWidth="1"/>
    <col min="22" max="22" width="5.8125" bestFit="1" customWidth="1"/>
  </cols>
  <sheetData>
    <row r="1" spans="1:22" ht="13.9" thickBot="1" x14ac:dyDescent="0.4">
      <c r="B1" s="2" t="s">
        <v>2</v>
      </c>
      <c r="C1" s="2" t="s">
        <v>3</v>
      </c>
      <c r="D1" s="2" t="s">
        <v>9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22" ht="13.9" thickBot="1" x14ac:dyDescent="0.4">
      <c r="A2" t="s">
        <v>1</v>
      </c>
      <c r="B2">
        <v>2.5</v>
      </c>
      <c r="C2">
        <v>3</v>
      </c>
      <c r="D2">
        <v>20</v>
      </c>
      <c r="J2" t="s">
        <v>51</v>
      </c>
      <c r="K2" s="24">
        <v>183.33333333333331</v>
      </c>
      <c r="L2" s="24">
        <v>66.666666666666671</v>
      </c>
      <c r="M2" s="24">
        <v>250</v>
      </c>
      <c r="N2" s="24">
        <v>0</v>
      </c>
      <c r="O2" s="24">
        <v>0</v>
      </c>
      <c r="P2" s="24">
        <v>350</v>
      </c>
      <c r="Q2" s="24">
        <v>0</v>
      </c>
      <c r="R2" s="24">
        <v>6000</v>
      </c>
      <c r="S2" s="24">
        <v>0</v>
      </c>
    </row>
    <row r="3" spans="1:22" ht="13.9" thickBot="1" x14ac:dyDescent="0.4">
      <c r="A3" t="s">
        <v>4</v>
      </c>
      <c r="B3">
        <v>150</v>
      </c>
      <c r="C3">
        <v>230</v>
      </c>
      <c r="D3">
        <v>260</v>
      </c>
      <c r="J3" t="s">
        <v>29</v>
      </c>
      <c r="K3">
        <v>150</v>
      </c>
      <c r="L3">
        <v>230</v>
      </c>
      <c r="M3">
        <v>260</v>
      </c>
      <c r="N3">
        <v>238</v>
      </c>
      <c r="O3">
        <v>210</v>
      </c>
      <c r="P3">
        <v>-170</v>
      </c>
      <c r="Q3">
        <v>-150</v>
      </c>
      <c r="R3">
        <v>-36</v>
      </c>
      <c r="S3">
        <v>-10</v>
      </c>
      <c r="T3" s="29">
        <f>SUMPRODUCT($K$2:$S$2,K3:S3)</f>
        <v>-167666.66666666669</v>
      </c>
    </row>
    <row r="4" spans="1:22" x14ac:dyDescent="0.35">
      <c r="A4" t="s">
        <v>14</v>
      </c>
      <c r="B4">
        <v>200</v>
      </c>
      <c r="C4">
        <v>240</v>
      </c>
      <c r="D4" s="3">
        <v>0</v>
      </c>
      <c r="J4" t="s">
        <v>26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ref="T4:T8" si="0">SUMPRODUCT($K$2:$S$2,K4:S4)</f>
        <v>500</v>
      </c>
      <c r="U4" s="4" t="s">
        <v>0</v>
      </c>
      <c r="V4">
        <v>500</v>
      </c>
    </row>
    <row r="5" spans="1:22" x14ac:dyDescent="0.35">
      <c r="A5" t="s">
        <v>15</v>
      </c>
      <c r="B5">
        <v>238</v>
      </c>
      <c r="C5">
        <v>210</v>
      </c>
      <c r="D5" s="3">
        <v>0</v>
      </c>
      <c r="J5" t="s">
        <v>2</v>
      </c>
      <c r="K5">
        <f>2.5*1.2</f>
        <v>3</v>
      </c>
      <c r="L5">
        <v>0</v>
      </c>
      <c r="M5">
        <v>0</v>
      </c>
      <c r="N5">
        <v>1</v>
      </c>
      <c r="O5">
        <v>0</v>
      </c>
      <c r="P5">
        <v>-1</v>
      </c>
      <c r="Q5">
        <v>0</v>
      </c>
      <c r="R5">
        <v>0</v>
      </c>
      <c r="S5">
        <v>0</v>
      </c>
      <c r="T5">
        <f t="shared" si="0"/>
        <v>200</v>
      </c>
      <c r="U5" s="4" t="s">
        <v>30</v>
      </c>
      <c r="V5">
        <v>200</v>
      </c>
    </row>
    <row r="6" spans="1:22" x14ac:dyDescent="0.35">
      <c r="D6" t="s">
        <v>6</v>
      </c>
      <c r="E6" t="s">
        <v>7</v>
      </c>
      <c r="J6" t="s">
        <v>3</v>
      </c>
      <c r="K6">
        <v>0</v>
      </c>
      <c r="L6">
        <f>3*1.2</f>
        <v>3.5999999999999996</v>
      </c>
      <c r="M6">
        <v>0</v>
      </c>
      <c r="N6">
        <v>0</v>
      </c>
      <c r="O6">
        <v>1</v>
      </c>
      <c r="P6">
        <v>0</v>
      </c>
      <c r="Q6">
        <v>-1</v>
      </c>
      <c r="R6">
        <v>0</v>
      </c>
      <c r="S6">
        <v>0</v>
      </c>
      <c r="T6">
        <f t="shared" si="0"/>
        <v>240</v>
      </c>
      <c r="U6" s="4" t="s">
        <v>30</v>
      </c>
      <c r="V6">
        <v>240</v>
      </c>
    </row>
    <row r="7" spans="1:22" x14ac:dyDescent="0.35">
      <c r="A7" t="s">
        <v>5</v>
      </c>
      <c r="B7">
        <v>170</v>
      </c>
      <c r="C7">
        <v>150</v>
      </c>
      <c r="D7">
        <v>36</v>
      </c>
      <c r="E7">
        <v>10</v>
      </c>
      <c r="J7" t="s">
        <v>27</v>
      </c>
      <c r="K7">
        <v>0</v>
      </c>
      <c r="L7">
        <v>0</v>
      </c>
      <c r="M7">
        <f>20*1.2</f>
        <v>24</v>
      </c>
      <c r="N7">
        <v>0</v>
      </c>
      <c r="O7">
        <v>0</v>
      </c>
      <c r="P7">
        <v>0</v>
      </c>
      <c r="Q7">
        <v>0</v>
      </c>
      <c r="R7">
        <v>-1</v>
      </c>
      <c r="S7">
        <v>-1</v>
      </c>
      <c r="T7">
        <f t="shared" si="0"/>
        <v>0</v>
      </c>
      <c r="U7" s="4" t="s">
        <v>30</v>
      </c>
      <c r="V7">
        <v>0</v>
      </c>
    </row>
    <row r="8" spans="1:22" x14ac:dyDescent="0.35">
      <c r="A8" t="s">
        <v>8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J8" t="s">
        <v>28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</v>
      </c>
      <c r="S8">
        <v>0</v>
      </c>
      <c r="T8">
        <f t="shared" si="0"/>
        <v>-6000</v>
      </c>
      <c r="U8" s="4" t="s">
        <v>30</v>
      </c>
      <c r="V8">
        <v>-6000</v>
      </c>
    </row>
    <row r="9" spans="1:22" x14ac:dyDescent="0.35">
      <c r="A9" t="s">
        <v>10</v>
      </c>
      <c r="B9" t="s">
        <v>12</v>
      </c>
      <c r="C9" t="s">
        <v>13</v>
      </c>
      <c r="D9" t="s">
        <v>11</v>
      </c>
      <c r="E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1EED-2747-49F4-88EF-A266F263C174}">
  <dimension ref="A1:AT27"/>
  <sheetViews>
    <sheetView tabSelected="1" topLeftCell="F1" zoomScale="70" zoomScaleNormal="70" workbookViewId="0">
      <selection activeCell="AO21" sqref="AO21"/>
    </sheetView>
  </sheetViews>
  <sheetFormatPr defaultColWidth="8.9375" defaultRowHeight="13.5" x14ac:dyDescent="0.35"/>
  <cols>
    <col min="1" max="1" width="22" bestFit="1" customWidth="1"/>
    <col min="4" max="4" width="11.5625" bestFit="1" customWidth="1"/>
    <col min="5" max="5" width="11.9375" bestFit="1" customWidth="1"/>
    <col min="7" max="7" width="12.1875" bestFit="1" customWidth="1"/>
    <col min="9" max="9" width="10.0625" bestFit="1" customWidth="1"/>
    <col min="10" max="10" width="11.5" bestFit="1" customWidth="1"/>
    <col min="11" max="12" width="3.75" bestFit="1" customWidth="1"/>
    <col min="13" max="14" width="4.6875" bestFit="1" customWidth="1"/>
    <col min="15" max="15" width="3.75" bestFit="1" customWidth="1"/>
    <col min="16" max="17" width="4.4375" bestFit="1" customWidth="1"/>
    <col min="18" max="20" width="4.6875" bestFit="1" customWidth="1"/>
    <col min="21" max="21" width="3.75" bestFit="1" customWidth="1"/>
    <col min="22" max="23" width="4.4375" bestFit="1" customWidth="1"/>
    <col min="24" max="24" width="5.4375" bestFit="1" customWidth="1"/>
    <col min="25" max="25" width="4.1875" bestFit="1" customWidth="1"/>
    <col min="26" max="26" width="4.6875" bestFit="1" customWidth="1"/>
    <col min="27" max="27" width="3.75" bestFit="1" customWidth="1"/>
    <col min="28" max="29" width="4.4375" bestFit="1" customWidth="1"/>
    <col min="30" max="30" width="4.6875" bestFit="1" customWidth="1"/>
    <col min="31" max="31" width="4.1875" bestFit="1" customWidth="1"/>
    <col min="32" max="33" width="4.6875" bestFit="1" customWidth="1"/>
    <col min="34" max="35" width="5.4375" bestFit="1" customWidth="1"/>
    <col min="36" max="36" width="4.6875" bestFit="1" customWidth="1"/>
    <col min="37" max="37" width="4.4375" bestFit="1" customWidth="1"/>
    <col min="38" max="39" width="4.6875" bestFit="1" customWidth="1"/>
    <col min="40" max="41" width="4.4375" bestFit="1" customWidth="1"/>
    <col min="42" max="43" width="4.6875" bestFit="1" customWidth="1"/>
  </cols>
  <sheetData>
    <row r="1" spans="1:46" x14ac:dyDescent="0.35">
      <c r="B1" s="2" t="s">
        <v>2</v>
      </c>
      <c r="C1" s="2" t="s">
        <v>3</v>
      </c>
      <c r="D1" s="2" t="s">
        <v>9</v>
      </c>
      <c r="J1" t="s">
        <v>48</v>
      </c>
      <c r="K1">
        <v>150</v>
      </c>
      <c r="L1">
        <v>230</v>
      </c>
      <c r="M1">
        <v>260</v>
      </c>
      <c r="N1">
        <v>238</v>
      </c>
      <c r="O1">
        <v>210</v>
      </c>
      <c r="P1">
        <v>-170</v>
      </c>
      <c r="Q1">
        <v>-150</v>
      </c>
      <c r="R1">
        <v>-36</v>
      </c>
      <c r="S1">
        <v>-10</v>
      </c>
      <c r="T1">
        <v>238</v>
      </c>
      <c r="U1">
        <v>210</v>
      </c>
      <c r="V1">
        <v>-170</v>
      </c>
      <c r="W1">
        <v>-150</v>
      </c>
      <c r="X1">
        <v>-36</v>
      </c>
      <c r="Y1">
        <v>-10</v>
      </c>
      <c r="Z1">
        <v>238</v>
      </c>
      <c r="AA1">
        <v>210</v>
      </c>
      <c r="AB1">
        <v>-170</v>
      </c>
      <c r="AC1">
        <v>-150</v>
      </c>
      <c r="AD1">
        <v>-36</v>
      </c>
      <c r="AE1">
        <v>-10</v>
      </c>
      <c r="AF1">
        <v>238</v>
      </c>
      <c r="AG1">
        <v>210</v>
      </c>
      <c r="AH1">
        <v>-170</v>
      </c>
      <c r="AI1">
        <v>-150</v>
      </c>
      <c r="AJ1">
        <v>-36</v>
      </c>
      <c r="AK1">
        <v>-10</v>
      </c>
      <c r="AL1">
        <v>238</v>
      </c>
      <c r="AM1">
        <v>210</v>
      </c>
      <c r="AN1">
        <v>-170</v>
      </c>
      <c r="AO1">
        <v>-150</v>
      </c>
      <c r="AP1">
        <v>-36</v>
      </c>
      <c r="AQ1">
        <v>-10</v>
      </c>
    </row>
    <row r="2" spans="1:46" x14ac:dyDescent="0.35">
      <c r="A2" t="s">
        <v>1</v>
      </c>
      <c r="B2">
        <v>2.5</v>
      </c>
      <c r="C2">
        <v>3</v>
      </c>
      <c r="D2">
        <v>20</v>
      </c>
      <c r="J2" t="s">
        <v>50</v>
      </c>
      <c r="K2">
        <v>1</v>
      </c>
      <c r="L2">
        <v>1</v>
      </c>
      <c r="M2">
        <v>1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0.2</v>
      </c>
      <c r="AA2">
        <v>0.2</v>
      </c>
      <c r="AB2">
        <v>0.2</v>
      </c>
      <c r="AC2">
        <v>0.2</v>
      </c>
      <c r="AD2">
        <v>0.2</v>
      </c>
      <c r="AE2">
        <v>0.2</v>
      </c>
      <c r="AF2" s="23">
        <v>0.25</v>
      </c>
      <c r="AG2" s="23">
        <v>0.25</v>
      </c>
      <c r="AH2" s="23">
        <v>0.25</v>
      </c>
      <c r="AI2" s="23">
        <v>0.25</v>
      </c>
      <c r="AJ2" s="23">
        <v>0.25</v>
      </c>
      <c r="AK2" s="23">
        <v>0.25</v>
      </c>
      <c r="AL2" s="23">
        <v>0.05</v>
      </c>
      <c r="AM2" s="23">
        <v>0.05</v>
      </c>
      <c r="AN2" s="23">
        <v>0.05</v>
      </c>
      <c r="AO2" s="23">
        <v>0.05</v>
      </c>
      <c r="AP2" s="23">
        <v>0.05</v>
      </c>
      <c r="AQ2" s="23">
        <v>0.05</v>
      </c>
    </row>
    <row r="3" spans="1:46" x14ac:dyDescent="0.35">
      <c r="A3" t="s">
        <v>4</v>
      </c>
      <c r="B3">
        <v>150</v>
      </c>
      <c r="C3">
        <v>230</v>
      </c>
      <c r="D3">
        <v>260</v>
      </c>
    </row>
    <row r="4" spans="1:46" x14ac:dyDescent="0.35">
      <c r="A4" t="s">
        <v>14</v>
      </c>
      <c r="B4">
        <v>200</v>
      </c>
      <c r="C4">
        <v>240</v>
      </c>
      <c r="D4" s="3">
        <v>0</v>
      </c>
      <c r="K4" s="16" t="s">
        <v>17</v>
      </c>
      <c r="L4" s="17" t="s">
        <v>18</v>
      </c>
      <c r="M4" s="17" t="s">
        <v>19</v>
      </c>
      <c r="N4" s="16" t="s">
        <v>32</v>
      </c>
      <c r="O4" s="17" t="s">
        <v>33</v>
      </c>
      <c r="P4" s="17" t="s">
        <v>31</v>
      </c>
      <c r="Q4" s="17" t="s">
        <v>34</v>
      </c>
      <c r="R4" s="17" t="s">
        <v>35</v>
      </c>
      <c r="S4" s="18" t="s">
        <v>36</v>
      </c>
      <c r="T4" s="16" t="s">
        <v>37</v>
      </c>
      <c r="U4" s="17" t="s">
        <v>38</v>
      </c>
      <c r="V4" s="17" t="s">
        <v>39</v>
      </c>
      <c r="W4" s="17" t="s">
        <v>61</v>
      </c>
      <c r="X4" s="17" t="s">
        <v>40</v>
      </c>
      <c r="Y4" s="18" t="s">
        <v>41</v>
      </c>
      <c r="Z4" s="16" t="s">
        <v>42</v>
      </c>
      <c r="AA4" s="17" t="s">
        <v>43</v>
      </c>
      <c r="AB4" s="17" t="s">
        <v>44</v>
      </c>
      <c r="AC4" s="17" t="s">
        <v>45</v>
      </c>
      <c r="AD4" s="17" t="s">
        <v>46</v>
      </c>
      <c r="AE4" s="18" t="s">
        <v>47</v>
      </c>
      <c r="AF4" s="16" t="s">
        <v>62</v>
      </c>
      <c r="AG4" s="17" t="s">
        <v>64</v>
      </c>
      <c r="AH4" s="17" t="s">
        <v>65</v>
      </c>
      <c r="AI4" s="17" t="s">
        <v>66</v>
      </c>
      <c r="AJ4" s="17" t="s">
        <v>67</v>
      </c>
      <c r="AK4" s="18" t="s">
        <v>68</v>
      </c>
      <c r="AL4" s="16" t="s">
        <v>63</v>
      </c>
      <c r="AM4" s="17" t="s">
        <v>69</v>
      </c>
      <c r="AN4" s="17" t="s">
        <v>70</v>
      </c>
      <c r="AO4" s="17" t="s">
        <v>71</v>
      </c>
      <c r="AP4" s="17" t="s">
        <v>72</v>
      </c>
      <c r="AQ4" s="18" t="s">
        <v>73</v>
      </c>
    </row>
    <row r="5" spans="1:46" ht="13.9" thickBot="1" x14ac:dyDescent="0.4">
      <c r="A5" t="s">
        <v>15</v>
      </c>
      <c r="B5">
        <v>238</v>
      </c>
      <c r="C5">
        <v>210</v>
      </c>
      <c r="D5" s="3">
        <v>0</v>
      </c>
      <c r="J5" s="19" t="s">
        <v>51</v>
      </c>
      <c r="K5" s="27">
        <v>120.00000000000007</v>
      </c>
      <c r="L5" s="27">
        <v>80.000000000000014</v>
      </c>
      <c r="M5" s="27">
        <v>300</v>
      </c>
      <c r="N5" s="27">
        <v>0</v>
      </c>
      <c r="O5" s="27">
        <v>0</v>
      </c>
      <c r="P5" s="27">
        <v>160.00000000000028</v>
      </c>
      <c r="Q5" s="27">
        <v>47.999999999999957</v>
      </c>
      <c r="R5" s="27">
        <v>6000</v>
      </c>
      <c r="S5" s="27">
        <v>1200.0000000000014</v>
      </c>
      <c r="T5" s="27">
        <v>0</v>
      </c>
      <c r="U5" s="27">
        <v>0</v>
      </c>
      <c r="V5" s="27">
        <v>100.00000000000013</v>
      </c>
      <c r="W5" s="27">
        <v>0</v>
      </c>
      <c r="X5" s="27">
        <v>6000</v>
      </c>
      <c r="Y5" s="27">
        <v>0</v>
      </c>
      <c r="Z5" s="27">
        <v>0</v>
      </c>
      <c r="AA5" s="27">
        <v>48</v>
      </c>
      <c r="AB5" s="27">
        <v>40.000000000000142</v>
      </c>
      <c r="AC5" s="27">
        <v>0</v>
      </c>
      <c r="AD5" s="27">
        <v>4800.0000000000009</v>
      </c>
      <c r="AE5" s="27">
        <v>0</v>
      </c>
      <c r="AF5" s="27">
        <v>80</v>
      </c>
      <c r="AG5" s="27">
        <v>119.99999999999999</v>
      </c>
      <c r="AH5" s="27">
        <v>0</v>
      </c>
      <c r="AI5" s="27">
        <v>0</v>
      </c>
      <c r="AJ5" s="27">
        <v>3600.0000000000009</v>
      </c>
      <c r="AK5" s="27">
        <v>0</v>
      </c>
      <c r="AL5" s="27">
        <v>0</v>
      </c>
      <c r="AM5" s="27">
        <v>0</v>
      </c>
      <c r="AN5" s="27">
        <v>184.00000000000014</v>
      </c>
      <c r="AO5" s="27">
        <v>103.99999999999987</v>
      </c>
      <c r="AP5" s="27">
        <v>6000</v>
      </c>
      <c r="AQ5" s="27">
        <v>1380.0000000000014</v>
      </c>
    </row>
    <row r="6" spans="1:46" ht="13.9" thickBot="1" x14ac:dyDescent="0.4">
      <c r="D6" t="s">
        <v>6</v>
      </c>
      <c r="E6" t="s">
        <v>7</v>
      </c>
      <c r="J6" s="5" t="s">
        <v>29</v>
      </c>
      <c r="K6" s="8">
        <f>K1*K2</f>
        <v>150</v>
      </c>
      <c r="L6" s="9">
        <f t="shared" ref="L6:AQ6" si="0">L1*L2</f>
        <v>230</v>
      </c>
      <c r="M6" s="9">
        <f t="shared" si="0"/>
        <v>260</v>
      </c>
      <c r="N6" s="8">
        <f>N1*N2</f>
        <v>47.6</v>
      </c>
      <c r="O6" s="9">
        <f t="shared" si="0"/>
        <v>42</v>
      </c>
      <c r="P6" s="9">
        <f t="shared" si="0"/>
        <v>-34</v>
      </c>
      <c r="Q6" s="9">
        <f t="shared" si="0"/>
        <v>-30</v>
      </c>
      <c r="R6" s="9">
        <f t="shared" si="0"/>
        <v>-7.2</v>
      </c>
      <c r="S6" s="10">
        <f t="shared" si="0"/>
        <v>-2</v>
      </c>
      <c r="T6" s="8">
        <f t="shared" si="0"/>
        <v>71.399999999999991</v>
      </c>
      <c r="U6" s="9">
        <f t="shared" si="0"/>
        <v>63</v>
      </c>
      <c r="V6" s="9">
        <f t="shared" si="0"/>
        <v>-51</v>
      </c>
      <c r="W6" s="9">
        <f t="shared" si="0"/>
        <v>-45</v>
      </c>
      <c r="X6" s="9">
        <f t="shared" si="0"/>
        <v>-10.799999999999999</v>
      </c>
      <c r="Y6" s="10">
        <f t="shared" si="0"/>
        <v>-3</v>
      </c>
      <c r="Z6" s="8">
        <f t="shared" si="0"/>
        <v>47.6</v>
      </c>
      <c r="AA6" s="8">
        <f t="shared" si="0"/>
        <v>42</v>
      </c>
      <c r="AB6" s="8">
        <f t="shared" si="0"/>
        <v>-34</v>
      </c>
      <c r="AC6" s="8">
        <f t="shared" si="0"/>
        <v>-30</v>
      </c>
      <c r="AD6" s="8">
        <f t="shared" si="0"/>
        <v>-7.2</v>
      </c>
      <c r="AE6" s="8">
        <f t="shared" si="0"/>
        <v>-2</v>
      </c>
      <c r="AF6" s="8">
        <f t="shared" si="0"/>
        <v>59.5</v>
      </c>
      <c r="AG6" s="8">
        <f t="shared" si="0"/>
        <v>52.5</v>
      </c>
      <c r="AH6" s="8">
        <f t="shared" si="0"/>
        <v>-42.5</v>
      </c>
      <c r="AI6" s="8">
        <f t="shared" si="0"/>
        <v>-37.5</v>
      </c>
      <c r="AJ6" s="8">
        <f t="shared" si="0"/>
        <v>-9</v>
      </c>
      <c r="AK6" s="8">
        <f t="shared" si="0"/>
        <v>-2.5</v>
      </c>
      <c r="AL6" s="8">
        <f>AL1*AL2</f>
        <v>11.9</v>
      </c>
      <c r="AM6" s="8">
        <f t="shared" si="0"/>
        <v>10.5</v>
      </c>
      <c r="AN6" s="8">
        <f t="shared" si="0"/>
        <v>-8.5</v>
      </c>
      <c r="AO6" s="8">
        <f t="shared" si="0"/>
        <v>-7.5</v>
      </c>
      <c r="AP6" s="8">
        <f t="shared" si="0"/>
        <v>-1.8</v>
      </c>
      <c r="AQ6" s="8">
        <f t="shared" si="0"/>
        <v>-0.5</v>
      </c>
      <c r="AR6" s="30">
        <f t="shared" ref="AR6:AR27" si="1">SUMPRODUCT(K6:AQ6,$K$5:$AQ$5)</f>
        <v>-77058.000000000015</v>
      </c>
    </row>
    <row r="7" spans="1:46" x14ac:dyDescent="0.35">
      <c r="A7" t="s">
        <v>5</v>
      </c>
      <c r="B7">
        <v>170</v>
      </c>
      <c r="C7">
        <v>150</v>
      </c>
      <c r="D7">
        <v>36</v>
      </c>
      <c r="E7">
        <v>10</v>
      </c>
      <c r="J7" t="s">
        <v>26</v>
      </c>
      <c r="K7" s="5">
        <v>1</v>
      </c>
      <c r="L7" s="6">
        <v>1</v>
      </c>
      <c r="M7" s="6">
        <v>1</v>
      </c>
      <c r="N7" s="5"/>
      <c r="O7" s="6"/>
      <c r="P7" s="6"/>
      <c r="Q7" s="6"/>
      <c r="R7" s="6"/>
      <c r="S7" s="7"/>
      <c r="T7" s="5"/>
      <c r="U7" s="22"/>
      <c r="V7" s="6"/>
      <c r="W7" s="6"/>
      <c r="X7" s="6"/>
      <c r="Y7" s="7"/>
      <c r="Z7" s="5"/>
      <c r="AA7" s="6"/>
      <c r="AB7" s="6"/>
      <c r="AC7" s="6"/>
      <c r="AD7" s="6"/>
      <c r="AE7" s="7"/>
      <c r="AF7" s="5"/>
      <c r="AG7" s="6"/>
      <c r="AH7" s="6"/>
      <c r="AI7" s="6"/>
      <c r="AJ7" s="6"/>
      <c r="AK7" s="7"/>
      <c r="AL7" s="5"/>
      <c r="AM7" s="6"/>
      <c r="AN7" s="6"/>
      <c r="AO7" s="6"/>
      <c r="AP7" s="6"/>
      <c r="AQ7" s="7"/>
      <c r="AR7" s="35">
        <f t="shared" si="1"/>
        <v>500.00000000000011</v>
      </c>
      <c r="AS7" s="22" t="s">
        <v>0</v>
      </c>
      <c r="AT7" s="31">
        <v>500</v>
      </c>
    </row>
    <row r="8" spans="1:46" x14ac:dyDescent="0.35">
      <c r="A8" t="s">
        <v>8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I8" s="40" t="s">
        <v>53</v>
      </c>
      <c r="J8" s="9" t="s">
        <v>2</v>
      </c>
      <c r="K8" s="8">
        <f>1.2*2.5</f>
        <v>3</v>
      </c>
      <c r="L8" s="9">
        <v>0</v>
      </c>
      <c r="M8" s="10">
        <v>0</v>
      </c>
      <c r="N8" s="8">
        <v>1</v>
      </c>
      <c r="O8" s="9">
        <v>0</v>
      </c>
      <c r="P8" s="9">
        <v>-1</v>
      </c>
      <c r="Q8" s="9">
        <v>0</v>
      </c>
      <c r="R8" s="9">
        <v>0</v>
      </c>
      <c r="S8" s="10">
        <v>0</v>
      </c>
      <c r="T8" s="8"/>
      <c r="U8" s="20"/>
      <c r="V8" s="9"/>
      <c r="W8" s="9"/>
      <c r="X8" s="9"/>
      <c r="Y8" s="10"/>
      <c r="Z8" s="8"/>
      <c r="AA8" s="9"/>
      <c r="AB8" s="9"/>
      <c r="AC8" s="9"/>
      <c r="AD8" s="9"/>
      <c r="AE8" s="10"/>
      <c r="AF8" s="8"/>
      <c r="AG8" s="9"/>
      <c r="AH8" s="9"/>
      <c r="AI8" s="9"/>
      <c r="AJ8" s="9"/>
      <c r="AK8" s="10"/>
      <c r="AL8" s="8"/>
      <c r="AM8" s="9"/>
      <c r="AN8" s="9"/>
      <c r="AO8" s="9"/>
      <c r="AP8" s="9"/>
      <c r="AQ8" s="10"/>
      <c r="AR8" s="35">
        <f t="shared" si="1"/>
        <v>199.99999999999994</v>
      </c>
      <c r="AS8" s="20" t="s">
        <v>30</v>
      </c>
      <c r="AT8" s="32">
        <v>200</v>
      </c>
    </row>
    <row r="9" spans="1:46" x14ac:dyDescent="0.35">
      <c r="A9" t="s">
        <v>10</v>
      </c>
      <c r="B9" t="s">
        <v>12</v>
      </c>
      <c r="C9" t="s">
        <v>13</v>
      </c>
      <c r="D9" t="s">
        <v>11</v>
      </c>
      <c r="E9" t="s">
        <v>16</v>
      </c>
      <c r="I9" s="41"/>
      <c r="J9" t="s">
        <v>3</v>
      </c>
      <c r="K9" s="11">
        <v>0</v>
      </c>
      <c r="L9">
        <f>1.2*3</f>
        <v>3.5999999999999996</v>
      </c>
      <c r="M9" s="12">
        <v>0</v>
      </c>
      <c r="N9" s="11">
        <v>0</v>
      </c>
      <c r="O9">
        <v>1</v>
      </c>
      <c r="P9">
        <v>0</v>
      </c>
      <c r="Q9">
        <v>-1</v>
      </c>
      <c r="R9">
        <v>0</v>
      </c>
      <c r="S9" s="12">
        <v>0</v>
      </c>
      <c r="T9" s="11"/>
      <c r="U9" s="4"/>
      <c r="Y9" s="12"/>
      <c r="Z9" s="11"/>
      <c r="AE9" s="12"/>
      <c r="AF9" s="11"/>
      <c r="AK9" s="12"/>
      <c r="AL9" s="11"/>
      <c r="AQ9" s="12"/>
      <c r="AR9" s="35">
        <f t="shared" si="1"/>
        <v>240.00000000000006</v>
      </c>
      <c r="AS9" s="4" t="s">
        <v>30</v>
      </c>
      <c r="AT9" s="33">
        <v>240</v>
      </c>
    </row>
    <row r="10" spans="1:46" x14ac:dyDescent="0.35">
      <c r="I10" s="41"/>
      <c r="J10" t="s">
        <v>27</v>
      </c>
      <c r="K10" s="11">
        <v>0</v>
      </c>
      <c r="L10">
        <v>0</v>
      </c>
      <c r="M10" s="12">
        <f>1.2*20</f>
        <v>24</v>
      </c>
      <c r="N10" s="11">
        <v>0</v>
      </c>
      <c r="O10">
        <v>0</v>
      </c>
      <c r="P10">
        <v>0</v>
      </c>
      <c r="Q10">
        <v>0</v>
      </c>
      <c r="R10">
        <v>-1</v>
      </c>
      <c r="S10" s="12">
        <v>-1</v>
      </c>
      <c r="T10" s="11"/>
      <c r="U10" s="4"/>
      <c r="Y10" s="12"/>
      <c r="Z10" s="11"/>
      <c r="AE10" s="12"/>
      <c r="AF10" s="11"/>
      <c r="AK10" s="12"/>
      <c r="AL10" s="11"/>
      <c r="AQ10" s="12"/>
      <c r="AR10" s="35">
        <f t="shared" si="1"/>
        <v>-1.3642420526593924E-12</v>
      </c>
      <c r="AS10" s="4" t="s">
        <v>30</v>
      </c>
      <c r="AT10" s="33">
        <v>0</v>
      </c>
    </row>
    <row r="11" spans="1:46" x14ac:dyDescent="0.35">
      <c r="I11" s="42"/>
      <c r="J11" s="14" t="s">
        <v>28</v>
      </c>
      <c r="K11" s="13">
        <v>0</v>
      </c>
      <c r="L11" s="14">
        <v>0</v>
      </c>
      <c r="M11" s="15">
        <v>0</v>
      </c>
      <c r="N11" s="13">
        <v>0</v>
      </c>
      <c r="O11" s="14">
        <v>0</v>
      </c>
      <c r="P11" s="14">
        <v>0</v>
      </c>
      <c r="Q11" s="14">
        <v>0</v>
      </c>
      <c r="R11" s="14">
        <v>-1</v>
      </c>
      <c r="S11" s="15">
        <v>0</v>
      </c>
      <c r="T11" s="13"/>
      <c r="U11" s="14"/>
      <c r="V11" s="14"/>
      <c r="W11" s="14"/>
      <c r="X11" s="14"/>
      <c r="Y11" s="15"/>
      <c r="Z11" s="13"/>
      <c r="AA11" s="14"/>
      <c r="AB11" s="14"/>
      <c r="AC11" s="14"/>
      <c r="AD11" s="14"/>
      <c r="AE11" s="15"/>
      <c r="AF11" s="13"/>
      <c r="AG11" s="14"/>
      <c r="AH11" s="14"/>
      <c r="AI11" s="14"/>
      <c r="AJ11" s="14"/>
      <c r="AK11" s="15"/>
      <c r="AL11" s="13"/>
      <c r="AM11" s="14"/>
      <c r="AN11" s="14"/>
      <c r="AO11" s="14"/>
      <c r="AP11" s="14"/>
      <c r="AQ11" s="15"/>
      <c r="AR11" s="35">
        <f t="shared" si="1"/>
        <v>-6000</v>
      </c>
      <c r="AS11" s="4" t="s">
        <v>30</v>
      </c>
      <c r="AT11" s="33">
        <v>-6000</v>
      </c>
    </row>
    <row r="12" spans="1:46" x14ac:dyDescent="0.35">
      <c r="I12" s="43" t="s">
        <v>49</v>
      </c>
      <c r="J12" s="9" t="s">
        <v>2</v>
      </c>
      <c r="K12" s="8">
        <v>2.5</v>
      </c>
      <c r="L12" s="9">
        <v>0</v>
      </c>
      <c r="M12" s="10">
        <v>0</v>
      </c>
      <c r="N12" s="8"/>
      <c r="O12" s="9"/>
      <c r="P12" s="9"/>
      <c r="Q12" s="9"/>
      <c r="R12" s="9"/>
      <c r="S12" s="10"/>
      <c r="T12" s="8">
        <v>1</v>
      </c>
      <c r="U12" s="9">
        <v>0</v>
      </c>
      <c r="V12" s="9">
        <v>-1</v>
      </c>
      <c r="W12" s="9">
        <v>0</v>
      </c>
      <c r="X12" s="9">
        <v>0</v>
      </c>
      <c r="Y12" s="10">
        <v>0</v>
      </c>
      <c r="Z12" s="8"/>
      <c r="AA12" s="9"/>
      <c r="AB12" s="9"/>
      <c r="AC12" s="9"/>
      <c r="AD12" s="9"/>
      <c r="AE12" s="10"/>
      <c r="AF12" s="8"/>
      <c r="AG12" s="9"/>
      <c r="AH12" s="9"/>
      <c r="AI12" s="9"/>
      <c r="AJ12" s="9"/>
      <c r="AK12" s="10"/>
      <c r="AL12" s="8"/>
      <c r="AM12" s="9"/>
      <c r="AN12" s="9"/>
      <c r="AO12" s="9"/>
      <c r="AP12" s="9"/>
      <c r="AQ12" s="10"/>
      <c r="AR12" s="35">
        <f t="shared" si="1"/>
        <v>200.00000000000006</v>
      </c>
      <c r="AS12" s="22" t="s">
        <v>30</v>
      </c>
      <c r="AT12" s="31">
        <v>200</v>
      </c>
    </row>
    <row r="13" spans="1:46" x14ac:dyDescent="0.35">
      <c r="I13" s="41"/>
      <c r="J13" t="s">
        <v>3</v>
      </c>
      <c r="K13" s="11">
        <v>0</v>
      </c>
      <c r="L13">
        <v>3</v>
      </c>
      <c r="M13" s="12">
        <v>0</v>
      </c>
      <c r="N13" s="11"/>
      <c r="S13" s="12"/>
      <c r="T13" s="11">
        <v>0</v>
      </c>
      <c r="U13">
        <v>1</v>
      </c>
      <c r="V13">
        <v>0</v>
      </c>
      <c r="W13">
        <v>-1</v>
      </c>
      <c r="X13">
        <v>0</v>
      </c>
      <c r="Y13" s="12">
        <v>0</v>
      </c>
      <c r="Z13" s="11"/>
      <c r="AE13" s="12"/>
      <c r="AF13" s="11"/>
      <c r="AK13" s="12"/>
      <c r="AL13" s="11"/>
      <c r="AQ13" s="12"/>
      <c r="AR13" s="35">
        <f t="shared" si="1"/>
        <v>240.00000000000006</v>
      </c>
      <c r="AS13" s="4" t="s">
        <v>30</v>
      </c>
      <c r="AT13" s="33">
        <v>240</v>
      </c>
    </row>
    <row r="14" spans="1:46" x14ac:dyDescent="0.35">
      <c r="I14" s="41"/>
      <c r="J14" t="s">
        <v>27</v>
      </c>
      <c r="K14" s="11">
        <v>0</v>
      </c>
      <c r="L14">
        <v>0</v>
      </c>
      <c r="M14" s="12">
        <v>20</v>
      </c>
      <c r="N14" s="11"/>
      <c r="S14" s="12"/>
      <c r="T14" s="11">
        <v>0</v>
      </c>
      <c r="U14">
        <v>0</v>
      </c>
      <c r="V14">
        <v>0</v>
      </c>
      <c r="W14">
        <v>0</v>
      </c>
      <c r="X14">
        <v>-1</v>
      </c>
      <c r="Y14" s="12">
        <v>-1</v>
      </c>
      <c r="Z14" s="11"/>
      <c r="AE14" s="12"/>
      <c r="AF14" s="11"/>
      <c r="AK14" s="12"/>
      <c r="AL14" s="11"/>
      <c r="AQ14" s="12"/>
      <c r="AR14" s="35">
        <f t="shared" si="1"/>
        <v>0</v>
      </c>
      <c r="AS14" s="4" t="s">
        <v>30</v>
      </c>
      <c r="AT14" s="33">
        <v>0</v>
      </c>
    </row>
    <row r="15" spans="1:46" x14ac:dyDescent="0.35">
      <c r="I15" s="42"/>
      <c r="J15" s="14" t="s">
        <v>28</v>
      </c>
      <c r="K15" s="13">
        <v>0</v>
      </c>
      <c r="L15" s="14">
        <v>0</v>
      </c>
      <c r="M15" s="15">
        <v>0</v>
      </c>
      <c r="N15" s="13"/>
      <c r="O15" s="14"/>
      <c r="P15" s="14"/>
      <c r="Q15" s="14"/>
      <c r="R15" s="14"/>
      <c r="S15" s="15"/>
      <c r="T15" s="13">
        <v>0</v>
      </c>
      <c r="U15" s="14">
        <v>0</v>
      </c>
      <c r="V15" s="14">
        <v>0</v>
      </c>
      <c r="W15" s="14">
        <v>0</v>
      </c>
      <c r="X15" s="14">
        <v>-1</v>
      </c>
      <c r="Y15" s="15">
        <v>0</v>
      </c>
      <c r="Z15" s="13"/>
      <c r="AA15" s="14"/>
      <c r="AB15" s="14"/>
      <c r="AC15" s="14"/>
      <c r="AD15" s="14"/>
      <c r="AE15" s="15"/>
      <c r="AF15" s="13"/>
      <c r="AG15" s="14"/>
      <c r="AH15" s="14"/>
      <c r="AI15" s="14"/>
      <c r="AJ15" s="14"/>
      <c r="AK15" s="15"/>
      <c r="AL15" s="13"/>
      <c r="AM15" s="14"/>
      <c r="AN15" s="14"/>
      <c r="AO15" s="14"/>
      <c r="AP15" s="14"/>
      <c r="AQ15" s="15"/>
      <c r="AR15" s="35">
        <f t="shared" si="1"/>
        <v>-6000</v>
      </c>
      <c r="AS15" s="21" t="s">
        <v>30</v>
      </c>
      <c r="AT15" s="34">
        <v>-6000</v>
      </c>
    </row>
    <row r="16" spans="1:46" x14ac:dyDescent="0.35">
      <c r="I16" s="43" t="s">
        <v>52</v>
      </c>
      <c r="J16" s="9" t="s">
        <v>2</v>
      </c>
      <c r="K16" s="8">
        <f>0.8*2.5</f>
        <v>2</v>
      </c>
      <c r="L16" s="9">
        <v>0</v>
      </c>
      <c r="M16" s="10">
        <v>0</v>
      </c>
      <c r="N16" s="8"/>
      <c r="O16" s="9"/>
      <c r="P16" s="9"/>
      <c r="Q16" s="9"/>
      <c r="R16" s="9"/>
      <c r="S16" s="10"/>
      <c r="T16" s="8"/>
      <c r="U16" s="9"/>
      <c r="V16" s="9"/>
      <c r="W16" s="9"/>
      <c r="X16" s="9"/>
      <c r="Y16" s="10"/>
      <c r="Z16" s="8">
        <v>1</v>
      </c>
      <c r="AA16" s="9">
        <v>0</v>
      </c>
      <c r="AB16" s="9">
        <v>-1</v>
      </c>
      <c r="AC16" s="9">
        <v>0</v>
      </c>
      <c r="AD16" s="9">
        <v>0</v>
      </c>
      <c r="AE16" s="10">
        <v>0</v>
      </c>
      <c r="AF16" s="8"/>
      <c r="AG16" s="9"/>
      <c r="AH16" s="9"/>
      <c r="AI16" s="9"/>
      <c r="AJ16" s="9"/>
      <c r="AK16" s="10"/>
      <c r="AL16" s="8"/>
      <c r="AM16" s="9"/>
      <c r="AN16" s="9"/>
      <c r="AO16" s="9"/>
      <c r="AP16" s="9"/>
      <c r="AQ16" s="10"/>
      <c r="AR16" s="35">
        <f t="shared" si="1"/>
        <v>200</v>
      </c>
      <c r="AS16" s="4" t="s">
        <v>30</v>
      </c>
      <c r="AT16" s="33">
        <v>200</v>
      </c>
    </row>
    <row r="17" spans="9:46" x14ac:dyDescent="0.35">
      <c r="I17" s="41"/>
      <c r="J17" t="s">
        <v>3</v>
      </c>
      <c r="K17" s="11">
        <v>0</v>
      </c>
      <c r="L17">
        <f>0.8*3</f>
        <v>2.4000000000000004</v>
      </c>
      <c r="M17" s="12">
        <v>0</v>
      </c>
      <c r="N17" s="11"/>
      <c r="S17" s="12"/>
      <c r="T17" s="11"/>
      <c r="Y17" s="12"/>
      <c r="Z17" s="11">
        <v>0</v>
      </c>
      <c r="AA17">
        <v>1</v>
      </c>
      <c r="AB17">
        <v>0</v>
      </c>
      <c r="AC17">
        <v>-1</v>
      </c>
      <c r="AD17">
        <v>0</v>
      </c>
      <c r="AE17" s="12">
        <v>0</v>
      </c>
      <c r="AF17" s="11"/>
      <c r="AK17" s="12"/>
      <c r="AL17" s="11"/>
      <c r="AQ17" s="12"/>
      <c r="AR17" s="35">
        <f t="shared" si="1"/>
        <v>240.00000000000006</v>
      </c>
      <c r="AS17" s="4" t="s">
        <v>30</v>
      </c>
      <c r="AT17" s="33">
        <v>240</v>
      </c>
    </row>
    <row r="18" spans="9:46" x14ac:dyDescent="0.35">
      <c r="I18" s="41"/>
      <c r="J18" t="s">
        <v>27</v>
      </c>
      <c r="K18" s="11">
        <v>0</v>
      </c>
      <c r="L18">
        <v>0</v>
      </c>
      <c r="M18" s="12">
        <f>0.8*20</f>
        <v>16</v>
      </c>
      <c r="N18" s="11"/>
      <c r="S18" s="12"/>
      <c r="T18" s="11"/>
      <c r="Y18" s="12"/>
      <c r="Z18" s="11">
        <v>0</v>
      </c>
      <c r="AA18">
        <v>0</v>
      </c>
      <c r="AB18">
        <v>0</v>
      </c>
      <c r="AC18">
        <v>0</v>
      </c>
      <c r="AD18">
        <v>-1</v>
      </c>
      <c r="AE18" s="12">
        <v>-1</v>
      </c>
      <c r="AF18" s="11"/>
      <c r="AK18" s="12"/>
      <c r="AL18" s="11"/>
      <c r="AQ18" s="12"/>
      <c r="AR18" s="35">
        <f t="shared" si="1"/>
        <v>-9.0949470177292824E-13</v>
      </c>
      <c r="AS18" s="4" t="s">
        <v>30</v>
      </c>
      <c r="AT18" s="33">
        <v>0</v>
      </c>
    </row>
    <row r="19" spans="9:46" x14ac:dyDescent="0.35">
      <c r="I19" s="42"/>
      <c r="J19" s="14" t="s">
        <v>28</v>
      </c>
      <c r="L19" s="14">
        <v>0</v>
      </c>
      <c r="M19" s="15">
        <v>0</v>
      </c>
      <c r="N19" s="13"/>
      <c r="O19" s="14"/>
      <c r="P19" s="14"/>
      <c r="Q19" s="14"/>
      <c r="R19" s="14"/>
      <c r="S19" s="15"/>
      <c r="T19" s="13"/>
      <c r="U19" s="14"/>
      <c r="V19" s="14"/>
      <c r="W19" s="14"/>
      <c r="X19" s="14"/>
      <c r="Y19" s="15"/>
      <c r="Z19" s="13">
        <v>0</v>
      </c>
      <c r="AA19" s="14">
        <v>0</v>
      </c>
      <c r="AB19" s="14">
        <v>0</v>
      </c>
      <c r="AC19" s="14">
        <v>0</v>
      </c>
      <c r="AD19" s="14">
        <v>-1</v>
      </c>
      <c r="AE19" s="15">
        <v>0</v>
      </c>
      <c r="AF19" s="13"/>
      <c r="AG19" s="14"/>
      <c r="AH19" s="14"/>
      <c r="AI19" s="14"/>
      <c r="AJ19" s="14"/>
      <c r="AK19" s="15"/>
      <c r="AL19" s="13"/>
      <c r="AM19" s="14"/>
      <c r="AN19" s="14"/>
      <c r="AO19" s="14"/>
      <c r="AP19" s="14"/>
      <c r="AQ19" s="15"/>
      <c r="AR19" s="35">
        <f t="shared" si="1"/>
        <v>-4800.0000000000009</v>
      </c>
      <c r="AS19" s="21" t="s">
        <v>30</v>
      </c>
      <c r="AT19" s="34">
        <v>-6000</v>
      </c>
    </row>
    <row r="20" spans="9:46" x14ac:dyDescent="0.35">
      <c r="I20" s="43"/>
      <c r="J20" s="9" t="s">
        <v>2</v>
      </c>
      <c r="K20" s="8">
        <v>1</v>
      </c>
      <c r="L20" s="9">
        <v>0</v>
      </c>
      <c r="M20" s="10">
        <v>0</v>
      </c>
      <c r="N20" s="8"/>
      <c r="O20" s="9"/>
      <c r="P20" s="9"/>
      <c r="Q20" s="9"/>
      <c r="R20" s="9"/>
      <c r="S20" s="10"/>
      <c r="T20" s="8"/>
      <c r="U20" s="9"/>
      <c r="V20" s="9"/>
      <c r="W20" s="9"/>
      <c r="X20" s="9"/>
      <c r="Y20" s="10"/>
      <c r="Z20" s="8"/>
      <c r="AA20" s="9"/>
      <c r="AB20" s="9"/>
      <c r="AC20" s="9"/>
      <c r="AD20" s="9"/>
      <c r="AE20" s="10"/>
      <c r="AF20" s="8">
        <v>1</v>
      </c>
      <c r="AG20" s="9">
        <v>0</v>
      </c>
      <c r="AH20" s="9">
        <v>-1</v>
      </c>
      <c r="AI20" s="9">
        <v>0</v>
      </c>
      <c r="AJ20" s="9">
        <v>0</v>
      </c>
      <c r="AK20" s="10">
        <v>0</v>
      </c>
      <c r="AL20" s="8"/>
      <c r="AM20" s="9"/>
      <c r="AN20" s="9"/>
      <c r="AO20" s="9"/>
      <c r="AP20" s="9"/>
      <c r="AQ20" s="10"/>
      <c r="AR20" s="35">
        <f t="shared" si="1"/>
        <v>200.00000000000006</v>
      </c>
      <c r="AS20" s="4" t="s">
        <v>30</v>
      </c>
      <c r="AT20" s="33">
        <v>200</v>
      </c>
    </row>
    <row r="21" spans="9:46" x14ac:dyDescent="0.35">
      <c r="I21" s="41"/>
      <c r="J21" t="s">
        <v>3</v>
      </c>
      <c r="K21" s="11">
        <v>0</v>
      </c>
      <c r="L21">
        <v>1.5</v>
      </c>
      <c r="M21" s="12">
        <v>0</v>
      </c>
      <c r="N21" s="11"/>
      <c r="S21" s="12"/>
      <c r="T21" s="11"/>
      <c r="Y21" s="12"/>
      <c r="Z21" s="11"/>
      <c r="AE21" s="12"/>
      <c r="AF21" s="11">
        <v>0</v>
      </c>
      <c r="AG21">
        <v>1</v>
      </c>
      <c r="AH21">
        <v>0</v>
      </c>
      <c r="AI21">
        <v>-1</v>
      </c>
      <c r="AJ21">
        <v>0</v>
      </c>
      <c r="AK21" s="12">
        <v>0</v>
      </c>
      <c r="AL21" s="11"/>
      <c r="AQ21" s="12"/>
      <c r="AR21" s="35">
        <f t="shared" si="1"/>
        <v>240</v>
      </c>
      <c r="AS21" s="4" t="s">
        <v>30</v>
      </c>
      <c r="AT21" s="33">
        <v>240</v>
      </c>
    </row>
    <row r="22" spans="9:46" x14ac:dyDescent="0.35">
      <c r="I22" s="41"/>
      <c r="J22" t="s">
        <v>27</v>
      </c>
      <c r="K22" s="11">
        <v>0</v>
      </c>
      <c r="L22">
        <v>0</v>
      </c>
      <c r="M22" s="12">
        <v>12</v>
      </c>
      <c r="N22" s="11"/>
      <c r="S22" s="12"/>
      <c r="T22" s="11"/>
      <c r="Y22" s="12"/>
      <c r="Z22" s="11"/>
      <c r="AE22" s="12"/>
      <c r="AF22" s="11">
        <v>0</v>
      </c>
      <c r="AG22">
        <v>0</v>
      </c>
      <c r="AH22">
        <v>0</v>
      </c>
      <c r="AI22">
        <v>0</v>
      </c>
      <c r="AJ22">
        <v>-1</v>
      </c>
      <c r="AK22" s="12">
        <v>-1</v>
      </c>
      <c r="AL22" s="11"/>
      <c r="AQ22" s="12"/>
      <c r="AR22" s="35">
        <f t="shared" si="1"/>
        <v>-9.0949470177292824E-13</v>
      </c>
      <c r="AS22" s="4" t="s">
        <v>30</v>
      </c>
      <c r="AT22" s="33">
        <v>0</v>
      </c>
    </row>
    <row r="23" spans="9:46" x14ac:dyDescent="0.35">
      <c r="I23" s="42"/>
      <c r="J23" s="14" t="s">
        <v>28</v>
      </c>
      <c r="L23" s="14">
        <v>0</v>
      </c>
      <c r="M23" s="15">
        <v>0</v>
      </c>
      <c r="N23" s="13"/>
      <c r="O23" s="14"/>
      <c r="P23" s="14"/>
      <c r="Q23" s="14"/>
      <c r="R23" s="14"/>
      <c r="S23" s="15"/>
      <c r="T23" s="13"/>
      <c r="U23" s="14"/>
      <c r="V23" s="14"/>
      <c r="W23" s="14"/>
      <c r="X23" s="14"/>
      <c r="Y23" s="15"/>
      <c r="Z23" s="13"/>
      <c r="AA23" s="14"/>
      <c r="AB23" s="14"/>
      <c r="AC23" s="14"/>
      <c r="AD23" s="14"/>
      <c r="AE23" s="15"/>
      <c r="AF23" s="13">
        <v>0</v>
      </c>
      <c r="AG23" s="14">
        <v>0</v>
      </c>
      <c r="AH23" s="14">
        <v>0</v>
      </c>
      <c r="AI23" s="14">
        <v>0</v>
      </c>
      <c r="AJ23" s="14">
        <v>-1</v>
      </c>
      <c r="AK23" s="15">
        <v>0</v>
      </c>
      <c r="AL23" s="13"/>
      <c r="AM23" s="14"/>
      <c r="AN23" s="14"/>
      <c r="AO23" s="14"/>
      <c r="AP23" s="14"/>
      <c r="AQ23" s="15"/>
      <c r="AR23" s="35">
        <f t="shared" si="1"/>
        <v>-3600.0000000000009</v>
      </c>
      <c r="AS23" s="21" t="s">
        <v>30</v>
      </c>
      <c r="AT23" s="34">
        <v>-6000</v>
      </c>
    </row>
    <row r="24" spans="9:46" x14ac:dyDescent="0.35">
      <c r="I24" s="43"/>
      <c r="J24" s="9" t="s">
        <v>2</v>
      </c>
      <c r="K24" s="8">
        <v>3.2</v>
      </c>
      <c r="L24" s="9">
        <v>0</v>
      </c>
      <c r="M24" s="10">
        <v>0</v>
      </c>
      <c r="N24" s="8"/>
      <c r="O24" s="9"/>
      <c r="P24" s="9"/>
      <c r="Q24" s="9"/>
      <c r="R24" s="9"/>
      <c r="S24" s="10"/>
      <c r="T24" s="8"/>
      <c r="U24" s="9"/>
      <c r="V24" s="9"/>
      <c r="W24" s="9"/>
      <c r="X24" s="9"/>
      <c r="Y24" s="10"/>
      <c r="Z24" s="8"/>
      <c r="AA24" s="9"/>
      <c r="AB24" s="9"/>
      <c r="AC24" s="9"/>
      <c r="AD24" s="9"/>
      <c r="AE24" s="10"/>
      <c r="AF24" s="8"/>
      <c r="AG24" s="9"/>
      <c r="AH24" s="9"/>
      <c r="AI24" s="9"/>
      <c r="AJ24" s="9"/>
      <c r="AK24" s="10"/>
      <c r="AL24" s="8">
        <v>1</v>
      </c>
      <c r="AM24" s="9">
        <v>0</v>
      </c>
      <c r="AN24" s="9">
        <v>-1</v>
      </c>
      <c r="AO24" s="9">
        <v>0</v>
      </c>
      <c r="AP24" s="9">
        <v>0</v>
      </c>
      <c r="AQ24" s="10">
        <v>0</v>
      </c>
      <c r="AR24" s="35">
        <f t="shared" si="1"/>
        <v>200.00000000000009</v>
      </c>
      <c r="AS24" s="4" t="s">
        <v>30</v>
      </c>
      <c r="AT24" s="33">
        <v>200</v>
      </c>
    </row>
    <row r="25" spans="9:46" x14ac:dyDescent="0.35">
      <c r="I25" s="41"/>
      <c r="J25" t="s">
        <v>3</v>
      </c>
      <c r="K25" s="11">
        <v>0</v>
      </c>
      <c r="L25">
        <v>4.3</v>
      </c>
      <c r="M25" s="12">
        <v>0</v>
      </c>
      <c r="N25" s="11"/>
      <c r="S25" s="12"/>
      <c r="T25" s="11"/>
      <c r="Y25" s="12"/>
      <c r="Z25" s="11"/>
      <c r="AE25" s="12"/>
      <c r="AF25" s="11"/>
      <c r="AK25" s="12"/>
      <c r="AL25" s="11">
        <v>0</v>
      </c>
      <c r="AM25">
        <v>1</v>
      </c>
      <c r="AN25">
        <v>0</v>
      </c>
      <c r="AO25">
        <v>-1</v>
      </c>
      <c r="AP25">
        <v>0</v>
      </c>
      <c r="AQ25" s="12">
        <v>0</v>
      </c>
      <c r="AR25" s="35">
        <f t="shared" si="1"/>
        <v>240.00000000000017</v>
      </c>
      <c r="AS25" s="4" t="s">
        <v>30</v>
      </c>
      <c r="AT25" s="33">
        <v>240</v>
      </c>
    </row>
    <row r="26" spans="9:46" x14ac:dyDescent="0.35">
      <c r="I26" s="41"/>
      <c r="J26" t="s">
        <v>27</v>
      </c>
      <c r="K26" s="11">
        <v>0</v>
      </c>
      <c r="L26">
        <v>0</v>
      </c>
      <c r="M26" s="12">
        <v>24.6</v>
      </c>
      <c r="N26" s="11"/>
      <c r="S26" s="12"/>
      <c r="T26" s="11"/>
      <c r="Y26" s="12"/>
      <c r="Z26" s="11"/>
      <c r="AE26" s="12"/>
      <c r="AF26" s="11"/>
      <c r="AK26" s="12"/>
      <c r="AL26" s="11">
        <v>0</v>
      </c>
      <c r="AM26">
        <v>0</v>
      </c>
      <c r="AN26">
        <v>0</v>
      </c>
      <c r="AO26">
        <v>0</v>
      </c>
      <c r="AP26">
        <v>-1</v>
      </c>
      <c r="AQ26" s="12">
        <v>-1</v>
      </c>
      <c r="AR26" s="35">
        <f t="shared" si="1"/>
        <v>-1.3642420526593924E-12</v>
      </c>
      <c r="AS26" s="4" t="s">
        <v>30</v>
      </c>
      <c r="AT26" s="33">
        <v>0</v>
      </c>
    </row>
    <row r="27" spans="9:46" x14ac:dyDescent="0.35">
      <c r="I27" s="42"/>
      <c r="J27" s="14" t="s">
        <v>28</v>
      </c>
      <c r="L27" s="14">
        <v>0</v>
      </c>
      <c r="M27" s="15">
        <v>0</v>
      </c>
      <c r="N27" s="13"/>
      <c r="O27" s="14"/>
      <c r="P27" s="14"/>
      <c r="Q27" s="14"/>
      <c r="R27" s="14"/>
      <c r="S27" s="15"/>
      <c r="T27" s="13"/>
      <c r="U27" s="14"/>
      <c r="V27" s="14"/>
      <c r="W27" s="14"/>
      <c r="X27" s="14"/>
      <c r="Y27" s="15"/>
      <c r="Z27" s="13"/>
      <c r="AA27" s="14"/>
      <c r="AB27" s="14"/>
      <c r="AC27" s="14"/>
      <c r="AD27" s="14"/>
      <c r="AE27" s="15"/>
      <c r="AF27" s="13"/>
      <c r="AG27" s="14"/>
      <c r="AH27" s="14"/>
      <c r="AI27" s="14"/>
      <c r="AJ27" s="14"/>
      <c r="AK27" s="15"/>
      <c r="AL27" s="13">
        <v>0</v>
      </c>
      <c r="AM27" s="14">
        <v>0</v>
      </c>
      <c r="AN27" s="14">
        <v>0</v>
      </c>
      <c r="AO27" s="14">
        <v>0</v>
      </c>
      <c r="AP27" s="14">
        <v>-1</v>
      </c>
      <c r="AQ27" s="15">
        <v>0</v>
      </c>
      <c r="AR27" s="35">
        <f t="shared" si="1"/>
        <v>-6000</v>
      </c>
      <c r="AS27" s="21" t="s">
        <v>30</v>
      </c>
      <c r="AT27" s="34">
        <v>-6000</v>
      </c>
    </row>
  </sheetData>
  <mergeCells count="5">
    <mergeCell ref="I8:I11"/>
    <mergeCell ref="I12:I15"/>
    <mergeCell ref="I16:I19"/>
    <mergeCell ref="I20:I23"/>
    <mergeCell ref="I24:I2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63B8-EB9D-4227-BEBC-562734DDEEDE}">
  <dimension ref="A1:AH19"/>
  <sheetViews>
    <sheetView topLeftCell="H1" zoomScaleNormal="100" workbookViewId="0">
      <selection activeCell="W5" sqref="W5"/>
    </sheetView>
  </sheetViews>
  <sheetFormatPr defaultColWidth="8.9375" defaultRowHeight="13.5" x14ac:dyDescent="0.35"/>
  <cols>
    <col min="1" max="1" width="22" bestFit="1" customWidth="1"/>
    <col min="4" max="4" width="11.5625" bestFit="1" customWidth="1"/>
    <col min="5" max="5" width="11.9375" bestFit="1" customWidth="1"/>
    <col min="7" max="7" width="12.1875" bestFit="1" customWidth="1"/>
    <col min="9" max="9" width="10.0625" bestFit="1" customWidth="1"/>
    <col min="10" max="10" width="12.1875" bestFit="1" customWidth="1"/>
    <col min="11" max="13" width="6.5625" customWidth="1"/>
    <col min="14" max="31" width="5" customWidth="1"/>
    <col min="33" max="33" width="3" bestFit="1" customWidth="1"/>
  </cols>
  <sheetData>
    <row r="1" spans="1:34" x14ac:dyDescent="0.35">
      <c r="B1" s="2" t="s">
        <v>2</v>
      </c>
      <c r="C1" s="2" t="s">
        <v>3</v>
      </c>
      <c r="D1" s="2" t="s">
        <v>9</v>
      </c>
      <c r="J1" t="s">
        <v>48</v>
      </c>
      <c r="K1">
        <v>150</v>
      </c>
      <c r="L1">
        <v>230</v>
      </c>
      <c r="M1">
        <v>260</v>
      </c>
      <c r="N1">
        <v>238</v>
      </c>
      <c r="O1">
        <v>210</v>
      </c>
      <c r="P1">
        <v>-170</v>
      </c>
      <c r="Q1">
        <v>-150</v>
      </c>
      <c r="R1">
        <v>-36</v>
      </c>
      <c r="S1">
        <v>-10</v>
      </c>
      <c r="T1">
        <v>238</v>
      </c>
      <c r="U1">
        <v>210</v>
      </c>
      <c r="V1">
        <v>-170</v>
      </c>
      <c r="W1">
        <v>-150</v>
      </c>
      <c r="X1">
        <v>-36</v>
      </c>
      <c r="Y1">
        <v>-10</v>
      </c>
      <c r="Z1">
        <v>238</v>
      </c>
      <c r="AA1">
        <v>210</v>
      </c>
      <c r="AB1">
        <v>-170</v>
      </c>
      <c r="AC1">
        <v>-150</v>
      </c>
      <c r="AD1">
        <v>-36</v>
      </c>
      <c r="AE1">
        <v>-10</v>
      </c>
    </row>
    <row r="2" spans="1:34" x14ac:dyDescent="0.35">
      <c r="A2" t="s">
        <v>1</v>
      </c>
      <c r="B2">
        <v>2.5</v>
      </c>
      <c r="C2">
        <v>3</v>
      </c>
      <c r="D2">
        <v>20</v>
      </c>
      <c r="J2" t="s">
        <v>50</v>
      </c>
      <c r="K2">
        <v>1</v>
      </c>
      <c r="L2">
        <v>1</v>
      </c>
      <c r="M2">
        <v>1</v>
      </c>
      <c r="N2">
        <f>1/3</f>
        <v>0.33333333333333331</v>
      </c>
      <c r="O2">
        <f t="shared" ref="O2:AE2" si="0">1/3</f>
        <v>0.33333333333333331</v>
      </c>
      <c r="P2">
        <f t="shared" si="0"/>
        <v>0.33333333333333331</v>
      </c>
      <c r="Q2">
        <f t="shared" si="0"/>
        <v>0.33333333333333331</v>
      </c>
      <c r="R2">
        <f t="shared" si="0"/>
        <v>0.33333333333333331</v>
      </c>
      <c r="S2">
        <f t="shared" si="0"/>
        <v>0.33333333333333331</v>
      </c>
      <c r="T2">
        <f t="shared" si="0"/>
        <v>0.33333333333333331</v>
      </c>
      <c r="U2">
        <f t="shared" si="0"/>
        <v>0.33333333333333331</v>
      </c>
      <c r="V2">
        <f t="shared" si="0"/>
        <v>0.33333333333333331</v>
      </c>
      <c r="W2">
        <f t="shared" si="0"/>
        <v>0.33333333333333331</v>
      </c>
      <c r="X2">
        <f t="shared" si="0"/>
        <v>0.33333333333333331</v>
      </c>
      <c r="Y2">
        <f t="shared" si="0"/>
        <v>0.33333333333333331</v>
      </c>
      <c r="Z2">
        <f t="shared" si="0"/>
        <v>0.33333333333333331</v>
      </c>
      <c r="AA2">
        <f t="shared" si="0"/>
        <v>0.33333333333333331</v>
      </c>
      <c r="AB2">
        <f t="shared" si="0"/>
        <v>0.33333333333333331</v>
      </c>
      <c r="AC2">
        <f t="shared" si="0"/>
        <v>0.33333333333333331</v>
      </c>
      <c r="AD2">
        <f t="shared" si="0"/>
        <v>0.33333333333333331</v>
      </c>
      <c r="AE2">
        <f t="shared" si="0"/>
        <v>0.33333333333333331</v>
      </c>
    </row>
    <row r="3" spans="1:34" x14ac:dyDescent="0.35">
      <c r="A3" t="s">
        <v>4</v>
      </c>
      <c r="B3">
        <v>150</v>
      </c>
      <c r="C3">
        <v>230</v>
      </c>
      <c r="D3">
        <v>260</v>
      </c>
    </row>
    <row r="4" spans="1:34" x14ac:dyDescent="0.35">
      <c r="A4" t="s">
        <v>14</v>
      </c>
      <c r="B4">
        <v>200</v>
      </c>
      <c r="C4">
        <v>240</v>
      </c>
      <c r="D4" s="3">
        <v>0</v>
      </c>
      <c r="K4" s="16" t="s">
        <v>17</v>
      </c>
      <c r="L4" s="17" t="s">
        <v>18</v>
      </c>
      <c r="M4" s="17" t="s">
        <v>19</v>
      </c>
      <c r="N4" s="16" t="s">
        <v>32</v>
      </c>
      <c r="O4" s="17" t="s">
        <v>33</v>
      </c>
      <c r="P4" s="17" t="s">
        <v>31</v>
      </c>
      <c r="Q4" s="17" t="s">
        <v>34</v>
      </c>
      <c r="R4" s="17" t="s">
        <v>35</v>
      </c>
      <c r="S4" s="18" t="s">
        <v>36</v>
      </c>
      <c r="T4" s="16" t="s">
        <v>37</v>
      </c>
      <c r="U4" s="17" t="s">
        <v>38</v>
      </c>
      <c r="V4" s="17" t="s">
        <v>39</v>
      </c>
      <c r="W4" s="17" t="s">
        <v>61</v>
      </c>
      <c r="X4" s="17" t="s">
        <v>40</v>
      </c>
      <c r="Y4" s="18" t="s">
        <v>41</v>
      </c>
      <c r="Z4" s="16" t="s">
        <v>42</v>
      </c>
      <c r="AA4" s="17" t="s">
        <v>43</v>
      </c>
      <c r="AB4" s="17" t="s">
        <v>44</v>
      </c>
      <c r="AC4" s="17" t="s">
        <v>45</v>
      </c>
      <c r="AD4" s="17" t="s">
        <v>46</v>
      </c>
      <c r="AE4" s="18" t="s">
        <v>47</v>
      </c>
    </row>
    <row r="5" spans="1:34" ht="13.9" thickBot="1" x14ac:dyDescent="0.4">
      <c r="A5" t="s">
        <v>15</v>
      </c>
      <c r="B5">
        <v>238</v>
      </c>
      <c r="C5">
        <v>210</v>
      </c>
      <c r="D5" s="3">
        <v>0</v>
      </c>
      <c r="J5" s="19" t="s">
        <v>51</v>
      </c>
      <c r="K5" s="27">
        <v>170</v>
      </c>
      <c r="L5" s="25">
        <v>80</v>
      </c>
      <c r="M5" s="25">
        <v>249.99999999999994</v>
      </c>
      <c r="N5" s="27">
        <v>0</v>
      </c>
      <c r="O5" s="25">
        <v>0</v>
      </c>
      <c r="P5" s="25">
        <v>310.00000000000011</v>
      </c>
      <c r="Q5" s="25">
        <v>48</v>
      </c>
      <c r="R5" s="25">
        <v>5999.9999999999991</v>
      </c>
      <c r="S5" s="28">
        <v>0</v>
      </c>
      <c r="T5" s="27">
        <v>0</v>
      </c>
      <c r="U5" s="25">
        <v>0</v>
      </c>
      <c r="V5" s="25">
        <v>225</v>
      </c>
      <c r="W5" s="25">
        <v>0</v>
      </c>
      <c r="X5" s="25">
        <v>4999.9999999999991</v>
      </c>
      <c r="Y5" s="28">
        <v>0</v>
      </c>
      <c r="Z5" s="27">
        <v>0</v>
      </c>
      <c r="AA5" s="25">
        <v>47.999999999999972</v>
      </c>
      <c r="AB5" s="25">
        <v>140</v>
      </c>
      <c r="AC5" s="25">
        <v>0</v>
      </c>
      <c r="AD5" s="25">
        <v>3999.9999999999991</v>
      </c>
      <c r="AE5" s="28">
        <v>0</v>
      </c>
    </row>
    <row r="6" spans="1:34" ht="13.9" thickBot="1" x14ac:dyDescent="0.4">
      <c r="D6" t="s">
        <v>6</v>
      </c>
      <c r="E6" t="s">
        <v>7</v>
      </c>
      <c r="J6" s="5" t="s">
        <v>29</v>
      </c>
      <c r="K6" s="8">
        <f>K1*K2</f>
        <v>150</v>
      </c>
      <c r="L6" s="9">
        <f t="shared" ref="L6:AE6" si="1">L1*L2</f>
        <v>230</v>
      </c>
      <c r="M6" s="9">
        <f t="shared" si="1"/>
        <v>260</v>
      </c>
      <c r="N6" s="8">
        <f t="shared" si="1"/>
        <v>79.333333333333329</v>
      </c>
      <c r="O6" s="9">
        <f t="shared" si="1"/>
        <v>70</v>
      </c>
      <c r="P6" s="9">
        <f t="shared" si="1"/>
        <v>-56.666666666666664</v>
      </c>
      <c r="Q6" s="9">
        <f t="shared" si="1"/>
        <v>-50</v>
      </c>
      <c r="R6" s="9">
        <f t="shared" si="1"/>
        <v>-12</v>
      </c>
      <c r="S6" s="10">
        <f t="shared" si="1"/>
        <v>-3.333333333333333</v>
      </c>
      <c r="T6" s="8">
        <f t="shared" si="1"/>
        <v>79.333333333333329</v>
      </c>
      <c r="U6" s="9">
        <f t="shared" si="1"/>
        <v>70</v>
      </c>
      <c r="V6" s="9">
        <f t="shared" si="1"/>
        <v>-56.666666666666664</v>
      </c>
      <c r="W6" s="9">
        <f t="shared" si="1"/>
        <v>-50</v>
      </c>
      <c r="X6" s="9">
        <f t="shared" si="1"/>
        <v>-12</v>
      </c>
      <c r="Y6" s="10">
        <f t="shared" si="1"/>
        <v>-3.333333333333333</v>
      </c>
      <c r="Z6" s="8">
        <f t="shared" si="1"/>
        <v>79.333333333333329</v>
      </c>
      <c r="AA6" s="9">
        <f t="shared" si="1"/>
        <v>70</v>
      </c>
      <c r="AB6" s="9">
        <f t="shared" si="1"/>
        <v>-56.666666666666664</v>
      </c>
      <c r="AC6" s="9">
        <f t="shared" si="1"/>
        <v>-50</v>
      </c>
      <c r="AD6" s="9">
        <f t="shared" si="1"/>
        <v>-12</v>
      </c>
      <c r="AE6" s="10">
        <f t="shared" si="1"/>
        <v>-3.333333333333333</v>
      </c>
      <c r="AF6" s="30">
        <f>SUMPRODUCT(K6:AE6,$K$5:$AE$5)</f>
        <v>-108389.99999999997</v>
      </c>
    </row>
    <row r="7" spans="1:34" x14ac:dyDescent="0.35">
      <c r="A7" t="s">
        <v>5</v>
      </c>
      <c r="B7">
        <v>170</v>
      </c>
      <c r="C7">
        <v>150</v>
      </c>
      <c r="D7">
        <v>36</v>
      </c>
      <c r="E7">
        <v>10</v>
      </c>
      <c r="J7" t="s">
        <v>26</v>
      </c>
      <c r="K7" s="5">
        <v>1</v>
      </c>
      <c r="L7" s="6">
        <v>1</v>
      </c>
      <c r="M7" s="6">
        <v>1</v>
      </c>
      <c r="N7" s="5"/>
      <c r="O7" s="6"/>
      <c r="P7" s="6"/>
      <c r="Q7" s="6"/>
      <c r="R7" s="6"/>
      <c r="S7" s="7"/>
      <c r="T7" s="5"/>
      <c r="U7" s="22"/>
      <c r="V7" s="6"/>
      <c r="W7" s="6"/>
      <c r="X7" s="6"/>
      <c r="Y7" s="7"/>
      <c r="Z7" s="5"/>
      <c r="AA7" s="6"/>
      <c r="AB7" s="6"/>
      <c r="AC7" s="6"/>
      <c r="AD7" s="6"/>
      <c r="AE7" s="7"/>
      <c r="AF7" s="35">
        <f t="shared" ref="AF7:AF19" si="2">SUMPRODUCT(K7:AE7,$K$5:$AE$5)</f>
        <v>499.99999999999994</v>
      </c>
      <c r="AG7" s="22" t="s">
        <v>0</v>
      </c>
      <c r="AH7" s="31">
        <v>500</v>
      </c>
    </row>
    <row r="8" spans="1:34" x14ac:dyDescent="0.35">
      <c r="A8" t="s">
        <v>8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I8" s="40" t="s">
        <v>53</v>
      </c>
      <c r="J8" s="9" t="s">
        <v>2</v>
      </c>
      <c r="K8" s="8">
        <f>1.2*2.5</f>
        <v>3</v>
      </c>
      <c r="L8" s="9">
        <v>0</v>
      </c>
      <c r="M8" s="10">
        <v>0</v>
      </c>
      <c r="N8" s="8">
        <v>1</v>
      </c>
      <c r="O8" s="9">
        <v>0</v>
      </c>
      <c r="P8" s="9">
        <v>-1</v>
      </c>
      <c r="Q8" s="9">
        <v>0</v>
      </c>
      <c r="R8" s="9">
        <v>0</v>
      </c>
      <c r="S8" s="10">
        <v>0</v>
      </c>
      <c r="T8" s="8"/>
      <c r="U8" s="20"/>
      <c r="V8" s="9"/>
      <c r="W8" s="9"/>
      <c r="X8" s="9"/>
      <c r="Y8" s="10"/>
      <c r="Z8" s="8"/>
      <c r="AA8" s="9"/>
      <c r="AB8" s="9"/>
      <c r="AC8" s="9"/>
      <c r="AD8" s="9"/>
      <c r="AE8" s="10"/>
      <c r="AF8" s="36">
        <f t="shared" si="2"/>
        <v>199.99999999999989</v>
      </c>
      <c r="AG8" s="20" t="s">
        <v>30</v>
      </c>
      <c r="AH8" s="32">
        <v>200</v>
      </c>
    </row>
    <row r="9" spans="1:34" x14ac:dyDescent="0.35">
      <c r="A9" t="s">
        <v>10</v>
      </c>
      <c r="B9" t="s">
        <v>12</v>
      </c>
      <c r="C9" t="s">
        <v>13</v>
      </c>
      <c r="D9" t="s">
        <v>11</v>
      </c>
      <c r="E9" t="s">
        <v>16</v>
      </c>
      <c r="I9" s="41"/>
      <c r="J9" t="s">
        <v>3</v>
      </c>
      <c r="K9" s="11">
        <v>0</v>
      </c>
      <c r="L9">
        <f>1.2*3</f>
        <v>3.5999999999999996</v>
      </c>
      <c r="M9" s="12">
        <v>0</v>
      </c>
      <c r="N9" s="11">
        <v>0</v>
      </c>
      <c r="O9">
        <v>1</v>
      </c>
      <c r="P9">
        <v>0</v>
      </c>
      <c r="Q9">
        <v>-1</v>
      </c>
      <c r="R9">
        <v>0</v>
      </c>
      <c r="S9" s="12">
        <v>0</v>
      </c>
      <c r="T9" s="11"/>
      <c r="U9" s="4"/>
      <c r="Y9" s="12"/>
      <c r="Z9" s="11"/>
      <c r="AE9" s="12"/>
      <c r="AF9" s="37">
        <f t="shared" si="2"/>
        <v>240</v>
      </c>
      <c r="AG9" s="4" t="s">
        <v>30</v>
      </c>
      <c r="AH9" s="33">
        <v>240</v>
      </c>
    </row>
    <row r="10" spans="1:34" x14ac:dyDescent="0.35">
      <c r="I10" s="41"/>
      <c r="J10" t="s">
        <v>27</v>
      </c>
      <c r="K10" s="11">
        <v>0</v>
      </c>
      <c r="L10">
        <v>0</v>
      </c>
      <c r="M10" s="12">
        <f>1.2*20</f>
        <v>24</v>
      </c>
      <c r="N10" s="11">
        <v>0</v>
      </c>
      <c r="O10">
        <v>0</v>
      </c>
      <c r="P10">
        <v>0</v>
      </c>
      <c r="Q10">
        <v>0</v>
      </c>
      <c r="R10">
        <v>-1</v>
      </c>
      <c r="S10" s="12">
        <v>-1</v>
      </c>
      <c r="T10" s="11"/>
      <c r="U10" s="4"/>
      <c r="Y10" s="12"/>
      <c r="Z10" s="11"/>
      <c r="AE10" s="12"/>
      <c r="AF10" s="38">
        <f t="shared" si="2"/>
        <v>-9.0949470177292824E-13</v>
      </c>
      <c r="AG10" s="4" t="s">
        <v>30</v>
      </c>
      <c r="AH10" s="33">
        <v>0</v>
      </c>
    </row>
    <row r="11" spans="1:34" x14ac:dyDescent="0.35">
      <c r="I11" s="42"/>
      <c r="J11" s="14" t="s">
        <v>28</v>
      </c>
      <c r="K11" s="13">
        <v>0</v>
      </c>
      <c r="L11" s="14">
        <v>0</v>
      </c>
      <c r="M11" s="15">
        <v>0</v>
      </c>
      <c r="N11" s="13">
        <v>0</v>
      </c>
      <c r="O11" s="14">
        <v>0</v>
      </c>
      <c r="P11" s="14">
        <v>0</v>
      </c>
      <c r="Q11" s="14">
        <v>0</v>
      </c>
      <c r="R11" s="14">
        <v>-1</v>
      </c>
      <c r="S11" s="15">
        <v>0</v>
      </c>
      <c r="T11" s="13"/>
      <c r="U11" s="14"/>
      <c r="V11" s="14"/>
      <c r="W11" s="14"/>
      <c r="X11" s="14"/>
      <c r="Y11" s="15"/>
      <c r="Z11" s="13"/>
      <c r="AA11" s="14"/>
      <c r="AB11" s="14"/>
      <c r="AC11" s="14"/>
      <c r="AD11" s="14"/>
      <c r="AE11" s="15"/>
      <c r="AF11" s="37">
        <f t="shared" si="2"/>
        <v>-5999.9999999999991</v>
      </c>
      <c r="AG11" s="4" t="s">
        <v>30</v>
      </c>
      <c r="AH11" s="33">
        <v>-6000</v>
      </c>
    </row>
    <row r="12" spans="1:34" x14ac:dyDescent="0.35">
      <c r="I12" s="43" t="s">
        <v>49</v>
      </c>
      <c r="J12" s="9" t="s">
        <v>2</v>
      </c>
      <c r="K12" s="8">
        <v>2.5</v>
      </c>
      <c r="L12" s="9">
        <v>0</v>
      </c>
      <c r="M12" s="10">
        <v>0</v>
      </c>
      <c r="N12" s="8"/>
      <c r="O12" s="9"/>
      <c r="P12" s="9"/>
      <c r="Q12" s="9"/>
      <c r="R12" s="9"/>
      <c r="S12" s="10"/>
      <c r="T12" s="8">
        <v>1</v>
      </c>
      <c r="U12" s="9">
        <v>0</v>
      </c>
      <c r="V12" s="9">
        <v>-1</v>
      </c>
      <c r="W12" s="9">
        <v>0</v>
      </c>
      <c r="X12" s="9">
        <v>0</v>
      </c>
      <c r="Y12" s="10">
        <v>0</v>
      </c>
      <c r="Z12" s="8"/>
      <c r="AA12" s="9"/>
      <c r="AB12" s="9"/>
      <c r="AC12" s="9"/>
      <c r="AD12" s="9"/>
      <c r="AE12" s="10"/>
      <c r="AF12" s="39">
        <f t="shared" si="2"/>
        <v>200</v>
      </c>
      <c r="AG12" s="22" t="s">
        <v>30</v>
      </c>
      <c r="AH12" s="31">
        <v>200</v>
      </c>
    </row>
    <row r="13" spans="1:34" x14ac:dyDescent="0.35">
      <c r="I13" s="41"/>
      <c r="J13" t="s">
        <v>3</v>
      </c>
      <c r="K13" s="11">
        <v>0</v>
      </c>
      <c r="L13">
        <v>3</v>
      </c>
      <c r="M13" s="12">
        <v>0</v>
      </c>
      <c r="N13" s="11"/>
      <c r="S13" s="12"/>
      <c r="T13" s="11">
        <v>0</v>
      </c>
      <c r="U13">
        <v>1</v>
      </c>
      <c r="V13">
        <v>0</v>
      </c>
      <c r="W13">
        <v>-1</v>
      </c>
      <c r="X13">
        <v>0</v>
      </c>
      <c r="Y13" s="12">
        <v>0</v>
      </c>
      <c r="Z13" s="11"/>
      <c r="AE13" s="12"/>
      <c r="AF13" s="37">
        <f t="shared" si="2"/>
        <v>240</v>
      </c>
      <c r="AG13" s="4" t="s">
        <v>30</v>
      </c>
      <c r="AH13" s="33">
        <v>240</v>
      </c>
    </row>
    <row r="14" spans="1:34" x14ac:dyDescent="0.35">
      <c r="I14" s="41"/>
      <c r="J14" t="s">
        <v>27</v>
      </c>
      <c r="K14" s="11">
        <v>0</v>
      </c>
      <c r="L14">
        <v>0</v>
      </c>
      <c r="M14" s="12">
        <v>20</v>
      </c>
      <c r="N14" s="11"/>
      <c r="S14" s="12"/>
      <c r="T14" s="11">
        <v>0</v>
      </c>
      <c r="U14">
        <v>0</v>
      </c>
      <c r="V14">
        <v>0</v>
      </c>
      <c r="W14">
        <v>0</v>
      </c>
      <c r="X14">
        <v>-1</v>
      </c>
      <c r="Y14" s="12">
        <v>-1</v>
      </c>
      <c r="Z14" s="11"/>
      <c r="AE14" s="12"/>
      <c r="AF14" s="37">
        <f t="shared" si="2"/>
        <v>0</v>
      </c>
      <c r="AG14" s="4" t="s">
        <v>30</v>
      </c>
      <c r="AH14" s="33">
        <v>0</v>
      </c>
    </row>
    <row r="15" spans="1:34" x14ac:dyDescent="0.35">
      <c r="I15" s="42"/>
      <c r="J15" s="14" t="s">
        <v>28</v>
      </c>
      <c r="K15" s="13">
        <v>0</v>
      </c>
      <c r="L15" s="14">
        <v>0</v>
      </c>
      <c r="M15" s="15">
        <v>0</v>
      </c>
      <c r="N15" s="13"/>
      <c r="O15" s="14"/>
      <c r="P15" s="14"/>
      <c r="Q15" s="14"/>
      <c r="R15" s="14"/>
      <c r="S15" s="15"/>
      <c r="T15" s="13">
        <v>0</v>
      </c>
      <c r="U15" s="14">
        <v>0</v>
      </c>
      <c r="V15" s="14">
        <v>0</v>
      </c>
      <c r="W15" s="14">
        <v>0</v>
      </c>
      <c r="X15" s="14">
        <v>-1</v>
      </c>
      <c r="Y15" s="15">
        <v>0</v>
      </c>
      <c r="Z15" s="13"/>
      <c r="AA15" s="14"/>
      <c r="AB15" s="14"/>
      <c r="AC15" s="14"/>
      <c r="AD15" s="14"/>
      <c r="AE15" s="15"/>
      <c r="AF15" s="35">
        <f t="shared" si="2"/>
        <v>-4999.9999999999991</v>
      </c>
      <c r="AG15" s="21" t="s">
        <v>30</v>
      </c>
      <c r="AH15" s="34">
        <v>-6000</v>
      </c>
    </row>
    <row r="16" spans="1:34" x14ac:dyDescent="0.35">
      <c r="I16" s="43" t="s">
        <v>52</v>
      </c>
      <c r="J16" s="9" t="s">
        <v>2</v>
      </c>
      <c r="K16" s="8">
        <f>0.8*2.5</f>
        <v>2</v>
      </c>
      <c r="L16" s="9">
        <v>0</v>
      </c>
      <c r="M16" s="10">
        <v>0</v>
      </c>
      <c r="N16" s="8"/>
      <c r="O16" s="9"/>
      <c r="P16" s="9"/>
      <c r="Q16" s="9"/>
      <c r="R16" s="9"/>
      <c r="S16" s="10"/>
      <c r="T16" s="8"/>
      <c r="U16" s="9"/>
      <c r="V16" s="9"/>
      <c r="W16" s="9"/>
      <c r="X16" s="9"/>
      <c r="Y16" s="10"/>
      <c r="Z16" s="8">
        <v>1</v>
      </c>
      <c r="AA16" s="9">
        <v>0</v>
      </c>
      <c r="AB16" s="9">
        <v>-1</v>
      </c>
      <c r="AC16" s="9">
        <v>0</v>
      </c>
      <c r="AD16" s="9">
        <v>0</v>
      </c>
      <c r="AE16" s="10">
        <v>0</v>
      </c>
      <c r="AF16" s="37">
        <f t="shared" si="2"/>
        <v>200</v>
      </c>
      <c r="AG16" s="4" t="s">
        <v>30</v>
      </c>
      <c r="AH16" s="33">
        <v>200</v>
      </c>
    </row>
    <row r="17" spans="9:34" x14ac:dyDescent="0.35">
      <c r="I17" s="41"/>
      <c r="J17" t="s">
        <v>3</v>
      </c>
      <c r="K17" s="11">
        <v>0</v>
      </c>
      <c r="L17">
        <f>0.8*3</f>
        <v>2.4000000000000004</v>
      </c>
      <c r="M17" s="12">
        <v>0</v>
      </c>
      <c r="N17" s="11"/>
      <c r="S17" s="12"/>
      <c r="T17" s="11"/>
      <c r="Y17" s="12"/>
      <c r="Z17" s="11">
        <v>0</v>
      </c>
      <c r="AA17">
        <v>1</v>
      </c>
      <c r="AB17">
        <v>0</v>
      </c>
      <c r="AC17">
        <v>-1</v>
      </c>
      <c r="AD17">
        <v>0</v>
      </c>
      <c r="AE17" s="12">
        <v>0</v>
      </c>
      <c r="AF17" s="37">
        <f t="shared" si="2"/>
        <v>240</v>
      </c>
      <c r="AG17" s="4" t="s">
        <v>30</v>
      </c>
      <c r="AH17" s="33">
        <v>240</v>
      </c>
    </row>
    <row r="18" spans="9:34" x14ac:dyDescent="0.35">
      <c r="I18" s="41"/>
      <c r="J18" t="s">
        <v>27</v>
      </c>
      <c r="K18" s="11">
        <v>0</v>
      </c>
      <c r="L18">
        <v>0</v>
      </c>
      <c r="M18" s="12">
        <f>0.8*20</f>
        <v>16</v>
      </c>
      <c r="N18" s="11"/>
      <c r="S18" s="12"/>
      <c r="T18" s="11"/>
      <c r="Y18" s="12"/>
      <c r="Z18" s="11">
        <v>0</v>
      </c>
      <c r="AA18">
        <v>0</v>
      </c>
      <c r="AB18">
        <v>0</v>
      </c>
      <c r="AC18">
        <v>0</v>
      </c>
      <c r="AD18">
        <v>-1</v>
      </c>
      <c r="AE18" s="12">
        <v>-1</v>
      </c>
      <c r="AF18" s="37">
        <f t="shared" si="2"/>
        <v>0</v>
      </c>
      <c r="AG18" s="4" t="s">
        <v>30</v>
      </c>
      <c r="AH18" s="33">
        <v>0</v>
      </c>
    </row>
    <row r="19" spans="9:34" x14ac:dyDescent="0.35">
      <c r="I19" s="42"/>
      <c r="J19" s="14" t="s">
        <v>28</v>
      </c>
      <c r="K19" s="13">
        <v>0</v>
      </c>
      <c r="L19" s="14">
        <v>0</v>
      </c>
      <c r="M19" s="15">
        <v>0</v>
      </c>
      <c r="N19" s="13"/>
      <c r="O19" s="14"/>
      <c r="P19" s="14"/>
      <c r="Q19" s="14"/>
      <c r="R19" s="14"/>
      <c r="S19" s="15"/>
      <c r="T19" s="13"/>
      <c r="U19" s="14"/>
      <c r="V19" s="14"/>
      <c r="W19" s="14"/>
      <c r="X19" s="14"/>
      <c r="Y19" s="15"/>
      <c r="Z19" s="13">
        <v>0</v>
      </c>
      <c r="AA19" s="14">
        <v>0</v>
      </c>
      <c r="AB19" s="14">
        <v>0</v>
      </c>
      <c r="AC19" s="14">
        <v>0</v>
      </c>
      <c r="AD19" s="14">
        <v>-1</v>
      </c>
      <c r="AE19" s="15">
        <v>0</v>
      </c>
      <c r="AF19" s="35">
        <f t="shared" si="2"/>
        <v>-3999.9999999999991</v>
      </c>
      <c r="AG19" s="21" t="s">
        <v>30</v>
      </c>
      <c r="AH19" s="34">
        <v>-6000</v>
      </c>
    </row>
  </sheetData>
  <mergeCells count="3">
    <mergeCell ref="I8:I11"/>
    <mergeCell ref="I12:I15"/>
    <mergeCell ref="I16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C5E6-48EB-470A-826D-E40B341C7C76}">
  <dimension ref="A1:J17"/>
  <sheetViews>
    <sheetView workbookViewId="0">
      <selection activeCell="C31" sqref="C31"/>
    </sheetView>
  </sheetViews>
  <sheetFormatPr defaultRowHeight="13.5" x14ac:dyDescent="0.35"/>
  <cols>
    <col min="1" max="1" width="4.9375" bestFit="1" customWidth="1"/>
    <col min="2" max="2" width="15.625" bestFit="1" customWidth="1"/>
    <col min="3" max="3" width="13.4375" bestFit="1" customWidth="1"/>
    <col min="5" max="5" width="4.5625" customWidth="1"/>
    <col min="8" max="8" width="7.8125" customWidth="1"/>
  </cols>
  <sheetData>
    <row r="1" spans="1:10" x14ac:dyDescent="0.35">
      <c r="A1" t="s">
        <v>58</v>
      </c>
      <c r="B1" t="s">
        <v>59</v>
      </c>
      <c r="C1" t="s">
        <v>60</v>
      </c>
      <c r="D1" t="s">
        <v>50</v>
      </c>
      <c r="F1" s="1" t="s">
        <v>54</v>
      </c>
      <c r="G1" t="s">
        <v>55</v>
      </c>
      <c r="I1" s="1" t="s">
        <v>54</v>
      </c>
      <c r="J1" s="1" t="s">
        <v>56</v>
      </c>
    </row>
    <row r="2" spans="1:10" x14ac:dyDescent="0.35">
      <c r="A2">
        <v>1</v>
      </c>
      <c r="B2">
        <f>F2</f>
        <v>400</v>
      </c>
      <c r="C2">
        <f>$I$2</f>
        <v>600</v>
      </c>
      <c r="D2" s="26">
        <f t="shared" ref="D2:D16" si="0">VLOOKUP(B2,$F$2:$G$6,2,FALSE)*VLOOKUP(C2,$I$2:$J$4,2,FALSE)</f>
        <v>1.6500000000000001E-2</v>
      </c>
      <c r="F2" s="1">
        <v>400</v>
      </c>
      <c r="G2">
        <v>0.05</v>
      </c>
      <c r="I2" s="1">
        <v>600</v>
      </c>
      <c r="J2" s="1">
        <v>0.33</v>
      </c>
    </row>
    <row r="3" spans="1:10" x14ac:dyDescent="0.35">
      <c r="A3">
        <v>2</v>
      </c>
      <c r="B3">
        <f>F3</f>
        <v>500</v>
      </c>
      <c r="C3">
        <f>$I$2</f>
        <v>600</v>
      </c>
      <c r="D3" s="26">
        <f t="shared" si="0"/>
        <v>6.6000000000000003E-2</v>
      </c>
      <c r="F3" s="1">
        <v>500</v>
      </c>
      <c r="G3">
        <v>0.2</v>
      </c>
      <c r="I3" s="1">
        <v>1200</v>
      </c>
      <c r="J3" s="1">
        <v>0.34</v>
      </c>
    </row>
    <row r="4" spans="1:10" x14ac:dyDescent="0.35">
      <c r="A4">
        <v>3</v>
      </c>
      <c r="B4">
        <f>F4</f>
        <v>600</v>
      </c>
      <c r="C4">
        <f>$I$2</f>
        <v>600</v>
      </c>
      <c r="D4" s="26">
        <f t="shared" si="0"/>
        <v>6.6000000000000003E-2</v>
      </c>
      <c r="F4" s="1">
        <v>600</v>
      </c>
      <c r="G4">
        <v>0.2</v>
      </c>
      <c r="I4" s="1">
        <v>1800</v>
      </c>
      <c r="J4" s="1">
        <v>0.33</v>
      </c>
    </row>
    <row r="5" spans="1:10" x14ac:dyDescent="0.35">
      <c r="A5">
        <v>4</v>
      </c>
      <c r="B5">
        <f>F5</f>
        <v>700</v>
      </c>
      <c r="C5">
        <f>$I$2</f>
        <v>600</v>
      </c>
      <c r="D5" s="26">
        <f t="shared" si="0"/>
        <v>8.2500000000000004E-2</v>
      </c>
      <c r="F5" s="1">
        <v>700</v>
      </c>
      <c r="G5">
        <v>0.25</v>
      </c>
      <c r="I5" s="1" t="s">
        <v>57</v>
      </c>
      <c r="J5" s="1">
        <f>SUM(J2:J4)</f>
        <v>1</v>
      </c>
    </row>
    <row r="6" spans="1:10" x14ac:dyDescent="0.35">
      <c r="A6">
        <v>5</v>
      </c>
      <c r="B6">
        <f>F6</f>
        <v>1000</v>
      </c>
      <c r="C6">
        <f>$I$2</f>
        <v>600</v>
      </c>
      <c r="D6" s="26">
        <f t="shared" si="0"/>
        <v>9.9000000000000005E-2</v>
      </c>
      <c r="F6" s="1">
        <v>1000</v>
      </c>
      <c r="G6">
        <v>0.3</v>
      </c>
    </row>
    <row r="7" spans="1:10" x14ac:dyDescent="0.35">
      <c r="A7">
        <v>6</v>
      </c>
      <c r="B7">
        <f>F2</f>
        <v>400</v>
      </c>
      <c r="C7">
        <f>$I$3</f>
        <v>1200</v>
      </c>
      <c r="D7" s="26">
        <f t="shared" si="0"/>
        <v>1.7000000000000001E-2</v>
      </c>
      <c r="F7" s="1" t="s">
        <v>57</v>
      </c>
      <c r="G7">
        <f>SUM(G2:G6)</f>
        <v>1</v>
      </c>
    </row>
    <row r="8" spans="1:10" x14ac:dyDescent="0.35">
      <c r="A8">
        <v>7</v>
      </c>
      <c r="B8">
        <f t="shared" ref="B8:B11" si="1">F3</f>
        <v>500</v>
      </c>
      <c r="C8">
        <f>$I$3</f>
        <v>1200</v>
      </c>
      <c r="D8" s="26">
        <f t="shared" si="0"/>
        <v>6.8000000000000005E-2</v>
      </c>
    </row>
    <row r="9" spans="1:10" x14ac:dyDescent="0.35">
      <c r="A9">
        <v>8</v>
      </c>
      <c r="B9">
        <f t="shared" si="1"/>
        <v>600</v>
      </c>
      <c r="C9">
        <f>$I$3</f>
        <v>1200</v>
      </c>
      <c r="D9" s="26">
        <f t="shared" si="0"/>
        <v>6.8000000000000005E-2</v>
      </c>
    </row>
    <row r="10" spans="1:10" x14ac:dyDescent="0.35">
      <c r="A10">
        <v>9</v>
      </c>
      <c r="B10">
        <f t="shared" si="1"/>
        <v>700</v>
      </c>
      <c r="C10">
        <f>$I$3</f>
        <v>1200</v>
      </c>
      <c r="D10" s="26">
        <f t="shared" si="0"/>
        <v>8.5000000000000006E-2</v>
      </c>
    </row>
    <row r="11" spans="1:10" x14ac:dyDescent="0.35">
      <c r="A11">
        <v>10</v>
      </c>
      <c r="B11">
        <f t="shared" si="1"/>
        <v>1000</v>
      </c>
      <c r="C11">
        <f>$I$3</f>
        <v>1200</v>
      </c>
      <c r="D11" s="26">
        <f t="shared" si="0"/>
        <v>0.10200000000000001</v>
      </c>
    </row>
    <row r="12" spans="1:10" x14ac:dyDescent="0.35">
      <c r="A12">
        <v>11</v>
      </c>
      <c r="B12">
        <f>F2</f>
        <v>400</v>
      </c>
      <c r="C12">
        <f>$I$4</f>
        <v>1800</v>
      </c>
      <c r="D12" s="26">
        <f t="shared" si="0"/>
        <v>1.6500000000000001E-2</v>
      </c>
    </row>
    <row r="13" spans="1:10" x14ac:dyDescent="0.35">
      <c r="A13">
        <v>12</v>
      </c>
      <c r="B13">
        <f t="shared" ref="B13:B16" si="2">F3</f>
        <v>500</v>
      </c>
      <c r="C13">
        <f>$I$4</f>
        <v>1800</v>
      </c>
      <c r="D13" s="26">
        <f t="shared" si="0"/>
        <v>6.6000000000000003E-2</v>
      </c>
    </row>
    <row r="14" spans="1:10" x14ac:dyDescent="0.35">
      <c r="A14">
        <v>13</v>
      </c>
      <c r="B14">
        <f t="shared" si="2"/>
        <v>600</v>
      </c>
      <c r="C14">
        <f>$I$4</f>
        <v>1800</v>
      </c>
      <c r="D14" s="26">
        <f t="shared" si="0"/>
        <v>6.6000000000000003E-2</v>
      </c>
    </row>
    <row r="15" spans="1:10" x14ac:dyDescent="0.35">
      <c r="A15">
        <v>14</v>
      </c>
      <c r="B15">
        <f t="shared" si="2"/>
        <v>700</v>
      </c>
      <c r="C15">
        <f>$I$4</f>
        <v>1800</v>
      </c>
      <c r="D15" s="26">
        <f t="shared" si="0"/>
        <v>8.2500000000000004E-2</v>
      </c>
    </row>
    <row r="16" spans="1:10" x14ac:dyDescent="0.35">
      <c r="A16">
        <v>15</v>
      </c>
      <c r="B16">
        <f t="shared" si="2"/>
        <v>1000</v>
      </c>
      <c r="C16">
        <f>$I$4</f>
        <v>1800</v>
      </c>
      <c r="D16" s="26">
        <f t="shared" si="0"/>
        <v>9.9000000000000005E-2</v>
      </c>
    </row>
    <row r="17" spans="1:4" x14ac:dyDescent="0.35">
      <c r="A17" t="s">
        <v>57</v>
      </c>
      <c r="D17" s="26">
        <f>SUM(D2:D16)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1A9346877C94FBE0D2EF98A54C8DF" ma:contentTypeVersion="3" ma:contentTypeDescription="Create a new document." ma:contentTypeScope="" ma:versionID="b9d30dfdbb3c728c42ac273b0b267a13">
  <xsd:schema xmlns:xsd="http://www.w3.org/2001/XMLSchema" xmlns:xs="http://www.w3.org/2001/XMLSchema" xmlns:p="http://schemas.microsoft.com/office/2006/metadata/properties" xmlns:ns2="0f411969-aaa6-47b2-a14e-e9510c0df77f" targetNamespace="http://schemas.microsoft.com/office/2006/metadata/properties" ma:root="true" ma:fieldsID="ca649492ee4635bde6ac1a281be3e98b" ns2:_="">
    <xsd:import namespace="0f411969-aaa6-47b2-a14e-e9510c0df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11969-aaa6-47b2-a14e-e9510c0df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817907-0C0B-4F48-8DFB-81DCD08F0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11969-aaa6-47b2-a14e-e9510c0df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F2361-3021-4691-B065-35782F57E2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553ED-7DD9-4264-9A54-B9B6A7F9271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farmer0</vt:lpstr>
      <vt:lpstr>farmerSP (2)</vt:lpstr>
      <vt:lpstr>farmerSP</vt:lpstr>
      <vt:lpstr>2prod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Pannatorn Janpitak</cp:lastModifiedBy>
  <dcterms:created xsi:type="dcterms:W3CDTF">2021-10-19T02:38:52Z</dcterms:created>
  <dcterms:modified xsi:type="dcterms:W3CDTF">2026-10-04T11:04:54Z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0x0101005D21A9346877C94FBE0D2EF98A54C8DF</vt:lpwstr>
  </property>
</Properties>
</file>