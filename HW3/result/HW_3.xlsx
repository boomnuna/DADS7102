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DADS7102\HW3\result\"/>
    </mc:Choice>
  </mc:AlternateContent>
  <xr:revisionPtr revIDLastSave="0" documentId="13_ncr:1_{A9FA254A-269E-4E1E-9B62-4236DC270544}" xr6:coauthVersionLast="47" xr6:coauthVersionMax="47" xr10:uidLastSave="{00000000-0000-0000-0000-000000000000}"/>
  <bookViews>
    <workbookView xWindow="2715" yWindow="1965" windowWidth="21600" windowHeight="11295" xr2:uid="{714ADFB4-38C5-4012-80EC-D1F36FD4F9FE}"/>
  </bookViews>
  <sheets>
    <sheet name="HW3" sheetId="1" r:id="rId1"/>
  </sheets>
  <externalReferences>
    <externalReference r:id="rId2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0" hidden="1">'HW3'!$E$5:$E$14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'HW3'!$L$9:$L$10</definedName>
    <definedName name="solver_lhs2" localSheetId="0" hidden="1">'HW3'!$E$5:$E$6</definedName>
    <definedName name="solver_lhs3" localSheetId="0" hidden="1">'HW3'!$L$14:$L$17</definedName>
    <definedName name="solver_lhs4" localSheetId="0" hidden="1">'HW3'!$L$5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'HW3'!$B$17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el4" localSheetId="0" hidden="1">2</definedName>
    <definedName name="solver_rhs1" localSheetId="0" hidden="1">'HW3'!$N$9:$N$10</definedName>
    <definedName name="solver_rhs2" localSheetId="0" hidden="1">'HW3'!$G$5:$G$6</definedName>
    <definedName name="solver_rhs3" localSheetId="0" hidden="1">'HW3'!$N$14:$N$17</definedName>
    <definedName name="solver_rhs4" localSheetId="0" hidden="1">'HW3'!$N$5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" i="1" l="1"/>
  <c r="J17" i="1"/>
  <c r="L17" i="1" s="1"/>
  <c r="B17" i="1"/>
  <c r="K16" i="1"/>
  <c r="J16" i="1"/>
  <c r="L16" i="1" s="1"/>
  <c r="K15" i="1"/>
  <c r="J15" i="1"/>
  <c r="L15" i="1" s="1"/>
  <c r="K14" i="1"/>
  <c r="J14" i="1"/>
  <c r="L14" i="1" s="1"/>
  <c r="K10" i="1"/>
  <c r="J10" i="1"/>
  <c r="L10" i="1" s="1"/>
  <c r="K9" i="1"/>
  <c r="J9" i="1"/>
  <c r="L9" i="1" s="1"/>
  <c r="K5" i="1"/>
  <c r="J5" i="1"/>
  <c r="L5" i="1" s="1"/>
</calcChain>
</file>

<file path=xl/sharedStrings.xml><?xml version="1.0" encoding="utf-8"?>
<sst xmlns="http://schemas.openxmlformats.org/spreadsheetml/2006/main" count="35" uniqueCount="19">
  <si>
    <t>[GhianiLaportMusmanno p.334]</t>
  </si>
  <si>
    <t>information</t>
  </si>
  <si>
    <t xml:space="preserve">plant constraint </t>
  </si>
  <si>
    <t xml:space="preserve">origin </t>
  </si>
  <si>
    <t>destination</t>
  </si>
  <si>
    <t xml:space="preserve">unit_cost </t>
  </si>
  <si>
    <t>flow</t>
  </si>
  <si>
    <t>node</t>
  </si>
  <si>
    <t>outflow</t>
  </si>
  <si>
    <t>inflow</t>
  </si>
  <si>
    <t>total</t>
  </si>
  <si>
    <t xml:space="preserve">capacity </t>
  </si>
  <si>
    <t>&lt;=</t>
  </si>
  <si>
    <t>=</t>
  </si>
  <si>
    <t xml:space="preserve">warehouse constraint </t>
  </si>
  <si>
    <t xml:space="preserve">customer constraint </t>
  </si>
  <si>
    <t>&gt;=</t>
  </si>
  <si>
    <t>objective</t>
  </si>
  <si>
    <t>minimize_cost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</si>
</sst>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3">
    <xf numFmtId="0" fontId="0" fillId="0" borderId="0" xfId="0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1" applyNumberFormat="1" applyFont="1" applyBorder="1" applyAlignment="1">
      <alignment horizontal="right" indent="2"/>
    </xf>
    <xf numFmtId="0" fontId="0" fillId="2" borderId="0" xfId="0" applyFill="1"/>
    <xf numFmtId="0" fontId="0" fillId="3" borderId="0" xfId="0" applyFill="1"/>
    <xf numFmtId="1" fontId="5" fillId="0" borderId="0" xfId="2" applyNumberFormat="1" applyFont="1" applyAlignment="1">
      <alignment horizontal="right"/>
    </xf>
    <xf numFmtId="164" fontId="0" fillId="4" borderId="0" xfId="1" applyNumberFormat="1" applyFont="1" applyFill="1" applyBorder="1"/>
    <xf numFmtId="0" fontId="0" fillId="4" borderId="0" xfId="0" applyFill="1"/>
    <xf numFmtId="164" fontId="0" fillId="0" borderId="0" xfId="1" applyNumberFormat="1" applyFont="1" applyBorder="1" applyAlignment="1">
      <alignment horizontal="left" indent="2"/>
    </xf>
    <xf numFmtId="1" fontId="5" fillId="0" borderId="0" xfId="2" applyNumberFormat="1" applyFont="1"/>
    <xf numFmtId="164" fontId="0" fillId="0" borderId="0" xfId="0" applyNumberFormat="1"/>
    <xf numFmtId="0" fontId="0" fillId="4" borderId="0" xfId="1" applyNumberFormat="1" applyFont="1" applyFill="1" applyBorder="1" applyAlignment="1">
      <alignment horizontal="left" indent="2"/>
    </xf>
    <xf numFmtId="44" fontId="0" fillId="5" borderId="6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3">
    <cellStyle name="Comma" xfId="1" builtinId="3"/>
    <cellStyle name="Normal" xfId="0" builtinId="0"/>
    <cellStyle name="Normal 2" xfId="2" xr:uid="{7ECD8C95-53E8-4C40-9C3E-11A92321B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na/Documents/GitHub/DADS7102/class_excel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Portfolio"/>
      <sheetName val="EOQ"/>
      <sheetName val="SVM1"/>
      <sheetName val="MLE"/>
      <sheetName val="OLS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958F-4A04-42C7-B42A-B9EBC6BC6518}">
  <dimension ref="A1:O21"/>
  <sheetViews>
    <sheetView tabSelected="1" workbookViewId="0">
      <selection activeCell="Q9" sqref="Q9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1.5703125" bestFit="1" customWidth="1"/>
    <col min="4" max="4" width="9.5703125" bestFit="1" customWidth="1"/>
    <col min="5" max="5" width="7" bestFit="1" customWidth="1"/>
    <col min="6" max="6" width="4" customWidth="1"/>
    <col min="7" max="7" width="9.140625" customWidth="1"/>
    <col min="11" max="11" width="16.28515625" bestFit="1" customWidth="1"/>
    <col min="14" max="14" width="11.28515625" bestFit="1" customWidth="1"/>
  </cols>
  <sheetData>
    <row r="1" spans="1:15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x14ac:dyDescent="0.25">
      <c r="A2" s="4"/>
      <c r="O2" s="5"/>
    </row>
    <row r="3" spans="1:15" x14ac:dyDescent="0.25">
      <c r="A3" s="6" t="s">
        <v>1</v>
      </c>
      <c r="H3" s="7"/>
      <c r="I3" s="7" t="s">
        <v>2</v>
      </c>
      <c r="O3" s="5"/>
    </row>
    <row r="4" spans="1:15" x14ac:dyDescent="0.25">
      <c r="A4" s="4"/>
      <c r="B4" t="s">
        <v>3</v>
      </c>
      <c r="C4" t="s">
        <v>4</v>
      </c>
      <c r="D4" t="s">
        <v>5</v>
      </c>
      <c r="E4" t="s">
        <v>6</v>
      </c>
      <c r="I4" s="8" t="s">
        <v>7</v>
      </c>
      <c r="J4" s="8" t="s">
        <v>8</v>
      </c>
      <c r="K4" s="9" t="s">
        <v>9</v>
      </c>
      <c r="L4" t="s">
        <v>10</v>
      </c>
      <c r="N4" t="s">
        <v>11</v>
      </c>
      <c r="O4" s="5"/>
    </row>
    <row r="5" spans="1:15" x14ac:dyDescent="0.25">
      <c r="A5" s="4"/>
      <c r="B5">
        <v>1</v>
      </c>
      <c r="C5">
        <v>2</v>
      </c>
      <c r="D5" s="10">
        <v>24.5</v>
      </c>
      <c r="E5" s="11">
        <v>150000</v>
      </c>
      <c r="F5" s="12" t="s">
        <v>12</v>
      </c>
      <c r="G5" s="13">
        <v>150000</v>
      </c>
      <c r="I5" s="8">
        <v>1</v>
      </c>
      <c r="J5" s="8">
        <f>SUMIF($B$5:$B$14,$I5,$E$5:$E$14)</f>
        <v>290000</v>
      </c>
      <c r="K5" s="8">
        <f>SUMIF($C$5:$C$14,$I5,$E$5:$E$14)</f>
        <v>0</v>
      </c>
      <c r="L5">
        <f>J5-K5</f>
        <v>290000</v>
      </c>
      <c r="M5" s="8" t="s">
        <v>13</v>
      </c>
      <c r="N5" s="14">
        <v>290000</v>
      </c>
      <c r="O5" s="5"/>
    </row>
    <row r="6" spans="1:15" x14ac:dyDescent="0.25">
      <c r="A6" s="4"/>
      <c r="B6">
        <v>1</v>
      </c>
      <c r="C6">
        <v>3</v>
      </c>
      <c r="D6" s="10">
        <v>26</v>
      </c>
      <c r="E6" s="11">
        <v>140000</v>
      </c>
      <c r="F6" s="12" t="s">
        <v>12</v>
      </c>
      <c r="G6" s="13">
        <v>150000</v>
      </c>
      <c r="I6" s="7"/>
      <c r="J6" s="8"/>
      <c r="K6" s="15"/>
      <c r="O6" s="5"/>
    </row>
    <row r="7" spans="1:15" x14ac:dyDescent="0.25">
      <c r="A7" s="4"/>
      <c r="B7">
        <v>2</v>
      </c>
      <c r="C7">
        <v>4</v>
      </c>
      <c r="D7" s="10">
        <v>9.6</v>
      </c>
      <c r="E7" s="11">
        <v>90000</v>
      </c>
      <c r="F7" s="16"/>
      <c r="H7" s="7"/>
      <c r="I7" s="7" t="s">
        <v>14</v>
      </c>
      <c r="J7" s="8"/>
      <c r="K7" s="15"/>
      <c r="O7" s="5"/>
    </row>
    <row r="8" spans="1:15" x14ac:dyDescent="0.25">
      <c r="A8" s="4"/>
      <c r="B8">
        <v>2</v>
      </c>
      <c r="C8">
        <v>5</v>
      </c>
      <c r="D8" s="10">
        <v>7</v>
      </c>
      <c r="E8" s="11">
        <v>60000</v>
      </c>
      <c r="F8" s="16"/>
      <c r="I8" s="8" t="s">
        <v>7</v>
      </c>
      <c r="J8" s="8" t="s">
        <v>8</v>
      </c>
      <c r="K8" s="9" t="s">
        <v>9</v>
      </c>
      <c r="L8" t="s">
        <v>10</v>
      </c>
      <c r="N8" t="s">
        <v>11</v>
      </c>
      <c r="O8" s="5"/>
    </row>
    <row r="9" spans="1:15" x14ac:dyDescent="0.25">
      <c r="A9" s="4"/>
      <c r="B9">
        <v>2</v>
      </c>
      <c r="C9">
        <v>6</v>
      </c>
      <c r="D9" s="10">
        <v>15.2</v>
      </c>
      <c r="E9" s="11">
        <v>0</v>
      </c>
      <c r="F9" s="16"/>
      <c r="I9">
        <v>2</v>
      </c>
      <c r="J9" s="8">
        <f>SUMIF($B$5:$B$14,$I9,$E$5:$E$14)</f>
        <v>150000</v>
      </c>
      <c r="K9" s="8">
        <f>SUMIF($C$5:$C$14,$I9,$E$5:$E$14)</f>
        <v>150000</v>
      </c>
      <c r="L9">
        <f>J9-K9</f>
        <v>0</v>
      </c>
      <c r="M9" s="8" t="s">
        <v>13</v>
      </c>
      <c r="N9" s="14">
        <v>0</v>
      </c>
      <c r="O9" s="5"/>
    </row>
    <row r="10" spans="1:15" x14ac:dyDescent="0.25">
      <c r="A10" s="4"/>
      <c r="B10">
        <v>2</v>
      </c>
      <c r="C10">
        <v>7</v>
      </c>
      <c r="D10" s="10">
        <v>28.5</v>
      </c>
      <c r="E10" s="11">
        <v>0</v>
      </c>
      <c r="F10" s="16"/>
      <c r="I10">
        <v>3</v>
      </c>
      <c r="J10" s="8">
        <f>SUMIF($B$5:$B$14,$I10,$E$5:$E$14)</f>
        <v>140000</v>
      </c>
      <c r="K10" s="8">
        <f>SUMIF($C$5:$C$14,$I10,$E$5:$E$14)</f>
        <v>140000</v>
      </c>
      <c r="L10">
        <f>J10-K10</f>
        <v>0</v>
      </c>
      <c r="M10" s="8" t="s">
        <v>13</v>
      </c>
      <c r="N10" s="14">
        <v>0</v>
      </c>
      <c r="O10" s="5"/>
    </row>
    <row r="11" spans="1:15" x14ac:dyDescent="0.25">
      <c r="A11" s="4"/>
      <c r="B11">
        <v>3</v>
      </c>
      <c r="C11">
        <v>4</v>
      </c>
      <c r="D11" s="10">
        <v>19.5</v>
      </c>
      <c r="E11" s="11">
        <v>0</v>
      </c>
      <c r="F11" s="16"/>
      <c r="J11" s="8"/>
      <c r="K11" s="17"/>
      <c r="O11" s="5"/>
    </row>
    <row r="12" spans="1:15" x14ac:dyDescent="0.25">
      <c r="A12" s="4"/>
      <c r="B12">
        <v>3</v>
      </c>
      <c r="C12">
        <v>5</v>
      </c>
      <c r="D12" s="10">
        <v>13.3</v>
      </c>
      <c r="E12" s="11">
        <v>20000</v>
      </c>
      <c r="F12" s="16"/>
      <c r="I12" s="7" t="s">
        <v>15</v>
      </c>
      <c r="O12" s="5"/>
    </row>
    <row r="13" spans="1:15" x14ac:dyDescent="0.25">
      <c r="A13" s="4"/>
      <c r="B13">
        <v>3</v>
      </c>
      <c r="C13">
        <v>6</v>
      </c>
      <c r="D13" s="10">
        <v>5</v>
      </c>
      <c r="E13" s="11">
        <v>50000</v>
      </c>
      <c r="F13" s="16"/>
      <c r="I13" s="8" t="s">
        <v>7</v>
      </c>
      <c r="J13" s="8" t="s">
        <v>8</v>
      </c>
      <c r="K13" s="9" t="s">
        <v>9</v>
      </c>
      <c r="L13" t="s">
        <v>10</v>
      </c>
      <c r="N13" t="s">
        <v>11</v>
      </c>
      <c r="O13" s="5"/>
    </row>
    <row r="14" spans="1:15" x14ac:dyDescent="0.25">
      <c r="A14" s="4"/>
      <c r="B14">
        <v>3</v>
      </c>
      <c r="C14">
        <v>7</v>
      </c>
      <c r="D14" s="10">
        <v>11.3</v>
      </c>
      <c r="E14" s="11">
        <v>70000</v>
      </c>
      <c r="F14" s="16"/>
      <c r="I14">
        <v>4</v>
      </c>
      <c r="J14" s="8">
        <f>SUMIF($B$5:$B$14,$I14,$E$5:$E$14)</f>
        <v>0</v>
      </c>
      <c r="K14" s="8">
        <f>SUMIF($C$5:$C$14,$I14,$E$5:$E$14)</f>
        <v>90000</v>
      </c>
      <c r="L14">
        <f>J14-K14</f>
        <v>-90000</v>
      </c>
      <c r="M14" s="8" t="s">
        <v>16</v>
      </c>
      <c r="N14" s="18">
        <v>-90000</v>
      </c>
      <c r="O14" s="5"/>
    </row>
    <row r="15" spans="1:15" x14ac:dyDescent="0.25">
      <c r="A15" s="4"/>
      <c r="I15">
        <v>5</v>
      </c>
      <c r="J15" s="8">
        <f t="shared" ref="J15:J17" si="0">SUMIF($B$5:$B$14,$I15,$E$5:$E$14)</f>
        <v>0</v>
      </c>
      <c r="K15" s="8">
        <f t="shared" ref="K15:K16" si="1">SUMIF($C$5:$C$14,$I15,$E$5:$E$14)</f>
        <v>80000</v>
      </c>
      <c r="L15">
        <f t="shared" ref="L15:L17" si="2">J15-K15</f>
        <v>-80000</v>
      </c>
      <c r="M15" s="8" t="s">
        <v>16</v>
      </c>
      <c r="N15" s="18">
        <v>-80000</v>
      </c>
      <c r="O15" s="5"/>
    </row>
    <row r="16" spans="1:15" ht="14.25" customHeight="1" x14ac:dyDescent="0.25">
      <c r="A16" s="6" t="s">
        <v>17</v>
      </c>
      <c r="I16">
        <v>6</v>
      </c>
      <c r="J16" s="8">
        <f>SUMIF($B$5:$B$14,$I16,$E$5:$E$14)</f>
        <v>0</v>
      </c>
      <c r="K16" s="8">
        <f t="shared" si="1"/>
        <v>50000</v>
      </c>
      <c r="L16">
        <f t="shared" si="2"/>
        <v>-50000</v>
      </c>
      <c r="M16" s="8" t="s">
        <v>16</v>
      </c>
      <c r="N16" s="18">
        <v>-50000</v>
      </c>
      <c r="O16" s="5"/>
    </row>
    <row r="17" spans="1:15" x14ac:dyDescent="0.25">
      <c r="A17" s="4" t="s">
        <v>18</v>
      </c>
      <c r="B17" s="19">
        <f>SUMPRODUCT(D5:D14,E5:E14)</f>
        <v>9906000</v>
      </c>
      <c r="I17">
        <v>7</v>
      </c>
      <c r="J17" s="8">
        <f t="shared" si="0"/>
        <v>0</v>
      </c>
      <c r="K17" s="8">
        <f>SUMIF($C$5:$C$14,$I17,$E$5:$E$14)</f>
        <v>70000</v>
      </c>
      <c r="L17">
        <f t="shared" si="2"/>
        <v>-70000</v>
      </c>
      <c r="M17" s="8" t="s">
        <v>16</v>
      </c>
      <c r="N17" s="18">
        <v>-70000</v>
      </c>
      <c r="O17" s="5"/>
    </row>
    <row r="18" spans="1:15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</row>
    <row r="21" spans="1:15" x14ac:dyDescent="0.25">
      <c r="L21">
        <v>9906000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 Janpitak</dc:creator>
  <cp:lastModifiedBy>Pannatorn Janpitak</cp:lastModifiedBy>
  <dcterms:created xsi:type="dcterms:W3CDTF">2026-08-26T10:45:58Z</dcterms:created>
  <dcterms:modified xsi:type="dcterms:W3CDTF">2026-09-21T04:35:40Z</dcterms:modified>
</cp:coreProperties>
</file>