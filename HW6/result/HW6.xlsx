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na\Documents\GitHub\DADS7102\HW6\result\"/>
    </mc:Choice>
  </mc:AlternateContent>
  <xr:revisionPtr revIDLastSave="0" documentId="13_ncr:1_{FF87227D-AAD9-47D7-A647-676091DBDE16}" xr6:coauthVersionLast="47" xr6:coauthVersionMax="47" xr10:uidLastSave="{00000000-0000-0000-0000-000000000000}"/>
  <bookViews>
    <workbookView xWindow="-120" yWindow="-120" windowWidth="29040" windowHeight="15840" xr2:uid="{61B28142-3B51-44B0-9885-C07AA0695C42}"/>
  </bookViews>
  <sheets>
    <sheet name="Hw6" sheetId="1" r:id="rId1"/>
  </sheets>
  <externalReferences>
    <externalReference r:id="rId2"/>
  </externalReferences>
  <definedNames>
    <definedName name="AFinish">[1]project!$K$6</definedName>
    <definedName name="BFinish">[1]project!$K$7</definedName>
    <definedName name="CFinish">[1]project!$K$8</definedName>
    <definedName name="DFinish">[1]project!$K$9</definedName>
    <definedName name="EFinish">[1]project!$K$10</definedName>
    <definedName name="FFinish">[1]project!$K$11</definedName>
    <definedName name="GFinish">[1]project!$K$12</definedName>
    <definedName name="HFinish">[1]project!$K$13</definedName>
    <definedName name="IFinish">[1]project!$K$14</definedName>
    <definedName name="invLevels">[1]CapitalBudget!$B$10:$H$10</definedName>
    <definedName name="JFinish">[1]project!$K$15</definedName>
    <definedName name="KFinish">[1]project!$K$16</definedName>
    <definedName name="LFinish">[1]project!$K$17</definedName>
    <definedName name="MFinish">[1]project!$K$18</definedName>
    <definedName name="NFinish">[1]project!$K$19</definedName>
    <definedName name="solver_adj" localSheetId="0" hidden="1">'Hw6'!$B$13:$C$13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'Hw6'!$B$19:$C$19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'Hw6'!$U$14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'Hw6'!$B$21:$C$21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5" i="1"/>
  <c r="C21" i="1"/>
  <c r="B21" i="1"/>
  <c r="C19" i="1"/>
  <c r="B24" i="1" l="1"/>
  <c r="B26" i="1" s="1"/>
</calcChain>
</file>

<file path=xl/sharedStrings.xml><?xml version="1.0" encoding="utf-8"?>
<sst xmlns="http://schemas.openxmlformats.org/spreadsheetml/2006/main" count="25" uniqueCount="21">
  <si>
    <t>Florida Power &amp; Light peak-load pricing model</t>
  </si>
  <si>
    <t>Input data</t>
  </si>
  <si>
    <t>Coefficients of demand functions</t>
  </si>
  <si>
    <t>Constant</t>
  </si>
  <si>
    <t>Peak price</t>
  </si>
  <si>
    <t>Off-peak price</t>
  </si>
  <si>
    <t>Peak-load demand</t>
  </si>
  <si>
    <t>Off-peak demand</t>
  </si>
  <si>
    <t>Cost of capacity/kwh</t>
  </si>
  <si>
    <t>Decisions</t>
  </si>
  <si>
    <t>Peak-load</t>
  </si>
  <si>
    <t>Off-peak</t>
  </si>
  <si>
    <t>Prices</t>
  </si>
  <si>
    <t>Capacity</t>
  </si>
  <si>
    <t>Constraints on demand</t>
  </si>
  <si>
    <t>Demand</t>
  </si>
  <si>
    <t>&lt;=</t>
  </si>
  <si>
    <t>Monetary summary</t>
  </si>
  <si>
    <t>Revenue</t>
  </si>
  <si>
    <t>Cost of capacity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</si>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</sst>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7" formatCode="&quot;$&quot;#,##0.00_);\(&quot;$&quot;#,##0.00\)"/>
    <numFmt numFmtId="8" formatCode="&quot;$&quot;#,##0.00_);[Red]\(&quot;$&quot;#,##0.00\)"/>
  </numFmts>
  <fonts count="4">
    <font>
      <sz val="11"/>
      <color theme="1"/>
      <name val="Calibri"/>
      <family val="2"/>
      <charset val="222"/>
      <scheme val="minor"/>
    </font>
    <font>
      <sz val="10"/>
      <name val="MS Sans Serif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quotePrefix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3" fillId="2" borderId="0" xfId="1" applyFont="1" applyFill="1"/>
    <xf numFmtId="6" fontId="3" fillId="2" borderId="0" xfId="1" applyNumberFormat="1" applyFont="1" applyFill="1" applyAlignment="1">
      <alignment horizontal="right"/>
    </xf>
    <xf numFmtId="0" fontId="2" fillId="0" borderId="0" xfId="1" applyFont="1" applyAlignment="1">
      <alignment horizontal="left"/>
    </xf>
    <xf numFmtId="0" fontId="3" fillId="0" borderId="0" xfId="1" quotePrefix="1" applyFont="1" applyAlignment="1">
      <alignment horizontal="right"/>
    </xf>
    <xf numFmtId="8" fontId="3" fillId="3" borderId="0" xfId="1" applyNumberFormat="1" applyFont="1" applyFill="1"/>
    <xf numFmtId="8" fontId="3" fillId="0" borderId="0" xfId="1" applyNumberFormat="1" applyFont="1"/>
    <xf numFmtId="2" fontId="3" fillId="0" borderId="0" xfId="1" applyNumberFormat="1" applyFont="1"/>
    <xf numFmtId="2" fontId="3" fillId="3" borderId="0" xfId="1" applyNumberFormat="1" applyFont="1" applyFill="1"/>
    <xf numFmtId="7" fontId="3" fillId="0" borderId="0" xfId="1" applyNumberFormat="1" applyFont="1"/>
    <xf numFmtId="7" fontId="3" fillId="4" borderId="0" xfId="1" applyNumberFormat="1" applyFont="1" applyFill="1"/>
  </cellXfs>
  <cellStyles count="2">
    <cellStyle name="Normal" xfId="0" builtinId="0"/>
    <cellStyle name="Normal 2" xfId="1" xr:uid="{E247B21A-D93F-429B-AEB0-47D021F43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GitHub\DADS7102\class_excel\data-files-optimization.xlsx" TargetMode="External"/><Relationship Id="rId1" Type="http://schemas.openxmlformats.org/officeDocument/2006/relationships/externalLinkPath" Target="/Users/Lenovo/Documents/GitHub/DADS7102/class_excel/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vertising "/>
      <sheetName val="Advertising _Sensitivity Report"/>
      <sheetName val="monopolist"/>
      <sheetName val="Sensitivity Report 1"/>
      <sheetName val="ProductMix"/>
      <sheetName val="ProductMix_add_on"/>
      <sheetName val="ProductMix2 Sensitivity"/>
      <sheetName val="ProductMix2"/>
      <sheetName val="LM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MCNF"/>
      <sheetName val="RedBrandLogistics"/>
      <sheetName val="HW3"/>
      <sheetName val="set_covering_model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GameTheory"/>
      <sheetName val="Portfolio"/>
      <sheetName val="EOQ"/>
      <sheetName val="SVM1"/>
      <sheetName val="MLE"/>
      <sheetName val="OLS"/>
      <sheetName val="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">
          <cell r="B10">
            <v>0</v>
          </cell>
          <cell r="C10">
            <v>1</v>
          </cell>
          <cell r="D10">
            <v>1</v>
          </cell>
          <cell r="E10">
            <v>1</v>
          </cell>
          <cell r="F10">
            <v>0</v>
          </cell>
          <cell r="G10">
            <v>0</v>
          </cell>
          <cell r="H10">
            <v>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C9F7-4BA8-48DD-859D-5EC6240E854B}">
  <dimension ref="A1:D28"/>
  <sheetViews>
    <sheetView tabSelected="1" zoomScaleNormal="100" workbookViewId="0">
      <selection activeCell="U13" sqref="U13"/>
    </sheetView>
  </sheetViews>
  <sheetFormatPr defaultRowHeight="15"/>
  <cols>
    <col min="1" max="1" width="22.140625" style="2" customWidth="1"/>
    <col min="2" max="2" width="9.85546875" style="2" customWidth="1"/>
    <col min="3" max="3" width="12.42578125" style="2" customWidth="1"/>
    <col min="4" max="4" width="13.85546875" style="2" bestFit="1" customWidth="1"/>
    <col min="5" max="242" width="9" style="2"/>
    <col min="243" max="243" width="19" style="2" customWidth="1"/>
    <col min="244" max="244" width="9.85546875" style="2" customWidth="1"/>
    <col min="245" max="246" width="12.42578125" style="2" customWidth="1"/>
    <col min="247" max="247" width="11.42578125" style="2" customWidth="1"/>
    <col min="248" max="248" width="16.5703125" style="2" customWidth="1"/>
    <col min="249" max="498" width="9" style="2"/>
    <col min="499" max="499" width="19" style="2" customWidth="1"/>
    <col min="500" max="500" width="9.85546875" style="2" customWidth="1"/>
    <col min="501" max="502" width="12.42578125" style="2" customWidth="1"/>
    <col min="503" max="503" width="11.42578125" style="2" customWidth="1"/>
    <col min="504" max="504" width="16.5703125" style="2" customWidth="1"/>
    <col min="505" max="754" width="9" style="2"/>
    <col min="755" max="755" width="19" style="2" customWidth="1"/>
    <col min="756" max="756" width="9.85546875" style="2" customWidth="1"/>
    <col min="757" max="758" width="12.42578125" style="2" customWidth="1"/>
    <col min="759" max="759" width="11.42578125" style="2" customWidth="1"/>
    <col min="760" max="760" width="16.5703125" style="2" customWidth="1"/>
    <col min="761" max="1010" width="9" style="2"/>
    <col min="1011" max="1011" width="19" style="2" customWidth="1"/>
    <col min="1012" max="1012" width="9.85546875" style="2" customWidth="1"/>
    <col min="1013" max="1014" width="12.42578125" style="2" customWidth="1"/>
    <col min="1015" max="1015" width="11.42578125" style="2" customWidth="1"/>
    <col min="1016" max="1016" width="16.5703125" style="2" customWidth="1"/>
    <col min="1017" max="1266" width="9" style="2"/>
    <col min="1267" max="1267" width="19" style="2" customWidth="1"/>
    <col min="1268" max="1268" width="9.85546875" style="2" customWidth="1"/>
    <col min="1269" max="1270" width="12.42578125" style="2" customWidth="1"/>
    <col min="1271" max="1271" width="11.42578125" style="2" customWidth="1"/>
    <col min="1272" max="1272" width="16.5703125" style="2" customWidth="1"/>
    <col min="1273" max="1522" width="9" style="2"/>
    <col min="1523" max="1523" width="19" style="2" customWidth="1"/>
    <col min="1524" max="1524" width="9.85546875" style="2" customWidth="1"/>
    <col min="1525" max="1526" width="12.42578125" style="2" customWidth="1"/>
    <col min="1527" max="1527" width="11.42578125" style="2" customWidth="1"/>
    <col min="1528" max="1528" width="16.5703125" style="2" customWidth="1"/>
    <col min="1529" max="1778" width="9" style="2"/>
    <col min="1779" max="1779" width="19" style="2" customWidth="1"/>
    <col min="1780" max="1780" width="9.85546875" style="2" customWidth="1"/>
    <col min="1781" max="1782" width="12.42578125" style="2" customWidth="1"/>
    <col min="1783" max="1783" width="11.42578125" style="2" customWidth="1"/>
    <col min="1784" max="1784" width="16.5703125" style="2" customWidth="1"/>
    <col min="1785" max="2034" width="9" style="2"/>
    <col min="2035" max="2035" width="19" style="2" customWidth="1"/>
    <col min="2036" max="2036" width="9.85546875" style="2" customWidth="1"/>
    <col min="2037" max="2038" width="12.42578125" style="2" customWidth="1"/>
    <col min="2039" max="2039" width="11.42578125" style="2" customWidth="1"/>
    <col min="2040" max="2040" width="16.5703125" style="2" customWidth="1"/>
    <col min="2041" max="2290" width="9" style="2"/>
    <col min="2291" max="2291" width="19" style="2" customWidth="1"/>
    <col min="2292" max="2292" width="9.85546875" style="2" customWidth="1"/>
    <col min="2293" max="2294" width="12.42578125" style="2" customWidth="1"/>
    <col min="2295" max="2295" width="11.42578125" style="2" customWidth="1"/>
    <col min="2296" max="2296" width="16.5703125" style="2" customWidth="1"/>
    <col min="2297" max="2546" width="9" style="2"/>
    <col min="2547" max="2547" width="19" style="2" customWidth="1"/>
    <col min="2548" max="2548" width="9.85546875" style="2" customWidth="1"/>
    <col min="2549" max="2550" width="12.42578125" style="2" customWidth="1"/>
    <col min="2551" max="2551" width="11.42578125" style="2" customWidth="1"/>
    <col min="2552" max="2552" width="16.5703125" style="2" customWidth="1"/>
    <col min="2553" max="2802" width="9" style="2"/>
    <col min="2803" max="2803" width="19" style="2" customWidth="1"/>
    <col min="2804" max="2804" width="9.85546875" style="2" customWidth="1"/>
    <col min="2805" max="2806" width="12.42578125" style="2" customWidth="1"/>
    <col min="2807" max="2807" width="11.42578125" style="2" customWidth="1"/>
    <col min="2808" max="2808" width="16.5703125" style="2" customWidth="1"/>
    <col min="2809" max="3058" width="9" style="2"/>
    <col min="3059" max="3059" width="19" style="2" customWidth="1"/>
    <col min="3060" max="3060" width="9.85546875" style="2" customWidth="1"/>
    <col min="3061" max="3062" width="12.42578125" style="2" customWidth="1"/>
    <col min="3063" max="3063" width="11.42578125" style="2" customWidth="1"/>
    <col min="3064" max="3064" width="16.5703125" style="2" customWidth="1"/>
    <col min="3065" max="3314" width="9" style="2"/>
    <col min="3315" max="3315" width="19" style="2" customWidth="1"/>
    <col min="3316" max="3316" width="9.85546875" style="2" customWidth="1"/>
    <col min="3317" max="3318" width="12.42578125" style="2" customWidth="1"/>
    <col min="3319" max="3319" width="11.42578125" style="2" customWidth="1"/>
    <col min="3320" max="3320" width="16.5703125" style="2" customWidth="1"/>
    <col min="3321" max="3570" width="9" style="2"/>
    <col min="3571" max="3571" width="19" style="2" customWidth="1"/>
    <col min="3572" max="3572" width="9.85546875" style="2" customWidth="1"/>
    <col min="3573" max="3574" width="12.42578125" style="2" customWidth="1"/>
    <col min="3575" max="3575" width="11.42578125" style="2" customWidth="1"/>
    <col min="3576" max="3576" width="16.5703125" style="2" customWidth="1"/>
    <col min="3577" max="3826" width="9" style="2"/>
    <col min="3827" max="3827" width="19" style="2" customWidth="1"/>
    <col min="3828" max="3828" width="9.85546875" style="2" customWidth="1"/>
    <col min="3829" max="3830" width="12.42578125" style="2" customWidth="1"/>
    <col min="3831" max="3831" width="11.42578125" style="2" customWidth="1"/>
    <col min="3832" max="3832" width="16.5703125" style="2" customWidth="1"/>
    <col min="3833" max="4082" width="9" style="2"/>
    <col min="4083" max="4083" width="19" style="2" customWidth="1"/>
    <col min="4084" max="4084" width="9.85546875" style="2" customWidth="1"/>
    <col min="4085" max="4086" width="12.42578125" style="2" customWidth="1"/>
    <col min="4087" max="4087" width="11.42578125" style="2" customWidth="1"/>
    <col min="4088" max="4088" width="16.5703125" style="2" customWidth="1"/>
    <col min="4089" max="4338" width="9" style="2"/>
    <col min="4339" max="4339" width="19" style="2" customWidth="1"/>
    <col min="4340" max="4340" width="9.85546875" style="2" customWidth="1"/>
    <col min="4341" max="4342" width="12.42578125" style="2" customWidth="1"/>
    <col min="4343" max="4343" width="11.42578125" style="2" customWidth="1"/>
    <col min="4344" max="4344" width="16.5703125" style="2" customWidth="1"/>
    <col min="4345" max="4594" width="9" style="2"/>
    <col min="4595" max="4595" width="19" style="2" customWidth="1"/>
    <col min="4596" max="4596" width="9.85546875" style="2" customWidth="1"/>
    <col min="4597" max="4598" width="12.42578125" style="2" customWidth="1"/>
    <col min="4599" max="4599" width="11.42578125" style="2" customWidth="1"/>
    <col min="4600" max="4600" width="16.5703125" style="2" customWidth="1"/>
    <col min="4601" max="4850" width="9" style="2"/>
    <col min="4851" max="4851" width="19" style="2" customWidth="1"/>
    <col min="4852" max="4852" width="9.85546875" style="2" customWidth="1"/>
    <col min="4853" max="4854" width="12.42578125" style="2" customWidth="1"/>
    <col min="4855" max="4855" width="11.42578125" style="2" customWidth="1"/>
    <col min="4856" max="4856" width="16.5703125" style="2" customWidth="1"/>
    <col min="4857" max="5106" width="9" style="2"/>
    <col min="5107" max="5107" width="19" style="2" customWidth="1"/>
    <col min="5108" max="5108" width="9.85546875" style="2" customWidth="1"/>
    <col min="5109" max="5110" width="12.42578125" style="2" customWidth="1"/>
    <col min="5111" max="5111" width="11.42578125" style="2" customWidth="1"/>
    <col min="5112" max="5112" width="16.5703125" style="2" customWidth="1"/>
    <col min="5113" max="5362" width="9" style="2"/>
    <col min="5363" max="5363" width="19" style="2" customWidth="1"/>
    <col min="5364" max="5364" width="9.85546875" style="2" customWidth="1"/>
    <col min="5365" max="5366" width="12.42578125" style="2" customWidth="1"/>
    <col min="5367" max="5367" width="11.42578125" style="2" customWidth="1"/>
    <col min="5368" max="5368" width="16.5703125" style="2" customWidth="1"/>
    <col min="5369" max="5618" width="9" style="2"/>
    <col min="5619" max="5619" width="19" style="2" customWidth="1"/>
    <col min="5620" max="5620" width="9.85546875" style="2" customWidth="1"/>
    <col min="5621" max="5622" width="12.42578125" style="2" customWidth="1"/>
    <col min="5623" max="5623" width="11.42578125" style="2" customWidth="1"/>
    <col min="5624" max="5624" width="16.5703125" style="2" customWidth="1"/>
    <col min="5625" max="5874" width="9" style="2"/>
    <col min="5875" max="5875" width="19" style="2" customWidth="1"/>
    <col min="5876" max="5876" width="9.85546875" style="2" customWidth="1"/>
    <col min="5877" max="5878" width="12.42578125" style="2" customWidth="1"/>
    <col min="5879" max="5879" width="11.42578125" style="2" customWidth="1"/>
    <col min="5880" max="5880" width="16.5703125" style="2" customWidth="1"/>
    <col min="5881" max="6130" width="9" style="2"/>
    <col min="6131" max="6131" width="19" style="2" customWidth="1"/>
    <col min="6132" max="6132" width="9.85546875" style="2" customWidth="1"/>
    <col min="6133" max="6134" width="12.42578125" style="2" customWidth="1"/>
    <col min="6135" max="6135" width="11.42578125" style="2" customWidth="1"/>
    <col min="6136" max="6136" width="16.5703125" style="2" customWidth="1"/>
    <col min="6137" max="6386" width="9" style="2"/>
    <col min="6387" max="6387" width="19" style="2" customWidth="1"/>
    <col min="6388" max="6388" width="9.85546875" style="2" customWidth="1"/>
    <col min="6389" max="6390" width="12.42578125" style="2" customWidth="1"/>
    <col min="6391" max="6391" width="11.42578125" style="2" customWidth="1"/>
    <col min="6392" max="6392" width="16.5703125" style="2" customWidth="1"/>
    <col min="6393" max="6642" width="9" style="2"/>
    <col min="6643" max="6643" width="19" style="2" customWidth="1"/>
    <col min="6644" max="6644" width="9.85546875" style="2" customWidth="1"/>
    <col min="6645" max="6646" width="12.42578125" style="2" customWidth="1"/>
    <col min="6647" max="6647" width="11.42578125" style="2" customWidth="1"/>
    <col min="6648" max="6648" width="16.5703125" style="2" customWidth="1"/>
    <col min="6649" max="6898" width="9" style="2"/>
    <col min="6899" max="6899" width="19" style="2" customWidth="1"/>
    <col min="6900" max="6900" width="9.85546875" style="2" customWidth="1"/>
    <col min="6901" max="6902" width="12.42578125" style="2" customWidth="1"/>
    <col min="6903" max="6903" width="11.42578125" style="2" customWidth="1"/>
    <col min="6904" max="6904" width="16.5703125" style="2" customWidth="1"/>
    <col min="6905" max="7154" width="9" style="2"/>
    <col min="7155" max="7155" width="19" style="2" customWidth="1"/>
    <col min="7156" max="7156" width="9.85546875" style="2" customWidth="1"/>
    <col min="7157" max="7158" width="12.42578125" style="2" customWidth="1"/>
    <col min="7159" max="7159" width="11.42578125" style="2" customWidth="1"/>
    <col min="7160" max="7160" width="16.5703125" style="2" customWidth="1"/>
    <col min="7161" max="7410" width="9" style="2"/>
    <col min="7411" max="7411" width="19" style="2" customWidth="1"/>
    <col min="7412" max="7412" width="9.85546875" style="2" customWidth="1"/>
    <col min="7413" max="7414" width="12.42578125" style="2" customWidth="1"/>
    <col min="7415" max="7415" width="11.42578125" style="2" customWidth="1"/>
    <col min="7416" max="7416" width="16.5703125" style="2" customWidth="1"/>
    <col min="7417" max="7666" width="9" style="2"/>
    <col min="7667" max="7667" width="19" style="2" customWidth="1"/>
    <col min="7668" max="7668" width="9.85546875" style="2" customWidth="1"/>
    <col min="7669" max="7670" width="12.42578125" style="2" customWidth="1"/>
    <col min="7671" max="7671" width="11.42578125" style="2" customWidth="1"/>
    <col min="7672" max="7672" width="16.5703125" style="2" customWidth="1"/>
    <col min="7673" max="7922" width="9" style="2"/>
    <col min="7923" max="7923" width="19" style="2" customWidth="1"/>
    <col min="7924" max="7924" width="9.85546875" style="2" customWidth="1"/>
    <col min="7925" max="7926" width="12.42578125" style="2" customWidth="1"/>
    <col min="7927" max="7927" width="11.42578125" style="2" customWidth="1"/>
    <col min="7928" max="7928" width="16.5703125" style="2" customWidth="1"/>
    <col min="7929" max="8178" width="9" style="2"/>
    <col min="8179" max="8179" width="19" style="2" customWidth="1"/>
    <col min="8180" max="8180" width="9.85546875" style="2" customWidth="1"/>
    <col min="8181" max="8182" width="12.42578125" style="2" customWidth="1"/>
    <col min="8183" max="8183" width="11.42578125" style="2" customWidth="1"/>
    <col min="8184" max="8184" width="16.5703125" style="2" customWidth="1"/>
    <col min="8185" max="8434" width="9" style="2"/>
    <col min="8435" max="8435" width="19" style="2" customWidth="1"/>
    <col min="8436" max="8436" width="9.85546875" style="2" customWidth="1"/>
    <col min="8437" max="8438" width="12.42578125" style="2" customWidth="1"/>
    <col min="8439" max="8439" width="11.42578125" style="2" customWidth="1"/>
    <col min="8440" max="8440" width="16.5703125" style="2" customWidth="1"/>
    <col min="8441" max="8690" width="9" style="2"/>
    <col min="8691" max="8691" width="19" style="2" customWidth="1"/>
    <col min="8692" max="8692" width="9.85546875" style="2" customWidth="1"/>
    <col min="8693" max="8694" width="12.42578125" style="2" customWidth="1"/>
    <col min="8695" max="8695" width="11.42578125" style="2" customWidth="1"/>
    <col min="8696" max="8696" width="16.5703125" style="2" customWidth="1"/>
    <col min="8697" max="8946" width="9" style="2"/>
    <col min="8947" max="8947" width="19" style="2" customWidth="1"/>
    <col min="8948" max="8948" width="9.85546875" style="2" customWidth="1"/>
    <col min="8949" max="8950" width="12.42578125" style="2" customWidth="1"/>
    <col min="8951" max="8951" width="11.42578125" style="2" customWidth="1"/>
    <col min="8952" max="8952" width="16.5703125" style="2" customWidth="1"/>
    <col min="8953" max="9202" width="9" style="2"/>
    <col min="9203" max="9203" width="19" style="2" customWidth="1"/>
    <col min="9204" max="9204" width="9.85546875" style="2" customWidth="1"/>
    <col min="9205" max="9206" width="12.42578125" style="2" customWidth="1"/>
    <col min="9207" max="9207" width="11.42578125" style="2" customWidth="1"/>
    <col min="9208" max="9208" width="16.5703125" style="2" customWidth="1"/>
    <col min="9209" max="9458" width="9" style="2"/>
    <col min="9459" max="9459" width="19" style="2" customWidth="1"/>
    <col min="9460" max="9460" width="9.85546875" style="2" customWidth="1"/>
    <col min="9461" max="9462" width="12.42578125" style="2" customWidth="1"/>
    <col min="9463" max="9463" width="11.42578125" style="2" customWidth="1"/>
    <col min="9464" max="9464" width="16.5703125" style="2" customWidth="1"/>
    <col min="9465" max="9714" width="9" style="2"/>
    <col min="9715" max="9715" width="19" style="2" customWidth="1"/>
    <col min="9716" max="9716" width="9.85546875" style="2" customWidth="1"/>
    <col min="9717" max="9718" width="12.42578125" style="2" customWidth="1"/>
    <col min="9719" max="9719" width="11.42578125" style="2" customWidth="1"/>
    <col min="9720" max="9720" width="16.5703125" style="2" customWidth="1"/>
    <col min="9721" max="9970" width="9" style="2"/>
    <col min="9971" max="9971" width="19" style="2" customWidth="1"/>
    <col min="9972" max="9972" width="9.85546875" style="2" customWidth="1"/>
    <col min="9973" max="9974" width="12.42578125" style="2" customWidth="1"/>
    <col min="9975" max="9975" width="11.42578125" style="2" customWidth="1"/>
    <col min="9976" max="9976" width="16.5703125" style="2" customWidth="1"/>
    <col min="9977" max="10226" width="9" style="2"/>
    <col min="10227" max="10227" width="19" style="2" customWidth="1"/>
    <col min="10228" max="10228" width="9.85546875" style="2" customWidth="1"/>
    <col min="10229" max="10230" width="12.42578125" style="2" customWidth="1"/>
    <col min="10231" max="10231" width="11.42578125" style="2" customWidth="1"/>
    <col min="10232" max="10232" width="16.5703125" style="2" customWidth="1"/>
    <col min="10233" max="10482" width="9" style="2"/>
    <col min="10483" max="10483" width="19" style="2" customWidth="1"/>
    <col min="10484" max="10484" width="9.85546875" style="2" customWidth="1"/>
    <col min="10485" max="10486" width="12.42578125" style="2" customWidth="1"/>
    <col min="10487" max="10487" width="11.42578125" style="2" customWidth="1"/>
    <col min="10488" max="10488" width="16.5703125" style="2" customWidth="1"/>
    <col min="10489" max="10738" width="9" style="2"/>
    <col min="10739" max="10739" width="19" style="2" customWidth="1"/>
    <col min="10740" max="10740" width="9.85546875" style="2" customWidth="1"/>
    <col min="10741" max="10742" width="12.42578125" style="2" customWidth="1"/>
    <col min="10743" max="10743" width="11.42578125" style="2" customWidth="1"/>
    <col min="10744" max="10744" width="16.5703125" style="2" customWidth="1"/>
    <col min="10745" max="10994" width="9" style="2"/>
    <col min="10995" max="10995" width="19" style="2" customWidth="1"/>
    <col min="10996" max="10996" width="9.85546875" style="2" customWidth="1"/>
    <col min="10997" max="10998" width="12.42578125" style="2" customWidth="1"/>
    <col min="10999" max="10999" width="11.42578125" style="2" customWidth="1"/>
    <col min="11000" max="11000" width="16.5703125" style="2" customWidth="1"/>
    <col min="11001" max="11250" width="9" style="2"/>
    <col min="11251" max="11251" width="19" style="2" customWidth="1"/>
    <col min="11252" max="11252" width="9.85546875" style="2" customWidth="1"/>
    <col min="11253" max="11254" width="12.42578125" style="2" customWidth="1"/>
    <col min="11255" max="11255" width="11.42578125" style="2" customWidth="1"/>
    <col min="11256" max="11256" width="16.5703125" style="2" customWidth="1"/>
    <col min="11257" max="11506" width="9" style="2"/>
    <col min="11507" max="11507" width="19" style="2" customWidth="1"/>
    <col min="11508" max="11508" width="9.85546875" style="2" customWidth="1"/>
    <col min="11509" max="11510" width="12.42578125" style="2" customWidth="1"/>
    <col min="11511" max="11511" width="11.42578125" style="2" customWidth="1"/>
    <col min="11512" max="11512" width="16.5703125" style="2" customWidth="1"/>
    <col min="11513" max="11762" width="9" style="2"/>
    <col min="11763" max="11763" width="19" style="2" customWidth="1"/>
    <col min="11764" max="11764" width="9.85546875" style="2" customWidth="1"/>
    <col min="11765" max="11766" width="12.42578125" style="2" customWidth="1"/>
    <col min="11767" max="11767" width="11.42578125" style="2" customWidth="1"/>
    <col min="11768" max="11768" width="16.5703125" style="2" customWidth="1"/>
    <col min="11769" max="12018" width="9" style="2"/>
    <col min="12019" max="12019" width="19" style="2" customWidth="1"/>
    <col min="12020" max="12020" width="9.85546875" style="2" customWidth="1"/>
    <col min="12021" max="12022" width="12.42578125" style="2" customWidth="1"/>
    <col min="12023" max="12023" width="11.42578125" style="2" customWidth="1"/>
    <col min="12024" max="12024" width="16.5703125" style="2" customWidth="1"/>
    <col min="12025" max="12274" width="9" style="2"/>
    <col min="12275" max="12275" width="19" style="2" customWidth="1"/>
    <col min="12276" max="12276" width="9.85546875" style="2" customWidth="1"/>
    <col min="12277" max="12278" width="12.42578125" style="2" customWidth="1"/>
    <col min="12279" max="12279" width="11.42578125" style="2" customWidth="1"/>
    <col min="12280" max="12280" width="16.5703125" style="2" customWidth="1"/>
    <col min="12281" max="12530" width="9" style="2"/>
    <col min="12531" max="12531" width="19" style="2" customWidth="1"/>
    <col min="12532" max="12532" width="9.85546875" style="2" customWidth="1"/>
    <col min="12533" max="12534" width="12.42578125" style="2" customWidth="1"/>
    <col min="12535" max="12535" width="11.42578125" style="2" customWidth="1"/>
    <col min="12536" max="12536" width="16.5703125" style="2" customWidth="1"/>
    <col min="12537" max="12786" width="9" style="2"/>
    <col min="12787" max="12787" width="19" style="2" customWidth="1"/>
    <col min="12788" max="12788" width="9.85546875" style="2" customWidth="1"/>
    <col min="12789" max="12790" width="12.42578125" style="2" customWidth="1"/>
    <col min="12791" max="12791" width="11.42578125" style="2" customWidth="1"/>
    <col min="12792" max="12792" width="16.5703125" style="2" customWidth="1"/>
    <col min="12793" max="13042" width="9" style="2"/>
    <col min="13043" max="13043" width="19" style="2" customWidth="1"/>
    <col min="13044" max="13044" width="9.85546875" style="2" customWidth="1"/>
    <col min="13045" max="13046" width="12.42578125" style="2" customWidth="1"/>
    <col min="13047" max="13047" width="11.42578125" style="2" customWidth="1"/>
    <col min="13048" max="13048" width="16.5703125" style="2" customWidth="1"/>
    <col min="13049" max="13298" width="9" style="2"/>
    <col min="13299" max="13299" width="19" style="2" customWidth="1"/>
    <col min="13300" max="13300" width="9.85546875" style="2" customWidth="1"/>
    <col min="13301" max="13302" width="12.42578125" style="2" customWidth="1"/>
    <col min="13303" max="13303" width="11.42578125" style="2" customWidth="1"/>
    <col min="13304" max="13304" width="16.5703125" style="2" customWidth="1"/>
    <col min="13305" max="13554" width="9" style="2"/>
    <col min="13555" max="13555" width="19" style="2" customWidth="1"/>
    <col min="13556" max="13556" width="9.85546875" style="2" customWidth="1"/>
    <col min="13557" max="13558" width="12.42578125" style="2" customWidth="1"/>
    <col min="13559" max="13559" width="11.42578125" style="2" customWidth="1"/>
    <col min="13560" max="13560" width="16.5703125" style="2" customWidth="1"/>
    <col min="13561" max="13810" width="9" style="2"/>
    <col min="13811" max="13811" width="19" style="2" customWidth="1"/>
    <col min="13812" max="13812" width="9.85546875" style="2" customWidth="1"/>
    <col min="13813" max="13814" width="12.42578125" style="2" customWidth="1"/>
    <col min="13815" max="13815" width="11.42578125" style="2" customWidth="1"/>
    <col min="13816" max="13816" width="16.5703125" style="2" customWidth="1"/>
    <col min="13817" max="14066" width="9" style="2"/>
    <col min="14067" max="14067" width="19" style="2" customWidth="1"/>
    <col min="14068" max="14068" width="9.85546875" style="2" customWidth="1"/>
    <col min="14069" max="14070" width="12.42578125" style="2" customWidth="1"/>
    <col min="14071" max="14071" width="11.42578125" style="2" customWidth="1"/>
    <col min="14072" max="14072" width="16.5703125" style="2" customWidth="1"/>
    <col min="14073" max="14322" width="9" style="2"/>
    <col min="14323" max="14323" width="19" style="2" customWidth="1"/>
    <col min="14324" max="14324" width="9.85546875" style="2" customWidth="1"/>
    <col min="14325" max="14326" width="12.42578125" style="2" customWidth="1"/>
    <col min="14327" max="14327" width="11.42578125" style="2" customWidth="1"/>
    <col min="14328" max="14328" width="16.5703125" style="2" customWidth="1"/>
    <col min="14329" max="14578" width="9" style="2"/>
    <col min="14579" max="14579" width="19" style="2" customWidth="1"/>
    <col min="14580" max="14580" width="9.85546875" style="2" customWidth="1"/>
    <col min="14581" max="14582" width="12.42578125" style="2" customWidth="1"/>
    <col min="14583" max="14583" width="11.42578125" style="2" customWidth="1"/>
    <col min="14584" max="14584" width="16.5703125" style="2" customWidth="1"/>
    <col min="14585" max="14834" width="9" style="2"/>
    <col min="14835" max="14835" width="19" style="2" customWidth="1"/>
    <col min="14836" max="14836" width="9.85546875" style="2" customWidth="1"/>
    <col min="14837" max="14838" width="12.42578125" style="2" customWidth="1"/>
    <col min="14839" max="14839" width="11.42578125" style="2" customWidth="1"/>
    <col min="14840" max="14840" width="16.5703125" style="2" customWidth="1"/>
    <col min="14841" max="15090" width="9" style="2"/>
    <col min="15091" max="15091" width="19" style="2" customWidth="1"/>
    <col min="15092" max="15092" width="9.85546875" style="2" customWidth="1"/>
    <col min="15093" max="15094" width="12.42578125" style="2" customWidth="1"/>
    <col min="15095" max="15095" width="11.42578125" style="2" customWidth="1"/>
    <col min="15096" max="15096" width="16.5703125" style="2" customWidth="1"/>
    <col min="15097" max="15346" width="9" style="2"/>
    <col min="15347" max="15347" width="19" style="2" customWidth="1"/>
    <col min="15348" max="15348" width="9.85546875" style="2" customWidth="1"/>
    <col min="15349" max="15350" width="12.42578125" style="2" customWidth="1"/>
    <col min="15351" max="15351" width="11.42578125" style="2" customWidth="1"/>
    <col min="15352" max="15352" width="16.5703125" style="2" customWidth="1"/>
    <col min="15353" max="15602" width="9" style="2"/>
    <col min="15603" max="15603" width="19" style="2" customWidth="1"/>
    <col min="15604" max="15604" width="9.85546875" style="2" customWidth="1"/>
    <col min="15605" max="15606" width="12.42578125" style="2" customWidth="1"/>
    <col min="15607" max="15607" width="11.42578125" style="2" customWidth="1"/>
    <col min="15608" max="15608" width="16.5703125" style="2" customWidth="1"/>
    <col min="15609" max="15858" width="9" style="2"/>
    <col min="15859" max="15859" width="19" style="2" customWidth="1"/>
    <col min="15860" max="15860" width="9.85546875" style="2" customWidth="1"/>
    <col min="15861" max="15862" width="12.42578125" style="2" customWidth="1"/>
    <col min="15863" max="15863" width="11.42578125" style="2" customWidth="1"/>
    <col min="15864" max="15864" width="16.5703125" style="2" customWidth="1"/>
    <col min="15865" max="16114" width="9" style="2"/>
    <col min="16115" max="16115" width="19" style="2" customWidth="1"/>
    <col min="16116" max="16116" width="9.85546875" style="2" customWidth="1"/>
    <col min="16117" max="16118" width="12.42578125" style="2" customWidth="1"/>
    <col min="16119" max="16119" width="11.42578125" style="2" customWidth="1"/>
    <col min="16120" max="16120" width="16.5703125" style="2" customWidth="1"/>
    <col min="16121" max="16384" width="9" style="2"/>
  </cols>
  <sheetData>
    <row r="1" spans="1:4">
      <c r="A1" s="1" t="s">
        <v>0</v>
      </c>
    </row>
    <row r="3" spans="1:4">
      <c r="A3" s="1" t="s">
        <v>1</v>
      </c>
    </row>
    <row r="4" spans="1:4">
      <c r="A4" s="3" t="s">
        <v>2</v>
      </c>
    </row>
    <row r="5" spans="1:4" s="5" customFormat="1">
      <c r="A5" s="2"/>
      <c r="B5" s="5" t="s">
        <v>3</v>
      </c>
      <c r="C5" s="5" t="s">
        <v>4</v>
      </c>
      <c r="D5" s="5" t="s">
        <v>5</v>
      </c>
    </row>
    <row r="6" spans="1:4">
      <c r="A6" s="4" t="s">
        <v>6</v>
      </c>
      <c r="B6" s="6">
        <v>2.2530000000000001</v>
      </c>
      <c r="C6" s="6">
        <v>-1.2999999999999999E-2</v>
      </c>
      <c r="D6" s="6">
        <v>3.0000000000000001E-3</v>
      </c>
    </row>
    <row r="7" spans="1:4">
      <c r="A7" s="2" t="s">
        <v>7</v>
      </c>
      <c r="B7" s="6">
        <v>1.1419999999999999</v>
      </c>
      <c r="C7" s="6">
        <v>5.0000000000000001E-3</v>
      </c>
      <c r="D7" s="6">
        <v>-1.4999999999999999E-2</v>
      </c>
    </row>
    <row r="9" spans="1:4">
      <c r="A9" s="3" t="s">
        <v>8</v>
      </c>
      <c r="B9" s="7">
        <v>75</v>
      </c>
    </row>
    <row r="11" spans="1:4">
      <c r="A11" s="8" t="s">
        <v>9</v>
      </c>
    </row>
    <row r="12" spans="1:4" s="5" customFormat="1">
      <c r="B12" s="5" t="s">
        <v>10</v>
      </c>
      <c r="C12" s="5" t="s">
        <v>11</v>
      </c>
      <c r="D12" s="9"/>
    </row>
    <row r="13" spans="1:4">
      <c r="A13" s="2" t="s">
        <v>12</v>
      </c>
      <c r="B13" s="10">
        <v>141.78333333333373</v>
      </c>
      <c r="C13" s="10">
        <v>80.061111111112737</v>
      </c>
    </row>
    <row r="14" spans="1:4">
      <c r="B14" s="11"/>
      <c r="C14" s="11"/>
      <c r="D14" s="12"/>
    </row>
    <row r="15" spans="1:4">
      <c r="A15" s="2" t="s">
        <v>13</v>
      </c>
      <c r="B15" s="13">
        <v>0.65</v>
      </c>
      <c r="C15" s="11"/>
      <c r="D15" s="12"/>
    </row>
    <row r="17" spans="1:4">
      <c r="A17" s="8" t="s">
        <v>14</v>
      </c>
    </row>
    <row r="18" spans="1:4">
      <c r="B18" s="5" t="s">
        <v>10</v>
      </c>
      <c r="C18" s="5" t="s">
        <v>11</v>
      </c>
      <c r="D18" s="5"/>
    </row>
    <row r="19" spans="1:4">
      <c r="A19" s="2" t="s">
        <v>15</v>
      </c>
      <c r="B19" s="12">
        <f>SUMPRODUCT(C6:D6,B13:C13) +B6</f>
        <v>0.64999999999999991</v>
      </c>
      <c r="C19" s="12">
        <f>SUMPRODUCT(C7:D7, B13:C13) + B7</f>
        <v>0.64999999999997748</v>
      </c>
    </row>
    <row r="20" spans="1:4">
      <c r="B20" s="5" t="s">
        <v>16</v>
      </c>
      <c r="C20" s="5" t="s">
        <v>16</v>
      </c>
    </row>
    <row r="21" spans="1:4">
      <c r="A21" s="2" t="s">
        <v>13</v>
      </c>
      <c r="B21" s="12">
        <f>$B$15</f>
        <v>0.65</v>
      </c>
      <c r="C21" s="12">
        <f>$B$15</f>
        <v>0.65</v>
      </c>
      <c r="D21" s="12"/>
    </row>
    <row r="22" spans="1:4">
      <c r="B22" s="12"/>
    </row>
    <row r="23" spans="1:4">
      <c r="A23" s="1" t="s">
        <v>17</v>
      </c>
    </row>
    <row r="24" spans="1:4">
      <c r="A24" s="2" t="s">
        <v>18</v>
      </c>
      <c r="B24" s="14">
        <f>SUMPRODUCT(B19:C19,B13:C13)</f>
        <v>144.19888888888838</v>
      </c>
      <c r="C24" s="14"/>
    </row>
    <row r="25" spans="1:4">
      <c r="A25" s="2" t="s">
        <v>19</v>
      </c>
      <c r="B25" s="14">
        <f>$B$9*B15</f>
        <v>48.75</v>
      </c>
    </row>
    <row r="26" spans="1:4">
      <c r="A26" s="2" t="s">
        <v>20</v>
      </c>
      <c r="B26" s="15">
        <f>B24-B25</f>
        <v>95.448888888888376</v>
      </c>
    </row>
    <row r="28" spans="1:4">
      <c r="A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 Janpitak</cp:lastModifiedBy>
  <dcterms:created xsi:type="dcterms:W3CDTF">2026-09-13T00:56:23Z</dcterms:created>
  <dcterms:modified xsi:type="dcterms:W3CDTF">2026-09-15T05:58:33Z</dcterms:modified>
</cp:coreProperties>
</file>