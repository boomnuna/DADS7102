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A9FB1999-D2C3-4B61-BC64-81BC6F1A62B9}" xr6:coauthVersionLast="47" xr6:coauthVersionMax="47" xr10:uidLastSave="{00000000-0000-0000-0000-000000000000}"/>
  <bookViews>
    <workbookView xWindow="-120" yWindow="-120" windowWidth="29040" windowHeight="15720" firstSheet="1" activeTab="9" xr2:uid="{962D6ACA-47B2-4C7E-82D5-0F5476EE75BF}"/>
  </bookViews>
  <sheets>
    <sheet name="ch_1_1_Sensitivity Report" sheetId="3" r:id="rId1"/>
    <sheet name="ch_1_1" sheetId="1" r:id="rId2"/>
    <sheet name="ch_1_2" sheetId="5" r:id="rId3"/>
    <sheet name="ch_2_1_Sensitivity Report 1" sheetId="7" r:id="rId4"/>
    <sheet name="ch_2_1" sheetId="4" r:id="rId5"/>
    <sheet name="Sensitivity Report 1" sheetId="10" r:id="rId6"/>
    <sheet name="ch_2_2" sheetId="9" r:id="rId7"/>
    <sheet name="Sensitivity Report 3" sheetId="14" r:id="rId8"/>
    <sheet name="ch_2_3" sheetId="11" r:id="rId9"/>
    <sheet name="ch_3_1" sheetId="15" r:id="rId10"/>
  </sheets>
  <definedNames>
    <definedName name="solver_adj" localSheetId="1" hidden="1">ch_1_1!$L$2:$N$2</definedName>
    <definedName name="solver_adj" localSheetId="2" hidden="1">ch_1_2!$B$2:$C$2</definedName>
    <definedName name="solver_adj" localSheetId="4" hidden="1">ch_2_1!$B$2:$I$3</definedName>
    <definedName name="solver_adj" localSheetId="6" hidden="1">ch_2_2!$B$2:$C$2</definedName>
    <definedName name="solver_adj" localSheetId="8" hidden="1">ch_2_3!$B$2:$E$4</definedName>
    <definedName name="solver_adj" localSheetId="9" hidden="1">ch_3_1!$B$2:$H$2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6" hidden="1">0.0001</definedName>
    <definedName name="solver_cvg" localSheetId="8" hidden="1">0.0001</definedName>
    <definedName name="solver_cvg" localSheetId="9" hidden="1">0.0001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6" hidden="1">1</definedName>
    <definedName name="solver_drv" localSheetId="8" hidden="1">1</definedName>
    <definedName name="solver_drv" localSheetId="9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6" hidden="1">2</definedName>
    <definedName name="solver_eng" localSheetId="8" hidden="1">2</definedName>
    <definedName name="solver_eng" localSheetId="9" hidden="1">2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6" hidden="1">1</definedName>
    <definedName name="solver_est" localSheetId="8" hidden="1">1</definedName>
    <definedName name="solver_est" localSheetId="9" hidden="1">1</definedName>
    <definedName name="solver_itr" localSheetId="1" hidden="1">2147483647</definedName>
    <definedName name="solver_itr" localSheetId="2" hidden="1">2147483647</definedName>
    <definedName name="solver_itr" localSheetId="4" hidden="1">2147483647</definedName>
    <definedName name="solver_itr" localSheetId="6" hidden="1">2147483647</definedName>
    <definedName name="solver_itr" localSheetId="8" hidden="1">2147483647</definedName>
    <definedName name="solver_itr" localSheetId="9" hidden="1">2147483647</definedName>
    <definedName name="solver_lhs1" localSheetId="1" hidden="1">ch_1_1!$B$3:$B$5</definedName>
    <definedName name="solver_lhs1" localSheetId="2" hidden="1">ch_1_2!$F$5:$F$7</definedName>
    <definedName name="solver_lhs1" localSheetId="4" hidden="1">ch_2_1!$B$4:$I$4</definedName>
    <definedName name="solver_lhs1" localSheetId="6" hidden="1">ch_2_2!$E$4:$E$6</definedName>
    <definedName name="solver_lhs1" localSheetId="8" hidden="1">ch_2_3!$G$2:$G$6</definedName>
    <definedName name="solver_lhs1" localSheetId="9" hidden="1">ch_3_1!$B$2:$H$2</definedName>
    <definedName name="solver_lhs2" localSheetId="1" hidden="1">ch_1_1!$B$8:$B$9</definedName>
    <definedName name="solver_lhs2" localSheetId="4" hidden="1">ch_2_1!$O$2:$O$4</definedName>
    <definedName name="solver_lhs2" localSheetId="9" hidden="1">ch_3_1!$J$3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6" hidden="1">2147483647</definedName>
    <definedName name="solver_mip" localSheetId="8" hidden="1">2147483647</definedName>
    <definedName name="solver_mip" localSheetId="9" hidden="1">2147483647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6" hidden="1">30</definedName>
    <definedName name="solver_mni" localSheetId="8" hidden="1">30</definedName>
    <definedName name="solver_mni" localSheetId="9" hidden="1">30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6" hidden="1">0.075</definedName>
    <definedName name="solver_mrt" localSheetId="8" hidden="1">0.075</definedName>
    <definedName name="solver_mrt" localSheetId="9" hidden="1">0.075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6" hidden="1">2</definedName>
    <definedName name="solver_msl" localSheetId="8" hidden="1">2</definedName>
    <definedName name="solver_msl" localSheetId="9" hidden="1">2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6" hidden="1">1</definedName>
    <definedName name="solver_neg" localSheetId="8" hidden="1">1</definedName>
    <definedName name="solver_neg" localSheetId="9" hidden="1">1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6" hidden="1">2147483647</definedName>
    <definedName name="solver_nod" localSheetId="8" hidden="1">2147483647</definedName>
    <definedName name="solver_nod" localSheetId="9" hidden="1">2147483647</definedName>
    <definedName name="solver_num" localSheetId="1" hidden="1">2</definedName>
    <definedName name="solver_num" localSheetId="2" hidden="1">1</definedName>
    <definedName name="solver_num" localSheetId="4" hidden="1">2</definedName>
    <definedName name="solver_num" localSheetId="6" hidden="1">1</definedName>
    <definedName name="solver_num" localSheetId="8" hidden="1">1</definedName>
    <definedName name="solver_num" localSheetId="9" hidden="1">2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6" hidden="1">1</definedName>
    <definedName name="solver_nwt" localSheetId="8" hidden="1">1</definedName>
    <definedName name="solver_nwt" localSheetId="9" hidden="1">1</definedName>
    <definedName name="solver_opt" localSheetId="1" hidden="1">ch_1_1!$B$17</definedName>
    <definedName name="solver_opt" localSheetId="2" hidden="1">ch_1_2!$B$10</definedName>
    <definedName name="solver_opt" localSheetId="4" hidden="1">ch_2_1!$J$22</definedName>
    <definedName name="solver_opt" localSheetId="6" hidden="1">ch_2_2!$B$10</definedName>
    <definedName name="solver_opt" localSheetId="8" hidden="1">ch_2_3!$B$14</definedName>
    <definedName name="solver_opt" localSheetId="9" hidden="1">ch_3_1!$B$8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6" hidden="1">0.000001</definedName>
    <definedName name="solver_pre" localSheetId="8" hidden="1">0.000001</definedName>
    <definedName name="solver_pre" localSheetId="9" hidden="1">0.000001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6" hidden="1">1</definedName>
    <definedName name="solver_rbv" localSheetId="8" hidden="1">1</definedName>
    <definedName name="solver_rbv" localSheetId="9" hidden="1">2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6" hidden="1">3</definedName>
    <definedName name="solver_rel1" localSheetId="8" hidden="1">1</definedName>
    <definedName name="solver_rel1" localSheetId="9" hidden="1">1</definedName>
    <definedName name="solver_rel2" localSheetId="1" hidden="1">1</definedName>
    <definedName name="solver_rel2" localSheetId="4" hidden="1">1</definedName>
    <definedName name="solver_rel2" localSheetId="9" hidden="1">1</definedName>
    <definedName name="solver_rhs1" localSheetId="1" hidden="1">ch_1_1!$D$3:$D$5</definedName>
    <definedName name="solver_rhs1" localSheetId="2" hidden="1">ch_1_2!$H$5:$H$7</definedName>
    <definedName name="solver_rhs1" localSheetId="4" hidden="1">ch_2_1!$B$6:$I$6</definedName>
    <definedName name="solver_rhs1" localSheetId="6" hidden="1">ch_2_2!$G$4:$G$6</definedName>
    <definedName name="solver_rhs1" localSheetId="8" hidden="1">ch_2_3!$I$2:$I$6</definedName>
    <definedName name="solver_rhs1" localSheetId="9" hidden="1">1</definedName>
    <definedName name="solver_rhs2" localSheetId="1" hidden="1">ch_1_1!$D$8:$D$9</definedName>
    <definedName name="solver_rhs2" localSheetId="4" hidden="1">ch_2_1!$Q$2:$Q$4</definedName>
    <definedName name="solver_rhs2" localSheetId="9" hidden="1">ch_3_1!$L$3</definedName>
    <definedName name="solver_rlx" localSheetId="1" hidden="1">2</definedName>
    <definedName name="solver_rlx" localSheetId="2" hidden="1">2</definedName>
    <definedName name="solver_rlx" localSheetId="4" hidden="1">2</definedName>
    <definedName name="solver_rlx" localSheetId="6" hidden="1">2</definedName>
    <definedName name="solver_rlx" localSheetId="8" hidden="1">2</definedName>
    <definedName name="solver_rlx" localSheetId="9" hidden="1">2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6" hidden="1">0</definedName>
    <definedName name="solver_rsd" localSheetId="8" hidden="1">0</definedName>
    <definedName name="solver_rsd" localSheetId="9" hidden="1">0</definedName>
    <definedName name="solver_scl" localSheetId="1" hidden="1">1</definedName>
    <definedName name="solver_scl" localSheetId="2" hidden="1">1</definedName>
    <definedName name="solver_scl" localSheetId="4" hidden="1">1</definedName>
    <definedName name="solver_scl" localSheetId="6" hidden="1">1</definedName>
    <definedName name="solver_scl" localSheetId="8" hidden="1">1</definedName>
    <definedName name="solver_scl" localSheetId="9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6" hidden="1">2</definedName>
    <definedName name="solver_sho" localSheetId="8" hidden="1">2</definedName>
    <definedName name="solver_sho" localSheetId="9" hidden="1">2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6" hidden="1">100</definedName>
    <definedName name="solver_ssz" localSheetId="8" hidden="1">100</definedName>
    <definedName name="solver_ssz" localSheetId="9" hidden="1">100</definedName>
    <definedName name="solver_tim" localSheetId="1" hidden="1">2147483647</definedName>
    <definedName name="solver_tim" localSheetId="2" hidden="1">2147483647</definedName>
    <definedName name="solver_tim" localSheetId="4" hidden="1">2147483647</definedName>
    <definedName name="solver_tim" localSheetId="6" hidden="1">2147483647</definedName>
    <definedName name="solver_tim" localSheetId="8" hidden="1">2147483647</definedName>
    <definedName name="solver_tim" localSheetId="9" hidden="1">2147483647</definedName>
    <definedName name="solver_tol" localSheetId="1" hidden="1">0.01</definedName>
    <definedName name="solver_tol" localSheetId="2" hidden="1">0.01</definedName>
    <definedName name="solver_tol" localSheetId="4" hidden="1">0.01</definedName>
    <definedName name="solver_tol" localSheetId="6" hidden="1">0.01</definedName>
    <definedName name="solver_tol" localSheetId="8" hidden="1">0.01</definedName>
    <definedName name="solver_tol" localSheetId="9" hidden="1">0.01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6" hidden="1">2</definedName>
    <definedName name="solver_typ" localSheetId="8" hidden="1">1</definedName>
    <definedName name="solver_typ" localSheetId="9" hidden="1">1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6" hidden="1">0</definedName>
    <definedName name="solver_val" localSheetId="8" hidden="1">0</definedName>
    <definedName name="solver_val" localSheetId="9" hidden="1">0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6" hidden="1">3</definedName>
    <definedName name="solver_ver" localSheetId="8" hidden="1">3</definedName>
    <definedName name="solver_ver" localSheetId="9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15" l="1"/>
  <c r="J3" i="15"/>
  <c r="C6" i="15" l="1"/>
  <c r="D6" i="15"/>
  <c r="E6" i="15"/>
  <c r="F6" i="15"/>
  <c r="G6" i="15"/>
  <c r="H6" i="15"/>
  <c r="B6" i="15"/>
  <c r="G4" i="11" l="1"/>
  <c r="G3" i="11"/>
  <c r="I5" i="11"/>
  <c r="G5" i="11"/>
  <c r="G6" i="11"/>
  <c r="G2" i="11"/>
  <c r="B12" i="11"/>
  <c r="B13" i="11"/>
  <c r="B11" i="11"/>
  <c r="B10" i="9"/>
  <c r="E5" i="9"/>
  <c r="E6" i="9"/>
  <c r="E4" i="9"/>
  <c r="F5" i="5"/>
  <c r="H5" i="5"/>
  <c r="H7" i="5"/>
  <c r="B14" i="11" l="1"/>
  <c r="F6" i="5" l="1"/>
  <c r="F7" i="5"/>
  <c r="B10" i="5"/>
  <c r="O4" i="4"/>
  <c r="O3" i="4"/>
  <c r="O2" i="4"/>
  <c r="J22" i="4"/>
  <c r="C22" i="4"/>
  <c r="D22" i="4"/>
  <c r="E22" i="4"/>
  <c r="F22" i="4"/>
  <c r="G22" i="4"/>
  <c r="H22" i="4"/>
  <c r="I22" i="4"/>
  <c r="B22" i="4"/>
  <c r="I4" i="4"/>
  <c r="C4" i="4"/>
  <c r="D4" i="4"/>
  <c r="E4" i="4"/>
  <c r="F4" i="4"/>
  <c r="G4" i="4"/>
  <c r="H4" i="4"/>
  <c r="B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B16" i="4"/>
  <c r="I15" i="4"/>
  <c r="C15" i="4"/>
  <c r="D15" i="4"/>
  <c r="E15" i="4"/>
  <c r="F15" i="4"/>
  <c r="G15" i="4"/>
  <c r="H15" i="4"/>
  <c r="H20" i="4" s="1"/>
  <c r="B15" i="4"/>
  <c r="C20" i="4" l="1"/>
  <c r="D20" i="4"/>
  <c r="B20" i="4"/>
  <c r="G19" i="4"/>
  <c r="I19" i="4"/>
  <c r="I20" i="4"/>
  <c r="E19" i="4"/>
  <c r="B19" i="4"/>
  <c r="C19" i="4"/>
  <c r="H19" i="4"/>
  <c r="F20" i="4"/>
  <c r="D19" i="4"/>
  <c r="G20" i="4"/>
  <c r="E20" i="4"/>
  <c r="F19" i="4"/>
  <c r="B9" i="1" l="1"/>
  <c r="B16" i="1" s="1"/>
  <c r="B8" i="1"/>
  <c r="B15" i="1" s="1"/>
  <c r="B14" i="1"/>
  <c r="B13" i="1"/>
  <c r="B3" i="1"/>
  <c r="B5" i="1"/>
  <c r="B4" i="1"/>
  <c r="B17" i="1" l="1"/>
</calcChain>
</file>

<file path=xl/sharedStrings.xml><?xml version="1.0" encoding="utf-8"?>
<sst xmlns="http://schemas.openxmlformats.org/spreadsheetml/2006/main" count="310" uniqueCount="154">
  <si>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</si>
  <si>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</si>
  <si>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</si>
  <si>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</si>
  <si>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</si>
  <si>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</si>
  <si>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</si>
  <si>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</si>
  <si>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</si>
  <si>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</si>
  <si>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</si>
  <si>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</si>
  <si>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</si>
  <si>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</si>
  <si>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</si>
  <si>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</si>
  <si>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Microsoft Excel 16.0 Sensitivity Report</t>
  </si>
  <si>
    <t>Worksheet: [Book1]test</t>
  </si>
  <si>
    <t>Variable Cells</t>
  </si>
  <si>
    <t>Cell</t>
  </si>
  <si>
    <t>Name</t>
  </si>
  <si>
    <t>Final</t>
  </si>
  <si>
    <t>Value</t>
  </si>
  <si>
    <t>Reduced</t>
  </si>
  <si>
    <t>Cost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</si>
  <si>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</si>
  <si>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</si>
  <si>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</si>
  <si>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</si>
  <si>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</si>
  <si>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</si>
  <si>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</si>
  <si>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</si>
  <si>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</si>
  <si>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</si>
  <si>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 xml:space="preserve">price basic </t>
  </si>
  <si>
    <t>$L$2</t>
  </si>
  <si>
    <t>price xp</t>
  </si>
  <si>
    <t>$B$3</t>
  </si>
  <si>
    <t>$B$4</t>
  </si>
  <si>
    <t>$B$8</t>
  </si>
  <si>
    <t>vxp</t>
  </si>
  <si>
    <t>total sell vxp</t>
  </si>
  <si>
    <t>Report Created: 9/16/2026 9:20:31 PM</t>
  </si>
  <si>
    <t>$M$2</t>
  </si>
  <si>
    <t>$N$2</t>
  </si>
  <si>
    <t>price vxp</t>
  </si>
  <si>
    <t>$B$5</t>
  </si>
  <si>
    <t>$B$9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</si>
  <si>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</si>
  <si>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</si>
  <si>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</si>
  <si>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</si>
  <si>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</si>
  <si>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</si>
  <si>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</si>
  <si>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</si>
  <si>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</si>
  <si>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</si>
  <si>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</si>
  <si>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</si>
  <si>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</si>
  <si>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</si>
  <si>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</si>
  <si>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</si>
  <si>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</si>
  <si>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</si>
  <si>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</si>
  <si>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</si>
  <si>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</si>
  <si>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</si>
  <si>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</si>
  <si>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</si>
  <si>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</si>
  <si>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</si>
  <si>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</si>
  <si>
    <t>var</t>
  </si>
  <si>
    <t>rolltop</t>
  </si>
  <si>
    <t>regular</t>
  </si>
  <si>
    <t>oak</t>
  </si>
  <si>
    <t>cedar</t>
  </si>
  <si>
    <t>maple</t>
  </si>
  <si>
    <t xml:space="preserve">&lt;= </t>
  </si>
  <si>
    <t>each profit</t>
  </si>
  <si>
    <t>total profit</t>
  </si>
  <si>
    <t>Worksheet: [temp_midterm.xlsx]ch_1_2</t>
  </si>
  <si>
    <t>Report Created: 9/18/2026 8:24:49 AM</t>
  </si>
  <si>
    <t>$B$2</t>
  </si>
  <si>
    <t>var rolltop</t>
  </si>
  <si>
    <t>$C$2</t>
  </si>
  <si>
    <t>var regular</t>
  </si>
  <si>
    <t>$F$5</t>
  </si>
  <si>
    <t>$F$6</t>
  </si>
  <si>
    <t>$F$7</t>
  </si>
  <si>
    <t>pine</t>
  </si>
  <si>
    <t xml:space="preserve">x1 </t>
  </si>
  <si>
    <t>x2</t>
  </si>
  <si>
    <t>HIM</t>
  </si>
  <si>
    <t>LIP</t>
  </si>
  <si>
    <t>HIW</t>
  </si>
  <si>
    <t xml:space="preserve">total_cost </t>
  </si>
  <si>
    <t>&gt;=</t>
  </si>
  <si>
    <t>Worksheet: [temp_midterm.xlsx]ch_2_2</t>
  </si>
  <si>
    <t>Report Created: 9/18/2026 8:55:10 AM</t>
  </si>
  <si>
    <t>$E$4</t>
  </si>
  <si>
    <t>$E$5</t>
  </si>
  <si>
    <t>$E$6</t>
  </si>
  <si>
    <t>wheat</t>
  </si>
  <si>
    <t>corn</t>
  </si>
  <si>
    <t>plant</t>
  </si>
  <si>
    <t>buy</t>
  </si>
  <si>
    <t>yield</t>
  </si>
  <si>
    <t xml:space="preserve">plant_cost </t>
  </si>
  <si>
    <t>sell_price</t>
  </si>
  <si>
    <t>buy_price</t>
  </si>
  <si>
    <t>cost</t>
  </si>
  <si>
    <t>Worksheet: [temp_midterm.xlsx]ch_2_3</t>
  </si>
  <si>
    <t>plant wheat</t>
  </si>
  <si>
    <t>plant corn</t>
  </si>
  <si>
    <t>$D$2</t>
  </si>
  <si>
    <t>$E$2</t>
  </si>
  <si>
    <t>sell wheat</t>
  </si>
  <si>
    <t>$C$3</t>
  </si>
  <si>
    <t>sell corn</t>
  </si>
  <si>
    <t>$D$3</t>
  </si>
  <si>
    <t>$E$3</t>
  </si>
  <si>
    <t>buy wheat</t>
  </si>
  <si>
    <t>$C$4</t>
  </si>
  <si>
    <t>buy corn</t>
  </si>
  <si>
    <t>$D$4</t>
  </si>
  <si>
    <t>$G$2</t>
  </si>
  <si>
    <t>$G$3</t>
  </si>
  <si>
    <t>$G$4</t>
  </si>
  <si>
    <t>$G$5</t>
  </si>
  <si>
    <t>$G$6</t>
  </si>
  <si>
    <t>sugar_1</t>
  </si>
  <si>
    <t>sugar_2</t>
  </si>
  <si>
    <t>Report Created: 9/18/2026 9:39:27 AM</t>
  </si>
  <si>
    <t>plant sugar_1</t>
  </si>
  <si>
    <t>plant sugar_2</t>
  </si>
  <si>
    <t>sell sugar_1</t>
  </si>
  <si>
    <t>sell sugar_2</t>
  </si>
  <si>
    <t>buy sugar_1</t>
  </si>
  <si>
    <t>buy sugar_2</t>
  </si>
  <si>
    <t>invest_1</t>
  </si>
  <si>
    <t>invest_2</t>
  </si>
  <si>
    <t>invest_3</t>
  </si>
  <si>
    <t>invest_4</t>
  </si>
  <si>
    <t>invest_5</t>
  </si>
  <si>
    <t>invest_6</t>
  </si>
  <si>
    <t>invest_7</t>
  </si>
  <si>
    <t>return</t>
  </si>
  <si>
    <t>percent_return</t>
  </si>
  <si>
    <t>percet_port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</si>
</sst>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6" borderId="0" xfId="0" applyFill="1"/>
    <xf numFmtId="0" fontId="0" fillId="2" borderId="5" xfId="0" applyFill="1" applyBorder="1"/>
    <xf numFmtId="0" fontId="0" fillId="0" borderId="0" xfId="0" applyFill="1" applyBorder="1"/>
    <xf numFmtId="0" fontId="0" fillId="0" borderId="0" xfId="0" applyFill="1" applyBorder="1" applyAlignment="1">
      <alignment horizontal="right"/>
    </xf>
    <xf numFmtId="0" fontId="0" fillId="7" borderId="0" xfId="0" applyFill="1"/>
    <xf numFmtId="0" fontId="0" fillId="0" borderId="0" xfId="0" applyAlignment="1">
      <alignment horizontal="right"/>
    </xf>
    <xf numFmtId="0" fontId="0" fillId="4" borderId="0" xfId="0" applyFill="1" applyBorder="1"/>
    <xf numFmtId="0" fontId="0" fillId="0" borderId="3" xfId="0" applyFill="1" applyBorder="1" applyAlignment="1"/>
    <xf numFmtId="0" fontId="0" fillId="0" borderId="4" xfId="0" applyFill="1" applyBorder="1" applyAlignment="1"/>
    <xf numFmtId="0" fontId="4" fillId="0" borderId="1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0" fillId="0" borderId="0" xfId="0" applyFill="1"/>
    <xf numFmtId="0" fontId="0" fillId="3" borderId="0" xfId="0" applyFont="1" applyFill="1"/>
    <xf numFmtId="0" fontId="0" fillId="0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001DE-7190-469F-9DBD-4F1AFA2CF644}">
  <dimension ref="A1:H20"/>
  <sheetViews>
    <sheetView showGridLines="0" workbookViewId="0">
      <selection activeCell="E37" sqref="E37"/>
    </sheetView>
  </sheetViews>
  <sheetFormatPr defaultRowHeight="15" x14ac:dyDescent="0.25"/>
  <cols>
    <col min="1" max="1" width="2.28515625" customWidth="1"/>
    <col min="2" max="2" width="5.7109375" bestFit="1" customWidth="1"/>
    <col min="3" max="3" width="13.7109375" bestFit="1" customWidth="1"/>
    <col min="4" max="5" width="12" bestFit="1" customWidth="1"/>
    <col min="6" max="6" width="10.85546875" bestFit="1" customWidth="1"/>
    <col min="7" max="7" width="10" bestFit="1" customWidth="1"/>
    <col min="8" max="8" width="12" bestFit="1" customWidth="1"/>
  </cols>
  <sheetData>
    <row r="1" spans="1:8" x14ac:dyDescent="0.25">
      <c r="A1" s="5" t="s">
        <v>16</v>
      </c>
    </row>
    <row r="2" spans="1:8" x14ac:dyDescent="0.25">
      <c r="A2" s="5" t="s">
        <v>17</v>
      </c>
    </row>
    <row r="3" spans="1:8" x14ac:dyDescent="0.25">
      <c r="A3" s="5" t="s">
        <v>43</v>
      </c>
    </row>
    <row r="6" spans="1:8" ht="15.75" thickBot="1" x14ac:dyDescent="0.3">
      <c r="A6" t="s">
        <v>18</v>
      </c>
    </row>
    <row r="7" spans="1:8" x14ac:dyDescent="0.25">
      <c r="B7" s="8"/>
      <c r="C7" s="8"/>
      <c r="D7" s="8" t="s">
        <v>21</v>
      </c>
      <c r="E7" s="8" t="s">
        <v>23</v>
      </c>
      <c r="F7" s="8" t="s">
        <v>25</v>
      </c>
      <c r="G7" s="8" t="s">
        <v>27</v>
      </c>
      <c r="H7" s="8" t="s">
        <v>27</v>
      </c>
    </row>
    <row r="8" spans="1:8" ht="15.75" thickBot="1" x14ac:dyDescent="0.3">
      <c r="B8" s="9" t="s">
        <v>19</v>
      </c>
      <c r="C8" s="9" t="s">
        <v>20</v>
      </c>
      <c r="D8" s="9" t="s">
        <v>22</v>
      </c>
      <c r="E8" s="9" t="s">
        <v>24</v>
      </c>
      <c r="F8" s="9" t="s">
        <v>26</v>
      </c>
      <c r="G8" s="9" t="s">
        <v>28</v>
      </c>
      <c r="H8" s="9" t="s">
        <v>29</v>
      </c>
    </row>
    <row r="9" spans="1:8" x14ac:dyDescent="0.25">
      <c r="B9" s="6" t="s">
        <v>36</v>
      </c>
      <c r="C9" s="6" t="s">
        <v>35</v>
      </c>
      <c r="D9" s="6">
        <v>514.28571428571422</v>
      </c>
      <c r="E9" s="6">
        <v>0</v>
      </c>
      <c r="F9" s="6">
        <v>80</v>
      </c>
      <c r="G9" s="6">
        <v>15.000000000000016</v>
      </c>
      <c r="H9" s="6">
        <v>29.333333333333336</v>
      </c>
    </row>
    <row r="10" spans="1:8" x14ac:dyDescent="0.25">
      <c r="B10" s="6" t="s">
        <v>44</v>
      </c>
      <c r="C10" s="6" t="s">
        <v>37</v>
      </c>
      <c r="D10" s="6">
        <v>1200</v>
      </c>
      <c r="E10" s="6">
        <v>0</v>
      </c>
      <c r="F10" s="6">
        <v>129</v>
      </c>
      <c r="G10" s="6">
        <v>1E+30</v>
      </c>
      <c r="H10" s="6">
        <v>19.285714285714285</v>
      </c>
    </row>
    <row r="11" spans="1:8" ht="15.75" thickBot="1" x14ac:dyDescent="0.3">
      <c r="B11" s="7" t="s">
        <v>45</v>
      </c>
      <c r="C11" s="7" t="s">
        <v>46</v>
      </c>
      <c r="D11" s="7">
        <v>28.571428571428573</v>
      </c>
      <c r="E11" s="7">
        <v>0</v>
      </c>
      <c r="F11" s="7">
        <v>152</v>
      </c>
      <c r="G11" s="7">
        <v>33.75</v>
      </c>
      <c r="H11" s="7">
        <v>24.000000000000018</v>
      </c>
    </row>
    <row r="13" spans="1:8" ht="15.75" thickBot="1" x14ac:dyDescent="0.3">
      <c r="A13" t="s">
        <v>30</v>
      </c>
    </row>
    <row r="14" spans="1:8" x14ac:dyDescent="0.25">
      <c r="B14" s="8"/>
      <c r="C14" s="8"/>
      <c r="D14" s="8" t="s">
        <v>21</v>
      </c>
      <c r="E14" s="8" t="s">
        <v>31</v>
      </c>
      <c r="F14" s="8" t="s">
        <v>33</v>
      </c>
      <c r="G14" s="8" t="s">
        <v>27</v>
      </c>
      <c r="H14" s="8" t="s">
        <v>27</v>
      </c>
    </row>
    <row r="15" spans="1:8" ht="15.75" thickBot="1" x14ac:dyDescent="0.3">
      <c r="B15" s="9" t="s">
        <v>19</v>
      </c>
      <c r="C15" s="9" t="s">
        <v>20</v>
      </c>
      <c r="D15" s="9" t="s">
        <v>22</v>
      </c>
      <c r="E15" s="9" t="s">
        <v>32</v>
      </c>
      <c r="F15" s="9" t="s">
        <v>34</v>
      </c>
      <c r="G15" s="9" t="s">
        <v>28</v>
      </c>
      <c r="H15" s="9" t="s">
        <v>29</v>
      </c>
    </row>
    <row r="16" spans="1:8" x14ac:dyDescent="0.25">
      <c r="B16" s="6" t="s">
        <v>38</v>
      </c>
      <c r="C16" s="6" t="s">
        <v>5</v>
      </c>
      <c r="D16" s="6">
        <v>514.28571428571422</v>
      </c>
      <c r="E16" s="6">
        <v>0</v>
      </c>
      <c r="F16" s="6">
        <v>600</v>
      </c>
      <c r="G16" s="6">
        <v>1E+30</v>
      </c>
      <c r="H16" s="6">
        <v>85.714285714285722</v>
      </c>
    </row>
    <row r="17" spans="2:8" x14ac:dyDescent="0.25">
      <c r="B17" s="6" t="s">
        <v>39</v>
      </c>
      <c r="C17" s="6" t="s">
        <v>6</v>
      </c>
      <c r="D17" s="6">
        <v>1200</v>
      </c>
      <c r="E17" s="6">
        <v>19.285714285714285</v>
      </c>
      <c r="F17" s="6">
        <v>1200</v>
      </c>
      <c r="G17" s="6">
        <v>50.000000000000007</v>
      </c>
      <c r="H17" s="6">
        <v>37.5</v>
      </c>
    </row>
    <row r="18" spans="2:8" x14ac:dyDescent="0.25">
      <c r="B18" s="6" t="s">
        <v>47</v>
      </c>
      <c r="C18" s="6" t="s">
        <v>42</v>
      </c>
      <c r="D18" s="6">
        <v>28.571428571428573</v>
      </c>
      <c r="E18" s="6">
        <v>0</v>
      </c>
      <c r="F18" s="6">
        <v>50</v>
      </c>
      <c r="G18" s="6">
        <v>1E+30</v>
      </c>
      <c r="H18" s="6">
        <v>21.428571428571427</v>
      </c>
    </row>
    <row r="19" spans="2:8" x14ac:dyDescent="0.25">
      <c r="B19" s="6" t="s">
        <v>40</v>
      </c>
      <c r="C19" s="6" t="s">
        <v>7</v>
      </c>
      <c r="D19" s="6">
        <v>10000</v>
      </c>
      <c r="E19" s="6">
        <v>12.571428571428571</v>
      </c>
      <c r="F19" s="6">
        <v>10000</v>
      </c>
      <c r="G19" s="6">
        <v>200.00000000000003</v>
      </c>
      <c r="H19" s="6">
        <v>150</v>
      </c>
    </row>
    <row r="20" spans="2:8" ht="15.75" thickBot="1" x14ac:dyDescent="0.3">
      <c r="B20" s="7" t="s">
        <v>48</v>
      </c>
      <c r="C20" s="7" t="s">
        <v>8</v>
      </c>
      <c r="D20" s="7">
        <v>3000</v>
      </c>
      <c r="E20" s="7">
        <v>17.142857142857153</v>
      </c>
      <c r="F20" s="7">
        <v>3000</v>
      </c>
      <c r="G20" s="7">
        <v>30.000000000000004</v>
      </c>
      <c r="H20" s="7">
        <v>40.000000000000007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E13" sqref="E13"/>
    </sheetView>
  </sheetViews>
  <sheetFormatPr defaultRowHeight="15" x14ac:dyDescent="0.25"/>
  <cols>
    <col min="1" max="1" width="13.7109375" bestFit="1" customWidth="1"/>
    <col min="2" max="2" width="8.42578125" bestFit="1" customWidth="1"/>
  </cols>
  <sheetData>
    <row r="1" spans="1:14" x14ac:dyDescent="0.25">
      <c r="H1" t="s">
        <v>0</v>
      </c>
      <c r="I1" t="s">
        <v>1</v>
      </c>
      <c r="J1" t="s">
        <v>41</v>
      </c>
      <c r="L1" t="s">
        <v>0</v>
      </c>
      <c r="M1" t="s">
        <v>1</v>
      </c>
      <c r="N1" t="s">
        <v>41</v>
      </c>
    </row>
    <row r="2" spans="1:14" x14ac:dyDescent="0.25">
      <c r="G2" t="s">
        <v>3</v>
      </c>
      <c r="H2">
        <v>316</v>
      </c>
      <c r="I2">
        <v>450</v>
      </c>
      <c r="J2">
        <v>560</v>
      </c>
      <c r="L2" s="1">
        <v>514.28571428571422</v>
      </c>
      <c r="M2" s="1">
        <v>1200</v>
      </c>
      <c r="N2" s="10">
        <v>28.571428571428573</v>
      </c>
    </row>
    <row r="3" spans="1:14" x14ac:dyDescent="0.2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514.28571428571422</v>
      </c>
      <c r="M3">
        <v>1200</v>
      </c>
      <c r="N3">
        <v>28.571428571428573</v>
      </c>
    </row>
    <row r="4" spans="1:14" x14ac:dyDescent="0.2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25">
      <c r="A5" t="s">
        <v>42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2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2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25">
      <c r="A13" t="s">
        <v>11</v>
      </c>
      <c r="B13">
        <f>SUMPRODUCT(H2:J2,L2:N2)</f>
        <v>718514.28571428568</v>
      </c>
    </row>
    <row r="14" spans="1:14" x14ac:dyDescent="0.25">
      <c r="A14" t="s">
        <v>13</v>
      </c>
      <c r="B14">
        <f>SUMPRODUCT(H3:J3,L2:N2)</f>
        <v>355000</v>
      </c>
    </row>
    <row r="15" spans="1:14" x14ac:dyDescent="0.25">
      <c r="A15" t="s">
        <v>14</v>
      </c>
      <c r="B15">
        <f>$B$8*11</f>
        <v>110000</v>
      </c>
    </row>
    <row r="16" spans="1:14" x14ac:dyDescent="0.25">
      <c r="A16" t="s">
        <v>15</v>
      </c>
      <c r="B16">
        <f>$B$9 * 15</f>
        <v>45000</v>
      </c>
    </row>
    <row r="17" spans="1:2" x14ac:dyDescent="0.25">
      <c r="A17" t="s">
        <v>12</v>
      </c>
      <c r="B17" s="2">
        <f>B13 - (B14+B15+B16)</f>
        <v>208514.28571428568</v>
      </c>
    </row>
    <row r="18" spans="1:2" x14ac:dyDescent="0.25">
      <c r="B18">
        <v>200285.71428571432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92CD-86CB-44D4-97B2-69C4BC78FBD6}">
  <dimension ref="A1:H10"/>
  <sheetViews>
    <sheetView workbookViewId="0">
      <selection activeCell="J24" sqref="J24:J25"/>
    </sheetView>
  </sheetViews>
  <sheetFormatPr defaultRowHeight="15" x14ac:dyDescent="0.25"/>
  <cols>
    <col min="1" max="1" width="10.5703125" bestFit="1" customWidth="1"/>
  </cols>
  <sheetData>
    <row r="1" spans="1:8" x14ac:dyDescent="0.25">
      <c r="B1" t="s">
        <v>77</v>
      </c>
      <c r="C1" t="s">
        <v>78</v>
      </c>
    </row>
    <row r="2" spans="1:8" x14ac:dyDescent="0.25">
      <c r="A2" t="s">
        <v>76</v>
      </c>
      <c r="B2" s="1">
        <v>14.499999999999998</v>
      </c>
      <c r="C2" s="1">
        <v>0.25000000000000072</v>
      </c>
    </row>
    <row r="4" spans="1:8" x14ac:dyDescent="0.25">
      <c r="B4" t="s">
        <v>77</v>
      </c>
      <c r="C4" t="s">
        <v>78</v>
      </c>
    </row>
    <row r="5" spans="1:8" x14ac:dyDescent="0.25">
      <c r="A5" t="s">
        <v>94</v>
      </c>
      <c r="B5">
        <v>10</v>
      </c>
      <c r="C5">
        <v>20</v>
      </c>
      <c r="E5" t="s">
        <v>94</v>
      </c>
      <c r="F5">
        <f>SUMPRODUCT(B5:C5,$B$2:$C$2)</f>
        <v>150</v>
      </c>
      <c r="G5" s="15" t="s">
        <v>82</v>
      </c>
      <c r="H5" s="3">
        <f>200-50</f>
        <v>150</v>
      </c>
    </row>
    <row r="6" spans="1:8" x14ac:dyDescent="0.25">
      <c r="A6" t="s">
        <v>80</v>
      </c>
      <c r="B6">
        <v>4</v>
      </c>
      <c r="C6">
        <v>16</v>
      </c>
      <c r="E6" t="s">
        <v>80</v>
      </c>
      <c r="F6">
        <f t="shared" ref="F6:F7" si="0">SUMPRODUCT(B6:C6,$B$2:$C$2)</f>
        <v>62.000000000000007</v>
      </c>
      <c r="G6" s="15" t="s">
        <v>82</v>
      </c>
      <c r="H6" s="3">
        <v>128</v>
      </c>
    </row>
    <row r="7" spans="1:8" x14ac:dyDescent="0.25">
      <c r="A7" t="s">
        <v>81</v>
      </c>
      <c r="B7">
        <v>15</v>
      </c>
      <c r="C7">
        <v>10</v>
      </c>
      <c r="E7" t="s">
        <v>81</v>
      </c>
      <c r="F7">
        <f t="shared" si="0"/>
        <v>219.99999999999997</v>
      </c>
      <c r="G7" s="15" t="s">
        <v>82</v>
      </c>
      <c r="H7" s="3">
        <f>220</f>
        <v>220</v>
      </c>
    </row>
    <row r="9" spans="1:8" x14ac:dyDescent="0.25">
      <c r="A9" t="s">
        <v>83</v>
      </c>
      <c r="B9">
        <v>115</v>
      </c>
      <c r="C9">
        <v>90</v>
      </c>
    </row>
    <row r="10" spans="1:8" x14ac:dyDescent="0.25">
      <c r="A10" t="s">
        <v>84</v>
      </c>
      <c r="B10" s="2">
        <f>SUMPRODUCT(B2:C2,B9:C9)</f>
        <v>1689.9999999999998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0CDD-01E0-4554-B5DF-18449D62CE2F}">
  <dimension ref="A1:H17"/>
  <sheetViews>
    <sheetView showGridLines="0" workbookViewId="0"/>
  </sheetViews>
  <sheetFormatPr defaultRowHeight="15" x14ac:dyDescent="0.25"/>
  <cols>
    <col min="1" max="1" width="2.28515625" customWidth="1"/>
    <col min="2" max="2" width="5.140625" bestFit="1" customWidth="1"/>
    <col min="3" max="3" width="10.42578125" bestFit="1" customWidth="1"/>
    <col min="4" max="4" width="6.140625" bestFit="1" customWidth="1"/>
    <col min="5" max="5" width="8.7109375" bestFit="1" customWidth="1"/>
    <col min="6" max="6" width="10.85546875" bestFit="1" customWidth="1"/>
    <col min="7" max="7" width="10" bestFit="1" customWidth="1"/>
    <col min="8" max="8" width="12" bestFit="1" customWidth="1"/>
  </cols>
  <sheetData>
    <row r="1" spans="1:8" x14ac:dyDescent="0.25">
      <c r="A1" s="5" t="s">
        <v>16</v>
      </c>
    </row>
    <row r="2" spans="1:8" x14ac:dyDescent="0.25">
      <c r="A2" s="5" t="s">
        <v>85</v>
      </c>
    </row>
    <row r="3" spans="1:8" x14ac:dyDescent="0.25">
      <c r="A3" s="5" t="s">
        <v>86</v>
      </c>
    </row>
    <row r="6" spans="1:8" ht="15.75" thickBot="1" x14ac:dyDescent="0.3">
      <c r="A6" t="s">
        <v>18</v>
      </c>
    </row>
    <row r="7" spans="1:8" x14ac:dyDescent="0.25">
      <c r="B7" s="19"/>
      <c r="C7" s="19"/>
      <c r="D7" s="19" t="s">
        <v>21</v>
      </c>
      <c r="E7" s="19" t="s">
        <v>23</v>
      </c>
      <c r="F7" s="19" t="s">
        <v>25</v>
      </c>
      <c r="G7" s="19" t="s">
        <v>27</v>
      </c>
      <c r="H7" s="19" t="s">
        <v>27</v>
      </c>
    </row>
    <row r="8" spans="1:8" ht="15.75" thickBot="1" x14ac:dyDescent="0.3">
      <c r="B8" s="20" t="s">
        <v>19</v>
      </c>
      <c r="C8" s="20" t="s">
        <v>20</v>
      </c>
      <c r="D8" s="20" t="s">
        <v>22</v>
      </c>
      <c r="E8" s="20" t="s">
        <v>24</v>
      </c>
      <c r="F8" s="20" t="s">
        <v>26</v>
      </c>
      <c r="G8" s="20" t="s">
        <v>28</v>
      </c>
      <c r="H8" s="20" t="s">
        <v>29</v>
      </c>
    </row>
    <row r="9" spans="1:8" x14ac:dyDescent="0.25">
      <c r="B9" s="17" t="s">
        <v>87</v>
      </c>
      <c r="C9" s="17" t="s">
        <v>88</v>
      </c>
      <c r="D9" s="17">
        <v>12</v>
      </c>
      <c r="E9" s="17">
        <v>0</v>
      </c>
      <c r="F9" s="17">
        <v>115</v>
      </c>
      <c r="G9" s="17">
        <v>20.000000000000014</v>
      </c>
      <c r="H9" s="17">
        <v>70</v>
      </c>
    </row>
    <row r="10" spans="1:8" ht="15.75" thickBot="1" x14ac:dyDescent="0.3">
      <c r="B10" s="18" t="s">
        <v>89</v>
      </c>
      <c r="C10" s="18" t="s">
        <v>90</v>
      </c>
      <c r="D10" s="18">
        <v>4.0000000000000009</v>
      </c>
      <c r="E10" s="18">
        <v>0</v>
      </c>
      <c r="F10" s="18">
        <v>90</v>
      </c>
      <c r="G10" s="18">
        <v>140</v>
      </c>
      <c r="H10" s="18">
        <v>13.333333333333343</v>
      </c>
    </row>
    <row r="12" spans="1:8" ht="15.75" thickBot="1" x14ac:dyDescent="0.3">
      <c r="A12" t="s">
        <v>30</v>
      </c>
    </row>
    <row r="13" spans="1:8" x14ac:dyDescent="0.25">
      <c r="B13" s="19"/>
      <c r="C13" s="19"/>
      <c r="D13" s="19" t="s">
        <v>21</v>
      </c>
      <c r="E13" s="19" t="s">
        <v>31</v>
      </c>
      <c r="F13" s="19" t="s">
        <v>33</v>
      </c>
      <c r="G13" s="19" t="s">
        <v>27</v>
      </c>
      <c r="H13" s="19" t="s">
        <v>27</v>
      </c>
    </row>
    <row r="14" spans="1:8" ht="15.75" thickBot="1" x14ac:dyDescent="0.3">
      <c r="B14" s="20" t="s">
        <v>19</v>
      </c>
      <c r="C14" s="20" t="s">
        <v>20</v>
      </c>
      <c r="D14" s="20" t="s">
        <v>22</v>
      </c>
      <c r="E14" s="20" t="s">
        <v>32</v>
      </c>
      <c r="F14" s="20" t="s">
        <v>34</v>
      </c>
      <c r="G14" s="20" t="s">
        <v>28</v>
      </c>
      <c r="H14" s="20" t="s">
        <v>29</v>
      </c>
    </row>
    <row r="15" spans="1:8" x14ac:dyDescent="0.25">
      <c r="B15" s="17" t="s">
        <v>91</v>
      </c>
      <c r="C15" s="17" t="s">
        <v>79</v>
      </c>
      <c r="D15" s="17">
        <v>200</v>
      </c>
      <c r="E15" s="17">
        <v>1.0000000000000007</v>
      </c>
      <c r="F15" s="17">
        <v>200</v>
      </c>
      <c r="G15" s="17">
        <v>15.999999999999993</v>
      </c>
      <c r="H15" s="17">
        <v>53.33333333333335</v>
      </c>
    </row>
    <row r="16" spans="1:8" x14ac:dyDescent="0.25">
      <c r="B16" s="17" t="s">
        <v>92</v>
      </c>
      <c r="C16" s="17" t="s">
        <v>80</v>
      </c>
      <c r="D16" s="17">
        <v>112.00000000000001</v>
      </c>
      <c r="E16" s="17">
        <v>0</v>
      </c>
      <c r="F16" s="17">
        <v>128</v>
      </c>
      <c r="G16" s="17">
        <v>1E+30</v>
      </c>
      <c r="H16" s="17">
        <v>15.999999999999993</v>
      </c>
    </row>
    <row r="17" spans="2:8" ht="15.75" thickBot="1" x14ac:dyDescent="0.3">
      <c r="B17" s="18" t="s">
        <v>93</v>
      </c>
      <c r="C17" s="18" t="s">
        <v>81</v>
      </c>
      <c r="D17" s="18">
        <v>220</v>
      </c>
      <c r="E17" s="18">
        <v>7</v>
      </c>
      <c r="F17" s="18">
        <v>220</v>
      </c>
      <c r="G17" s="18">
        <v>80.000000000000028</v>
      </c>
      <c r="H17" s="18">
        <v>39.999999999999986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workbookViewId="0">
      <selection activeCell="P9" sqref="P9"/>
    </sheetView>
  </sheetViews>
  <sheetFormatPr defaultRowHeight="15" x14ac:dyDescent="0.25"/>
  <cols>
    <col min="1" max="1" width="19.7109375" bestFit="1" customWidth="1"/>
    <col min="11" max="11" width="14" bestFit="1" customWidth="1"/>
    <col min="14" max="14" width="17.42578125" bestFit="1" customWidth="1"/>
  </cols>
  <sheetData>
    <row r="1" spans="1:17" x14ac:dyDescent="0.25"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M1" s="14"/>
    </row>
    <row r="2" spans="1:17" ht="15.75" customHeight="1" x14ac:dyDescent="0.25">
      <c r="A2" t="s">
        <v>57</v>
      </c>
      <c r="B2" s="11">
        <v>1500</v>
      </c>
      <c r="C2" s="11">
        <v>0</v>
      </c>
      <c r="D2" s="11">
        <v>0</v>
      </c>
      <c r="E2" s="11">
        <v>124.99999999999989</v>
      </c>
      <c r="F2" s="11">
        <v>0</v>
      </c>
      <c r="G2" s="11">
        <v>0</v>
      </c>
      <c r="H2" s="11">
        <v>1000</v>
      </c>
      <c r="I2" s="11">
        <v>0</v>
      </c>
      <c r="M2" s="14"/>
      <c r="N2" t="s">
        <v>71</v>
      </c>
      <c r="O2">
        <f>SUMPRODUCT(B4:I4,B9:I9)</f>
        <v>20000</v>
      </c>
      <c r="P2" s="15" t="s">
        <v>2</v>
      </c>
      <c r="Q2" s="3">
        <v>20000</v>
      </c>
    </row>
    <row r="3" spans="1:17" ht="15.75" customHeight="1" x14ac:dyDescent="0.25">
      <c r="A3" t="s">
        <v>58</v>
      </c>
      <c r="B3" s="11">
        <v>0</v>
      </c>
      <c r="C3" s="11">
        <v>0</v>
      </c>
      <c r="D3" s="11">
        <v>0</v>
      </c>
      <c r="E3" s="11">
        <v>474.99999999999994</v>
      </c>
      <c r="F3" s="11">
        <v>0</v>
      </c>
      <c r="G3" s="11">
        <v>1000</v>
      </c>
      <c r="H3" s="11">
        <v>0</v>
      </c>
      <c r="I3" s="11">
        <v>0</v>
      </c>
      <c r="M3" s="14"/>
      <c r="N3" t="s">
        <v>74</v>
      </c>
      <c r="O3">
        <f>SUMPRODUCT(B2:I2,B10:I10)</f>
        <v>5000</v>
      </c>
      <c r="P3" s="15" t="s">
        <v>2</v>
      </c>
      <c r="Q3" s="3">
        <v>5000</v>
      </c>
    </row>
    <row r="4" spans="1:17" ht="15.75" customHeight="1" x14ac:dyDescent="0.25">
      <c r="A4" t="s">
        <v>70</v>
      </c>
      <c r="B4" s="12">
        <f>SUM(B2:B3)</f>
        <v>1500</v>
      </c>
      <c r="C4" s="12">
        <f t="shared" ref="C4:H4" si="0">SUM(C2:C3)</f>
        <v>0</v>
      </c>
      <c r="D4" s="12">
        <f t="shared" si="0"/>
        <v>0</v>
      </c>
      <c r="E4" s="12">
        <f t="shared" si="0"/>
        <v>599.99999999999977</v>
      </c>
      <c r="F4" s="12">
        <f t="shared" si="0"/>
        <v>0</v>
      </c>
      <c r="G4" s="12">
        <f t="shared" si="0"/>
        <v>1000</v>
      </c>
      <c r="H4" s="12">
        <f t="shared" si="0"/>
        <v>1000</v>
      </c>
      <c r="I4" s="12">
        <f>SUM(I2:I3)</f>
        <v>0</v>
      </c>
      <c r="M4" s="14"/>
      <c r="N4" t="s">
        <v>75</v>
      </c>
      <c r="O4">
        <f>SUMPRODUCT(B3:I3, B11:I11)</f>
        <v>4187.5</v>
      </c>
      <c r="P4" s="15" t="s">
        <v>2</v>
      </c>
      <c r="Q4" s="3">
        <v>6000</v>
      </c>
    </row>
    <row r="5" spans="1:17" x14ac:dyDescent="0.25">
      <c r="B5" s="13" t="s">
        <v>2</v>
      </c>
      <c r="C5" s="13" t="s">
        <v>2</v>
      </c>
      <c r="D5" s="13" t="s">
        <v>2</v>
      </c>
      <c r="E5" s="13" t="s">
        <v>2</v>
      </c>
      <c r="F5" s="13" t="s">
        <v>2</v>
      </c>
      <c r="G5" s="13" t="s">
        <v>2</v>
      </c>
      <c r="H5" s="13" t="s">
        <v>2</v>
      </c>
      <c r="I5" s="13" t="s">
        <v>2</v>
      </c>
      <c r="M5" s="14"/>
    </row>
    <row r="6" spans="1:17" ht="15.75" customHeight="1" x14ac:dyDescent="0.25">
      <c r="B6" s="16">
        <v>1500</v>
      </c>
      <c r="C6" s="16">
        <v>1250</v>
      </c>
      <c r="D6" s="16">
        <v>1250</v>
      </c>
      <c r="E6" s="16">
        <v>1250</v>
      </c>
      <c r="F6" s="16">
        <v>1000</v>
      </c>
      <c r="G6" s="16">
        <v>1000</v>
      </c>
      <c r="H6" s="16">
        <v>1000</v>
      </c>
      <c r="I6" s="16">
        <v>800</v>
      </c>
      <c r="M6" s="14"/>
    </row>
    <row r="7" spans="1:17" ht="15.75" customHeight="1" x14ac:dyDescent="0.25">
      <c r="M7" s="14"/>
    </row>
    <row r="8" spans="1:17" x14ac:dyDescent="0.25">
      <c r="M8" s="14"/>
    </row>
    <row r="9" spans="1:17" x14ac:dyDescent="0.2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63</v>
      </c>
      <c r="L9">
        <v>11</v>
      </c>
      <c r="M9" s="14"/>
    </row>
    <row r="10" spans="1:17" x14ac:dyDescent="0.25">
      <c r="A10" t="s">
        <v>72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64</v>
      </c>
      <c r="L10">
        <v>19</v>
      </c>
      <c r="M10" s="14"/>
    </row>
    <row r="11" spans="1:17" x14ac:dyDescent="0.25">
      <c r="A11" t="s">
        <v>73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65</v>
      </c>
      <c r="L11">
        <v>17</v>
      </c>
      <c r="M11" s="14"/>
    </row>
    <row r="12" spans="1:17" x14ac:dyDescent="0.25">
      <c r="M12" s="14"/>
    </row>
    <row r="13" spans="1:17" x14ac:dyDescent="0.25">
      <c r="A13" t="s">
        <v>59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14"/>
    </row>
    <row r="14" spans="1:17" x14ac:dyDescent="0.25">
      <c r="A14" t="s">
        <v>60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14"/>
    </row>
    <row r="15" spans="1:17" x14ac:dyDescent="0.25">
      <c r="A15" t="s">
        <v>66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14"/>
    </row>
    <row r="16" spans="1:17" x14ac:dyDescent="0.25">
      <c r="A16" t="s">
        <v>67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14"/>
    </row>
    <row r="17" spans="1:13" x14ac:dyDescent="0.25">
      <c r="A17" t="s">
        <v>68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14"/>
    </row>
    <row r="18" spans="1:13" x14ac:dyDescent="0.25">
      <c r="M18" s="14"/>
    </row>
    <row r="19" spans="1:13" x14ac:dyDescent="0.25">
      <c r="A19" t="s">
        <v>61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14"/>
    </row>
    <row r="20" spans="1:13" x14ac:dyDescent="0.25">
      <c r="A20" t="s">
        <v>62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14"/>
    </row>
    <row r="21" spans="1:13" x14ac:dyDescent="0.25">
      <c r="M21" s="14"/>
    </row>
    <row r="22" spans="1:13" x14ac:dyDescent="0.25">
      <c r="A22" t="s">
        <v>69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14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0459-BDC7-4CA1-B921-E7450FB211D5}">
  <dimension ref="A1:H17"/>
  <sheetViews>
    <sheetView showGridLines="0" workbookViewId="0">
      <selection activeCell="M36" sqref="M36"/>
    </sheetView>
  </sheetViews>
  <sheetFormatPr defaultRowHeight="15" x14ac:dyDescent="0.25"/>
  <cols>
    <col min="1" max="1" width="2.28515625" customWidth="1"/>
    <col min="2" max="2" width="5.140625" bestFit="1" customWidth="1"/>
    <col min="3" max="3" width="6.28515625" bestFit="1" customWidth="1"/>
    <col min="4" max="5" width="12" bestFit="1" customWidth="1"/>
    <col min="6" max="6" width="10.85546875" bestFit="1" customWidth="1"/>
    <col min="7" max="8" width="12" bestFit="1" customWidth="1"/>
  </cols>
  <sheetData>
    <row r="1" spans="1:8" x14ac:dyDescent="0.25">
      <c r="A1" s="5" t="s">
        <v>16</v>
      </c>
    </row>
    <row r="2" spans="1:8" x14ac:dyDescent="0.25">
      <c r="A2" s="5" t="s">
        <v>102</v>
      </c>
    </row>
    <row r="3" spans="1:8" x14ac:dyDescent="0.25">
      <c r="A3" s="5" t="s">
        <v>103</v>
      </c>
    </row>
    <row r="6" spans="1:8" ht="15.75" thickBot="1" x14ac:dyDescent="0.3">
      <c r="A6" t="s">
        <v>18</v>
      </c>
    </row>
    <row r="7" spans="1:8" x14ac:dyDescent="0.25">
      <c r="B7" s="19"/>
      <c r="C7" s="19"/>
      <c r="D7" s="19" t="s">
        <v>21</v>
      </c>
      <c r="E7" s="19" t="s">
        <v>23</v>
      </c>
      <c r="F7" s="19" t="s">
        <v>25</v>
      </c>
      <c r="G7" s="19" t="s">
        <v>27</v>
      </c>
      <c r="H7" s="19" t="s">
        <v>27</v>
      </c>
    </row>
    <row r="8" spans="1:8" ht="15.75" thickBot="1" x14ac:dyDescent="0.3">
      <c r="B8" s="20" t="s">
        <v>19</v>
      </c>
      <c r="C8" s="20" t="s">
        <v>20</v>
      </c>
      <c r="D8" s="20" t="s">
        <v>22</v>
      </c>
      <c r="E8" s="20" t="s">
        <v>24</v>
      </c>
      <c r="F8" s="20" t="s">
        <v>26</v>
      </c>
      <c r="G8" s="20" t="s">
        <v>28</v>
      </c>
      <c r="H8" s="20" t="s">
        <v>29</v>
      </c>
    </row>
    <row r="9" spans="1:8" x14ac:dyDescent="0.25">
      <c r="B9" s="17" t="s">
        <v>87</v>
      </c>
      <c r="C9" s="17" t="s">
        <v>95</v>
      </c>
      <c r="D9" s="17">
        <v>4.3333333333333339</v>
      </c>
      <c r="E9" s="17">
        <v>0</v>
      </c>
      <c r="F9" s="17">
        <v>100</v>
      </c>
      <c r="G9" s="17">
        <v>20.000000000000004</v>
      </c>
      <c r="H9" s="17">
        <v>24.999999999999996</v>
      </c>
    </row>
    <row r="10" spans="1:8" ht="15.75" thickBot="1" x14ac:dyDescent="0.3">
      <c r="B10" s="18" t="s">
        <v>89</v>
      </c>
      <c r="C10" s="18" t="s">
        <v>96</v>
      </c>
      <c r="D10" s="18">
        <v>3.333333333333333</v>
      </c>
      <c r="E10" s="18">
        <v>0</v>
      </c>
      <c r="F10" s="18">
        <v>60</v>
      </c>
      <c r="G10" s="18">
        <v>20</v>
      </c>
      <c r="H10" s="18">
        <v>10.000000000000002</v>
      </c>
    </row>
    <row r="12" spans="1:8" ht="15.75" thickBot="1" x14ac:dyDescent="0.3">
      <c r="A12" t="s">
        <v>30</v>
      </c>
    </row>
    <row r="13" spans="1:8" x14ac:dyDescent="0.25">
      <c r="B13" s="19"/>
      <c r="C13" s="19"/>
      <c r="D13" s="19" t="s">
        <v>21</v>
      </c>
      <c r="E13" s="19" t="s">
        <v>31</v>
      </c>
      <c r="F13" s="19" t="s">
        <v>33</v>
      </c>
      <c r="G13" s="19" t="s">
        <v>27</v>
      </c>
      <c r="H13" s="19" t="s">
        <v>27</v>
      </c>
    </row>
    <row r="14" spans="1:8" ht="15.75" thickBot="1" x14ac:dyDescent="0.3">
      <c r="B14" s="20" t="s">
        <v>19</v>
      </c>
      <c r="C14" s="20" t="s">
        <v>20</v>
      </c>
      <c r="D14" s="20" t="s">
        <v>22</v>
      </c>
      <c r="E14" s="20" t="s">
        <v>32</v>
      </c>
      <c r="F14" s="20" t="s">
        <v>34</v>
      </c>
      <c r="G14" s="20" t="s">
        <v>28</v>
      </c>
      <c r="H14" s="20" t="s">
        <v>29</v>
      </c>
    </row>
    <row r="15" spans="1:8" x14ac:dyDescent="0.25">
      <c r="B15" s="17" t="s">
        <v>104</v>
      </c>
      <c r="C15" s="17" t="s">
        <v>97</v>
      </c>
      <c r="D15" s="17">
        <v>40.333333333333336</v>
      </c>
      <c r="E15" s="17">
        <v>0</v>
      </c>
      <c r="F15" s="17">
        <v>40</v>
      </c>
      <c r="G15" s="17">
        <v>0.33333333333333748</v>
      </c>
      <c r="H15" s="17">
        <v>1E+30</v>
      </c>
    </row>
    <row r="16" spans="1:8" x14ac:dyDescent="0.25">
      <c r="B16" s="17" t="s">
        <v>105</v>
      </c>
      <c r="C16" s="17" t="s">
        <v>98</v>
      </c>
      <c r="D16" s="17">
        <v>60.000000000000007</v>
      </c>
      <c r="E16" s="17">
        <v>6.6666666666666661</v>
      </c>
      <c r="F16" s="17">
        <v>60</v>
      </c>
      <c r="G16" s="17">
        <v>10</v>
      </c>
      <c r="H16" s="17">
        <v>0.38461538461538941</v>
      </c>
    </row>
    <row r="17" spans="2:8" ht="15.75" thickBot="1" x14ac:dyDescent="0.3">
      <c r="B17" s="18" t="s">
        <v>106</v>
      </c>
      <c r="C17" s="18" t="s">
        <v>99</v>
      </c>
      <c r="D17" s="18">
        <v>35</v>
      </c>
      <c r="E17" s="18">
        <v>6.6666666666666679</v>
      </c>
      <c r="F17" s="18">
        <v>35</v>
      </c>
      <c r="G17" s="18">
        <v>1.0000000000000127</v>
      </c>
      <c r="H17" s="18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EC63-9A54-4477-BBCB-EE695471FCE4}">
  <dimension ref="A1:G10"/>
  <sheetViews>
    <sheetView workbookViewId="0">
      <selection activeCell="H12" sqref="H12:H13"/>
    </sheetView>
  </sheetViews>
  <sheetFormatPr defaultRowHeight="15" x14ac:dyDescent="0.25"/>
  <sheetData>
    <row r="1" spans="1:7" x14ac:dyDescent="0.25">
      <c r="B1" t="s">
        <v>95</v>
      </c>
      <c r="C1" t="s">
        <v>96</v>
      </c>
    </row>
    <row r="2" spans="1:7" x14ac:dyDescent="0.25">
      <c r="B2" s="1">
        <v>4.3333333333333339</v>
      </c>
      <c r="C2" s="1">
        <v>3.333333333333333</v>
      </c>
    </row>
    <row r="4" spans="1:7" x14ac:dyDescent="0.25">
      <c r="A4" t="s">
        <v>97</v>
      </c>
      <c r="B4">
        <v>7</v>
      </c>
      <c r="C4">
        <v>3</v>
      </c>
      <c r="E4" s="4">
        <f>SUMPRODUCT(B4:C4,$B$2:$C$2)</f>
        <v>40.333333333333336</v>
      </c>
      <c r="F4" s="15" t="s">
        <v>101</v>
      </c>
      <c r="G4" s="3">
        <v>40</v>
      </c>
    </row>
    <row r="5" spans="1:7" x14ac:dyDescent="0.25">
      <c r="A5" t="s">
        <v>98</v>
      </c>
      <c r="B5">
        <v>10</v>
      </c>
      <c r="C5">
        <v>5</v>
      </c>
      <c r="E5" s="4">
        <f t="shared" ref="E5:E6" si="0">SUMPRODUCT(B5:C5,$B$2:$C$2)</f>
        <v>60.000000000000007</v>
      </c>
      <c r="F5" s="15" t="s">
        <v>101</v>
      </c>
      <c r="G5" s="3">
        <v>61</v>
      </c>
    </row>
    <row r="6" spans="1:7" x14ac:dyDescent="0.25">
      <c r="A6" t="s">
        <v>99</v>
      </c>
      <c r="B6">
        <v>5</v>
      </c>
      <c r="C6">
        <v>4</v>
      </c>
      <c r="E6" s="4">
        <f t="shared" si="0"/>
        <v>35</v>
      </c>
      <c r="F6" s="15" t="s">
        <v>101</v>
      </c>
      <c r="G6" s="3">
        <v>35</v>
      </c>
    </row>
    <row r="7" spans="1:7" x14ac:dyDescent="0.25">
      <c r="F7" s="15"/>
    </row>
    <row r="9" spans="1:7" x14ac:dyDescent="0.25">
      <c r="A9" t="s">
        <v>24</v>
      </c>
      <c r="B9">
        <v>100</v>
      </c>
      <c r="C9">
        <v>60</v>
      </c>
    </row>
    <row r="10" spans="1:7" x14ac:dyDescent="0.25">
      <c r="A10" t="s">
        <v>100</v>
      </c>
      <c r="B10" s="2">
        <f>SUMPRODUCT(B9:C9,B2:C2)</f>
        <v>633.33333333333337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7CA85-32B5-46DC-AA68-134E32F2459F}">
  <dimension ref="A1:H29"/>
  <sheetViews>
    <sheetView showGridLines="0" workbookViewId="0"/>
  </sheetViews>
  <sheetFormatPr defaultRowHeight="15" x14ac:dyDescent="0.25"/>
  <cols>
    <col min="1" max="1" width="2.28515625" customWidth="1"/>
    <col min="2" max="2" width="5.28515625" bestFit="1" customWidth="1"/>
    <col min="3" max="3" width="12.7109375" bestFit="1" customWidth="1"/>
    <col min="4" max="4" width="6.140625" bestFit="1" customWidth="1"/>
    <col min="5" max="5" width="12.7109375" bestFit="1" customWidth="1"/>
    <col min="6" max="6" width="10.85546875" bestFit="1" customWidth="1"/>
    <col min="7" max="7" width="12" bestFit="1" customWidth="1"/>
    <col min="8" max="8" width="10" bestFit="1" customWidth="1"/>
  </cols>
  <sheetData>
    <row r="1" spans="1:8" x14ac:dyDescent="0.25">
      <c r="A1" s="5" t="s">
        <v>16</v>
      </c>
    </row>
    <row r="2" spans="1:8" x14ac:dyDescent="0.25">
      <c r="A2" s="5" t="s">
        <v>116</v>
      </c>
    </row>
    <row r="3" spans="1:8" x14ac:dyDescent="0.25">
      <c r="A3" s="5" t="s">
        <v>137</v>
      </c>
    </row>
    <row r="6" spans="1:8" ht="15.75" thickBot="1" x14ac:dyDescent="0.3">
      <c r="A6" t="s">
        <v>18</v>
      </c>
    </row>
    <row r="7" spans="1:8" x14ac:dyDescent="0.25">
      <c r="B7" s="19"/>
      <c r="C7" s="19"/>
      <c r="D7" s="19" t="s">
        <v>21</v>
      </c>
      <c r="E7" s="19" t="s">
        <v>23</v>
      </c>
      <c r="F7" s="19" t="s">
        <v>25</v>
      </c>
      <c r="G7" s="19" t="s">
        <v>27</v>
      </c>
      <c r="H7" s="19" t="s">
        <v>27</v>
      </c>
    </row>
    <row r="8" spans="1:8" ht="15.75" thickBot="1" x14ac:dyDescent="0.3">
      <c r="B8" s="20" t="s">
        <v>19</v>
      </c>
      <c r="C8" s="20" t="s">
        <v>20</v>
      </c>
      <c r="D8" s="20" t="s">
        <v>22</v>
      </c>
      <c r="E8" s="20" t="s">
        <v>24</v>
      </c>
      <c r="F8" s="20" t="s">
        <v>26</v>
      </c>
      <c r="G8" s="20" t="s">
        <v>28</v>
      </c>
      <c r="H8" s="20" t="s">
        <v>29</v>
      </c>
    </row>
    <row r="9" spans="1:8" x14ac:dyDescent="0.25">
      <c r="B9" s="17" t="s">
        <v>87</v>
      </c>
      <c r="C9" s="17" t="s">
        <v>117</v>
      </c>
      <c r="D9" s="17">
        <v>120</v>
      </c>
      <c r="E9" s="17">
        <v>0</v>
      </c>
      <c r="F9" s="17">
        <v>-150</v>
      </c>
      <c r="G9" s="17">
        <v>125.00000000000006</v>
      </c>
      <c r="H9" s="17">
        <v>54.999999999999943</v>
      </c>
    </row>
    <row r="10" spans="1:8" x14ac:dyDescent="0.25">
      <c r="B10" s="17" t="s">
        <v>89</v>
      </c>
      <c r="C10" s="17" t="s">
        <v>118</v>
      </c>
      <c r="D10" s="17">
        <v>80</v>
      </c>
      <c r="E10" s="17">
        <v>0</v>
      </c>
      <c r="F10" s="17">
        <v>-230</v>
      </c>
      <c r="G10" s="17">
        <v>54.999999999999943</v>
      </c>
      <c r="H10" s="17">
        <v>125.00000000000006</v>
      </c>
    </row>
    <row r="11" spans="1:8" x14ac:dyDescent="0.25">
      <c r="B11" s="17" t="s">
        <v>119</v>
      </c>
      <c r="C11" s="17" t="s">
        <v>138</v>
      </c>
      <c r="D11" s="17">
        <v>300</v>
      </c>
      <c r="E11" s="17">
        <v>0</v>
      </c>
      <c r="F11" s="17">
        <v>-260</v>
      </c>
      <c r="G11" s="17">
        <v>335</v>
      </c>
      <c r="H11" s="17">
        <v>185</v>
      </c>
    </row>
    <row r="12" spans="1:8" x14ac:dyDescent="0.25">
      <c r="B12" s="17" t="s">
        <v>120</v>
      </c>
      <c r="C12" s="17" t="s">
        <v>139</v>
      </c>
      <c r="D12" s="17">
        <v>0</v>
      </c>
      <c r="E12" s="17">
        <v>0</v>
      </c>
      <c r="F12" s="17">
        <v>0</v>
      </c>
      <c r="G12" s="17">
        <v>0</v>
      </c>
      <c r="H12" s="17">
        <v>1E+30</v>
      </c>
    </row>
    <row r="13" spans="1:8" x14ac:dyDescent="0.25">
      <c r="B13" s="17" t="s">
        <v>38</v>
      </c>
      <c r="C13" s="17" t="s">
        <v>121</v>
      </c>
      <c r="D13" s="17">
        <v>100</v>
      </c>
      <c r="E13" s="17">
        <v>0</v>
      </c>
      <c r="F13" s="17">
        <v>170</v>
      </c>
      <c r="G13" s="17">
        <v>50.000000000000028</v>
      </c>
      <c r="H13" s="17">
        <v>21.999999999999979</v>
      </c>
    </row>
    <row r="14" spans="1:8" x14ac:dyDescent="0.25">
      <c r="B14" s="17" t="s">
        <v>122</v>
      </c>
      <c r="C14" s="17" t="s">
        <v>123</v>
      </c>
      <c r="D14" s="17">
        <v>0</v>
      </c>
      <c r="E14" s="17">
        <v>-18.333333333333314</v>
      </c>
      <c r="F14" s="17">
        <v>150</v>
      </c>
      <c r="G14" s="17">
        <v>18.333333333333314</v>
      </c>
      <c r="H14" s="17">
        <v>1E+30</v>
      </c>
    </row>
    <row r="15" spans="1:8" x14ac:dyDescent="0.25">
      <c r="B15" s="17" t="s">
        <v>124</v>
      </c>
      <c r="C15" s="17" t="s">
        <v>140</v>
      </c>
      <c r="D15" s="17">
        <v>6000</v>
      </c>
      <c r="E15" s="17">
        <v>0</v>
      </c>
      <c r="F15" s="17">
        <v>36</v>
      </c>
      <c r="G15" s="17">
        <v>1E+30</v>
      </c>
      <c r="H15" s="17">
        <v>9.25</v>
      </c>
    </row>
    <row r="16" spans="1:8" x14ac:dyDescent="0.25">
      <c r="B16" s="17" t="s">
        <v>125</v>
      </c>
      <c r="C16" s="17" t="s">
        <v>141</v>
      </c>
      <c r="D16" s="17">
        <v>0</v>
      </c>
      <c r="E16" s="17">
        <v>-16.75</v>
      </c>
      <c r="F16" s="17">
        <v>10</v>
      </c>
      <c r="G16" s="17">
        <v>16.75</v>
      </c>
      <c r="H16" s="17">
        <v>1E+30</v>
      </c>
    </row>
    <row r="17" spans="1:8" x14ac:dyDescent="0.25">
      <c r="B17" s="17" t="s">
        <v>39</v>
      </c>
      <c r="C17" s="17" t="s">
        <v>126</v>
      </c>
      <c r="D17" s="17">
        <v>0</v>
      </c>
      <c r="E17" s="17">
        <v>-68</v>
      </c>
      <c r="F17" s="17">
        <v>-238</v>
      </c>
      <c r="G17" s="17">
        <v>68</v>
      </c>
      <c r="H17" s="17">
        <v>1E+30</v>
      </c>
    </row>
    <row r="18" spans="1:8" x14ac:dyDescent="0.25">
      <c r="B18" s="17" t="s">
        <v>127</v>
      </c>
      <c r="C18" s="17" t="s">
        <v>128</v>
      </c>
      <c r="D18" s="17">
        <v>0</v>
      </c>
      <c r="E18" s="17">
        <v>-41.666666666666686</v>
      </c>
      <c r="F18" s="17">
        <v>-210</v>
      </c>
      <c r="G18" s="17">
        <v>41.666666666666686</v>
      </c>
      <c r="H18" s="17">
        <v>1E+30</v>
      </c>
    </row>
    <row r="19" spans="1:8" x14ac:dyDescent="0.25">
      <c r="B19" s="17" t="s">
        <v>129</v>
      </c>
      <c r="C19" s="17" t="s">
        <v>142</v>
      </c>
      <c r="D19" s="17">
        <v>0</v>
      </c>
      <c r="E19" s="17">
        <v>0</v>
      </c>
      <c r="F19" s="17">
        <v>0</v>
      </c>
      <c r="G19" s="17">
        <v>0</v>
      </c>
      <c r="H19" s="17">
        <v>1E+30</v>
      </c>
    </row>
    <row r="20" spans="1:8" ht="15.75" thickBot="1" x14ac:dyDescent="0.3">
      <c r="B20" s="18" t="s">
        <v>104</v>
      </c>
      <c r="C20" s="18" t="s">
        <v>143</v>
      </c>
      <c r="D20" s="18">
        <v>0</v>
      </c>
      <c r="E20" s="18">
        <v>0</v>
      </c>
      <c r="F20" s="18">
        <v>0</v>
      </c>
      <c r="G20" s="18">
        <v>0</v>
      </c>
      <c r="H20" s="18">
        <v>1E+30</v>
      </c>
    </row>
    <row r="22" spans="1:8" ht="15.75" thickBot="1" x14ac:dyDescent="0.3">
      <c r="A22" t="s">
        <v>30</v>
      </c>
    </row>
    <row r="23" spans="1:8" x14ac:dyDescent="0.25">
      <c r="B23" s="19"/>
      <c r="C23" s="19"/>
      <c r="D23" s="19" t="s">
        <v>21</v>
      </c>
      <c r="E23" s="19" t="s">
        <v>31</v>
      </c>
      <c r="F23" s="19" t="s">
        <v>33</v>
      </c>
      <c r="G23" s="19" t="s">
        <v>27</v>
      </c>
      <c r="H23" s="19" t="s">
        <v>27</v>
      </c>
    </row>
    <row r="24" spans="1:8" ht="15.75" thickBot="1" x14ac:dyDescent="0.3">
      <c r="B24" s="20" t="s">
        <v>19</v>
      </c>
      <c r="C24" s="20" t="s">
        <v>20</v>
      </c>
      <c r="D24" s="20" t="s">
        <v>22</v>
      </c>
      <c r="E24" s="20" t="s">
        <v>32</v>
      </c>
      <c r="F24" s="20" t="s">
        <v>34</v>
      </c>
      <c r="G24" s="20" t="s">
        <v>28</v>
      </c>
      <c r="H24" s="20" t="s">
        <v>29</v>
      </c>
    </row>
    <row r="25" spans="1:8" x14ac:dyDescent="0.25">
      <c r="B25" s="17" t="s">
        <v>130</v>
      </c>
      <c r="C25" s="17" t="s">
        <v>109</v>
      </c>
      <c r="D25" s="17">
        <v>500</v>
      </c>
      <c r="E25" s="17">
        <v>275</v>
      </c>
      <c r="F25" s="17">
        <v>0</v>
      </c>
      <c r="G25" s="17">
        <v>1E+30</v>
      </c>
      <c r="H25" s="17">
        <v>40</v>
      </c>
    </row>
    <row r="26" spans="1:8" x14ac:dyDescent="0.25">
      <c r="B26" s="17" t="s">
        <v>131</v>
      </c>
      <c r="C26" s="17" t="s">
        <v>60</v>
      </c>
      <c r="D26" s="17">
        <v>-200</v>
      </c>
      <c r="E26" s="17">
        <v>170</v>
      </c>
      <c r="F26" s="17">
        <v>0</v>
      </c>
      <c r="G26" s="17">
        <v>1E+30</v>
      </c>
      <c r="H26" s="17">
        <v>100</v>
      </c>
    </row>
    <row r="27" spans="1:8" x14ac:dyDescent="0.25">
      <c r="B27" s="17" t="s">
        <v>132</v>
      </c>
      <c r="C27" s="17" t="s">
        <v>110</v>
      </c>
      <c r="D27" s="17">
        <v>-240</v>
      </c>
      <c r="E27" s="17">
        <v>168.33333333333331</v>
      </c>
      <c r="F27" s="17">
        <v>0</v>
      </c>
      <c r="G27" s="17">
        <v>240</v>
      </c>
      <c r="H27" s="17">
        <v>120.00000000000001</v>
      </c>
    </row>
    <row r="28" spans="1:8" x14ac:dyDescent="0.25">
      <c r="B28" s="17" t="s">
        <v>133</v>
      </c>
      <c r="C28" s="17"/>
      <c r="D28" s="17">
        <v>6000</v>
      </c>
      <c r="E28" s="17">
        <v>26.75</v>
      </c>
      <c r="F28" s="17">
        <v>0</v>
      </c>
      <c r="G28" s="17">
        <v>6000</v>
      </c>
      <c r="H28" s="17">
        <v>800</v>
      </c>
    </row>
    <row r="29" spans="1:8" ht="15.75" thickBot="1" x14ac:dyDescent="0.3">
      <c r="B29" s="18" t="s">
        <v>134</v>
      </c>
      <c r="C29" s="18" t="s">
        <v>111</v>
      </c>
      <c r="D29" s="18">
        <v>6000</v>
      </c>
      <c r="E29" s="18">
        <v>9.25</v>
      </c>
      <c r="F29" s="18">
        <v>0</v>
      </c>
      <c r="G29" s="18">
        <v>800</v>
      </c>
      <c r="H29" s="18">
        <v>6000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64CB-7E70-452A-88CC-BE24E3E0118E}">
  <dimension ref="A1:I14"/>
  <sheetViews>
    <sheetView workbookViewId="0">
      <selection activeCell="Q8" sqref="Q8"/>
    </sheetView>
  </sheetViews>
  <sheetFormatPr defaultRowHeight="15" x14ac:dyDescent="0.25"/>
  <cols>
    <col min="1" max="1" width="10.5703125" bestFit="1" customWidth="1"/>
    <col min="2" max="2" width="12.42578125" customWidth="1"/>
    <col min="3" max="3" width="4.85546875" bestFit="1" customWidth="1"/>
    <col min="4" max="5" width="7.7109375" bestFit="1" customWidth="1"/>
    <col min="7" max="7" width="8.42578125" customWidth="1"/>
    <col min="8" max="8" width="3" bestFit="1" customWidth="1"/>
    <col min="9" max="9" width="6" bestFit="1" customWidth="1"/>
  </cols>
  <sheetData>
    <row r="1" spans="1:9" x14ac:dyDescent="0.25">
      <c r="B1" t="s">
        <v>107</v>
      </c>
      <c r="C1" t="s">
        <v>108</v>
      </c>
      <c r="D1" t="s">
        <v>135</v>
      </c>
      <c r="E1" t="s">
        <v>136</v>
      </c>
    </row>
    <row r="2" spans="1:9" x14ac:dyDescent="0.25">
      <c r="A2" t="s">
        <v>109</v>
      </c>
      <c r="B2" s="1">
        <v>120</v>
      </c>
      <c r="C2" s="1">
        <v>80</v>
      </c>
      <c r="D2" s="1">
        <v>300</v>
      </c>
      <c r="E2">
        <v>0</v>
      </c>
      <c r="G2">
        <f>SUM(B2:D2)</f>
        <v>500</v>
      </c>
      <c r="H2" s="15" t="s">
        <v>2</v>
      </c>
      <c r="I2" s="3">
        <v>500</v>
      </c>
    </row>
    <row r="3" spans="1:9" x14ac:dyDescent="0.25">
      <c r="A3" t="s">
        <v>60</v>
      </c>
      <c r="B3" s="1">
        <v>100</v>
      </c>
      <c r="C3" s="1">
        <v>0</v>
      </c>
      <c r="D3" s="1">
        <v>6000</v>
      </c>
      <c r="E3" s="1">
        <v>0</v>
      </c>
      <c r="G3">
        <f>-(B2 * B6) - B4 + B3</f>
        <v>-200</v>
      </c>
      <c r="H3" s="15" t="s">
        <v>2</v>
      </c>
      <c r="I3" s="3">
        <v>-200</v>
      </c>
    </row>
    <row r="4" spans="1:9" x14ac:dyDescent="0.25">
      <c r="A4" t="s">
        <v>110</v>
      </c>
      <c r="B4" s="1">
        <v>0</v>
      </c>
      <c r="C4" s="1">
        <v>0</v>
      </c>
      <c r="D4" s="1">
        <v>0</v>
      </c>
      <c r="E4">
        <v>0</v>
      </c>
      <c r="G4">
        <f>-(C2*C6) - C4 + C3</f>
        <v>-240</v>
      </c>
      <c r="H4" s="15" t="s">
        <v>2</v>
      </c>
      <c r="I4" s="3">
        <v>-240</v>
      </c>
    </row>
    <row r="5" spans="1:9" x14ac:dyDescent="0.25">
      <c r="G5">
        <f>D3 + E3</f>
        <v>6000</v>
      </c>
      <c r="H5" s="15" t="s">
        <v>2</v>
      </c>
      <c r="I5" s="3">
        <f>D2*D6</f>
        <v>6000</v>
      </c>
    </row>
    <row r="6" spans="1:9" x14ac:dyDescent="0.25">
      <c r="A6" t="s">
        <v>111</v>
      </c>
      <c r="B6">
        <v>2.5</v>
      </c>
      <c r="C6">
        <v>3</v>
      </c>
      <c r="D6">
        <v>20</v>
      </c>
      <c r="G6">
        <f>$D$3</f>
        <v>6000</v>
      </c>
      <c r="H6" s="15" t="s">
        <v>2</v>
      </c>
      <c r="I6" s="3">
        <v>6000</v>
      </c>
    </row>
    <row r="7" spans="1:9" x14ac:dyDescent="0.25">
      <c r="A7" t="s">
        <v>112</v>
      </c>
      <c r="B7" s="21">
        <v>150</v>
      </c>
      <c r="C7" s="21">
        <v>230</v>
      </c>
      <c r="D7" s="21">
        <v>260</v>
      </c>
    </row>
    <row r="8" spans="1:9" x14ac:dyDescent="0.25">
      <c r="A8" t="s">
        <v>113</v>
      </c>
      <c r="B8" s="21">
        <v>170</v>
      </c>
      <c r="C8" s="21">
        <v>150</v>
      </c>
      <c r="D8" s="21">
        <v>36</v>
      </c>
      <c r="E8" s="21">
        <v>10</v>
      </c>
    </row>
    <row r="9" spans="1:9" x14ac:dyDescent="0.25">
      <c r="A9" t="s">
        <v>114</v>
      </c>
      <c r="B9" s="21">
        <v>238</v>
      </c>
      <c r="C9" s="21">
        <v>210</v>
      </c>
      <c r="D9" s="21"/>
    </row>
    <row r="11" spans="1:9" x14ac:dyDescent="0.25">
      <c r="A11" t="s">
        <v>60</v>
      </c>
      <c r="B11">
        <f>SUMPRODUCT(B3:E3,B8:E8)</f>
        <v>233000</v>
      </c>
    </row>
    <row r="12" spans="1:9" x14ac:dyDescent="0.25">
      <c r="A12" t="s">
        <v>110</v>
      </c>
      <c r="B12">
        <f>SUMPRODUCT(B4:C4,B9:C9)</f>
        <v>0</v>
      </c>
    </row>
    <row r="13" spans="1:9" x14ac:dyDescent="0.25">
      <c r="A13" t="s">
        <v>115</v>
      </c>
      <c r="B13">
        <f>SUMPRODUCT(B7:D7,B2:D2)</f>
        <v>114400</v>
      </c>
    </row>
    <row r="14" spans="1:9" x14ac:dyDescent="0.25">
      <c r="A14" t="s">
        <v>69</v>
      </c>
      <c r="B14" s="22">
        <f>B11 - B12 - B13</f>
        <v>118600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CE4E-1681-441F-8DE6-2742A5A66B94}">
  <dimension ref="A1:L8"/>
  <sheetViews>
    <sheetView tabSelected="1" workbookViewId="0">
      <selection activeCell="F10" sqref="F10"/>
    </sheetView>
  </sheetViews>
  <sheetFormatPr defaultRowHeight="15" x14ac:dyDescent="0.25"/>
  <cols>
    <col min="1" max="1" width="14.5703125" bestFit="1" customWidth="1"/>
    <col min="10" max="10" width="4" bestFit="1" customWidth="1"/>
  </cols>
  <sheetData>
    <row r="1" spans="1:12" x14ac:dyDescent="0.25">
      <c r="B1" t="s">
        <v>144</v>
      </c>
      <c r="C1" t="s">
        <v>145</v>
      </c>
      <c r="D1" t="s">
        <v>146</v>
      </c>
      <c r="E1" t="s">
        <v>147</v>
      </c>
      <c r="F1" t="s">
        <v>148</v>
      </c>
      <c r="G1" t="s">
        <v>149</v>
      </c>
      <c r="H1" t="s">
        <v>150</v>
      </c>
    </row>
    <row r="2" spans="1:12" x14ac:dyDescent="0.25">
      <c r="A2" t="s">
        <v>153</v>
      </c>
      <c r="B2" s="1">
        <v>0.44000000000000028</v>
      </c>
      <c r="C2" s="1">
        <v>1</v>
      </c>
      <c r="D2" s="1">
        <v>0</v>
      </c>
      <c r="E2" s="1">
        <v>1</v>
      </c>
      <c r="F2" s="1">
        <v>0</v>
      </c>
      <c r="G2" s="1">
        <v>1</v>
      </c>
      <c r="H2" s="1">
        <v>0</v>
      </c>
      <c r="J2" s="21"/>
      <c r="K2" s="23"/>
      <c r="L2" s="21"/>
    </row>
    <row r="3" spans="1:12" ht="14.25" customHeight="1" x14ac:dyDescent="0.25">
      <c r="J3" s="4">
        <f>SUMPRODUCT(B2:H2, B4:H4)</f>
        <v>15.000000000000002</v>
      </c>
      <c r="K3" s="15" t="s">
        <v>2</v>
      </c>
      <c r="L3" s="3">
        <v>15</v>
      </c>
    </row>
    <row r="4" spans="1:12" x14ac:dyDescent="0.25">
      <c r="A4" t="s">
        <v>115</v>
      </c>
      <c r="B4">
        <v>5</v>
      </c>
      <c r="C4">
        <v>2.4</v>
      </c>
      <c r="D4">
        <v>3.5</v>
      </c>
      <c r="E4">
        <v>5.9</v>
      </c>
      <c r="F4">
        <v>6.9</v>
      </c>
      <c r="G4">
        <v>4.5</v>
      </c>
      <c r="H4">
        <v>3</v>
      </c>
    </row>
    <row r="5" spans="1:12" x14ac:dyDescent="0.25">
      <c r="A5" t="s">
        <v>151</v>
      </c>
      <c r="B5">
        <v>5.6</v>
      </c>
      <c r="C5">
        <v>2.7</v>
      </c>
      <c r="D5">
        <v>3.9</v>
      </c>
      <c r="E5">
        <v>6.8</v>
      </c>
      <c r="F5">
        <v>7.7</v>
      </c>
      <c r="G5">
        <v>5.0999999999999996</v>
      </c>
      <c r="H5">
        <v>3.3</v>
      </c>
    </row>
    <row r="6" spans="1:12" x14ac:dyDescent="0.25">
      <c r="A6" t="s">
        <v>152</v>
      </c>
      <c r="B6">
        <f>(B5-B4)/B4</f>
        <v>0.11999999999999993</v>
      </c>
      <c r="C6">
        <f t="shared" ref="C6:H6" si="0">(C5-C4)/C4</f>
        <v>0.12500000000000011</v>
      </c>
      <c r="D6">
        <f t="shared" si="0"/>
        <v>0.11428571428571425</v>
      </c>
      <c r="E6">
        <f t="shared" si="0"/>
        <v>0.15254237288135583</v>
      </c>
      <c r="F6">
        <f t="shared" si="0"/>
        <v>0.11594202898550722</v>
      </c>
      <c r="G6">
        <f t="shared" si="0"/>
        <v>0.13333333333333325</v>
      </c>
      <c r="H6">
        <f t="shared" si="0"/>
        <v>9.9999999999999936E-2</v>
      </c>
    </row>
    <row r="8" spans="1:12" x14ac:dyDescent="0.25">
      <c r="A8" t="s">
        <v>69</v>
      </c>
      <c r="B8" s="2">
        <f>SUMPRODUCT(B2:H2,B5:H5)</f>
        <v>17.064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ch_1_1_Sensitivity Report</vt:lpstr>
      <vt:lpstr>ch_1_1</vt:lpstr>
      <vt:lpstr>ch_1_2</vt:lpstr>
      <vt:lpstr>ch_2_1_Sensitivity Report 1</vt:lpstr>
      <vt:lpstr>ch_2_1</vt:lpstr>
      <vt:lpstr>Sensitivity Report 1</vt:lpstr>
      <vt:lpstr>ch_2_2</vt:lpstr>
      <vt:lpstr>Sensitivity Report 3</vt:lpstr>
      <vt:lpstr>ch_2_3</vt:lpstr>
      <vt:lpstr>ch_3_1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Janpitak</cp:lastModifiedBy>
  <dcterms:created xsi:type="dcterms:W3CDTF">2026-09-16T13:39:47Z</dcterms:created>
  <dcterms:modified xsi:type="dcterms:W3CDTF">2026-09-18T07:12:01Z</dcterms:modified>
</cp:coreProperties>
</file>