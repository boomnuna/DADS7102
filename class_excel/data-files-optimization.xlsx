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Nuna\Documents\GitHub\DADS7102\class_excel\"/>
    </mc:Choice>
  </mc:AlternateContent>
  <xr:revisionPtr revIDLastSave="0" documentId="13_ncr:1_{1F8D3BDE-663E-4E30-9B46-A5FF7B530282}" xr6:coauthVersionLast="47" xr6:coauthVersionMax="47" xr10:uidLastSave="{00000000-0000-0000-0000-000000000000}"/>
  <bookViews>
    <workbookView xWindow="-120" yWindow="-120" windowWidth="29040" windowHeight="15840" tabRatio="954" firstSheet="4" activeTab="16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MCNF" sheetId="31" r:id="rId15"/>
    <sheet name="RedBrandLogistics" sheetId="6" r:id="rId16"/>
    <sheet name="HW3" sheetId="37" r:id="rId17"/>
    <sheet name="ShortestPath" sheetId="26" r:id="rId18"/>
    <sheet name="Aggregate1" sheetId="7" r:id="rId19"/>
    <sheet name="CapitalBudget" sheetId="8" r:id="rId20"/>
    <sheet name="FixedCost" sheetId="9" r:id="rId21"/>
    <sheet name="Hub" sheetId="10" r:id="rId22"/>
    <sheet name="WorkerScheduling" sheetId="11" r:id="rId23"/>
    <sheet name="Transport1-2" sheetId="12" r:id="rId24"/>
    <sheet name="MMULT" sheetId="13" r:id="rId25"/>
    <sheet name="MDETERM" sheetId="21" r:id="rId26"/>
    <sheet name="Peakload" sheetId="15" r:id="rId27"/>
    <sheet name="Portfolio" sheetId="14" r:id="rId28"/>
    <sheet name="EOQ" sheetId="23" r:id="rId29"/>
    <sheet name="SVM1" sheetId="24" r:id="rId30"/>
    <sheet name="MLE" sheetId="25" r:id="rId31"/>
    <sheet name="OLS" sheetId="30" r:id="rId32"/>
    <sheet name="Location" sheetId="29" r:id="rId33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19" hidden="1">CapitalBudget!$B$10:$H$10</definedName>
    <definedName name="solver_adj" localSheetId="6" hidden="1">Dual!$I$4:$L$4</definedName>
    <definedName name="solver_adj" localSheetId="28" hidden="1">EOQ!$G$9:$I$9</definedName>
    <definedName name="solver_adj" localSheetId="20" hidden="1">FixedCost!$B$14:$F$15</definedName>
    <definedName name="solver_adj" localSheetId="21" hidden="1">Hub!$B$21:$M$21</definedName>
    <definedName name="solver_adj" localSheetId="16" hidden="1">'HW3'!$E$6:$E$15</definedName>
    <definedName name="solver_adj" localSheetId="5" hidden="1">LM_2!$B$10:$I$10</definedName>
    <definedName name="solver_adj" localSheetId="14" hidden="1">MCNF!$D$8:$D$13</definedName>
    <definedName name="solver_adj" localSheetId="7" hidden="1">ProdPlanning!$B$12:$G$12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5" hidden="1">RedBrandLogistics!$D$8:$D$33</definedName>
    <definedName name="solver_adj" localSheetId="29" hidden="1">'SVM1'!$B$2:$D$2,'SVM1'!$F$2</definedName>
    <definedName name="solver_adj" localSheetId="10" hidden="1">Transport1!$C$13:$F$15</definedName>
    <definedName name="solver_adj" localSheetId="22" hidden="1">WorkerScheduling!$N$3:$T$3</definedName>
    <definedName name="solver_cvg" localSheetId="11" hidden="1">0.0001</definedName>
    <definedName name="solver_cvg" localSheetId="19" hidden="1">0.0001</definedName>
    <definedName name="solver_cvg" localSheetId="6" hidden="1">0.0001</definedName>
    <definedName name="solver_cvg" localSheetId="28" hidden="1">0.0001</definedName>
    <definedName name="solver_cvg" localSheetId="20" hidden="1">0.0001</definedName>
    <definedName name="solver_cvg" localSheetId="21" hidden="1">0.0001</definedName>
    <definedName name="solver_cvg" localSheetId="16" hidden="1">0.0001</definedName>
    <definedName name="solver_cvg" localSheetId="5" hidden="1">0.0001</definedName>
    <definedName name="solver_cvg" localSheetId="14" hidden="1">0.0001</definedName>
    <definedName name="solver_cvg" localSheetId="7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5" hidden="1">0.0001</definedName>
    <definedName name="solver_cvg" localSheetId="10" hidden="1">0.0001</definedName>
    <definedName name="solver_cvg" localSheetId="22" hidden="1">0.0001</definedName>
    <definedName name="solver_drv" localSheetId="11" hidden="1">1</definedName>
    <definedName name="solver_drv" localSheetId="19" hidden="1">1</definedName>
    <definedName name="solver_drv" localSheetId="6" hidden="1">1</definedName>
    <definedName name="solver_drv" localSheetId="28" hidden="1">1</definedName>
    <definedName name="solver_drv" localSheetId="20" hidden="1">1</definedName>
    <definedName name="solver_drv" localSheetId="21" hidden="1">1</definedName>
    <definedName name="solver_drv" localSheetId="16" hidden="1">2</definedName>
    <definedName name="solver_drv" localSheetId="5" hidden="1">1</definedName>
    <definedName name="solver_drv" localSheetId="14" hidden="1">1</definedName>
    <definedName name="solver_drv" localSheetId="7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5" hidden="1">1</definedName>
    <definedName name="solver_drv" localSheetId="10" hidden="1">1</definedName>
    <definedName name="solver_drv" localSheetId="22" hidden="1">1</definedName>
    <definedName name="solver_eng" localSheetId="11" hidden="1">2</definedName>
    <definedName name="solver_eng" localSheetId="19" hidden="1">2</definedName>
    <definedName name="solver_eng" localSheetId="6" hidden="1">2</definedName>
    <definedName name="solver_eng" localSheetId="28" hidden="1">1</definedName>
    <definedName name="solver_eng" localSheetId="20" hidden="1">2</definedName>
    <definedName name="solver_eng" localSheetId="21" hidden="1">2</definedName>
    <definedName name="solver_eng" localSheetId="16" hidden="1">2</definedName>
    <definedName name="solver_eng" localSheetId="5" hidden="1">2</definedName>
    <definedName name="solver_eng" localSheetId="14" hidden="1">2</definedName>
    <definedName name="solver_eng" localSheetId="7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5" hidden="1">2</definedName>
    <definedName name="solver_eng" localSheetId="29" hidden="1">1</definedName>
    <definedName name="solver_eng" localSheetId="10" hidden="1">2</definedName>
    <definedName name="solver_eng" localSheetId="22" hidden="1">2</definedName>
    <definedName name="solver_est" localSheetId="11" hidden="1">1</definedName>
    <definedName name="solver_est" localSheetId="19" hidden="1">1</definedName>
    <definedName name="solver_est" localSheetId="6" hidden="1">1</definedName>
    <definedName name="solver_est" localSheetId="28" hidden="1">1</definedName>
    <definedName name="solver_est" localSheetId="20" hidden="1">1</definedName>
    <definedName name="solver_est" localSheetId="21" hidden="1">1</definedName>
    <definedName name="solver_est" localSheetId="16" hidden="1">1</definedName>
    <definedName name="solver_est" localSheetId="5" hidden="1">1</definedName>
    <definedName name="solver_est" localSheetId="14" hidden="1">1</definedName>
    <definedName name="solver_est" localSheetId="7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5" hidden="1">1</definedName>
    <definedName name="solver_est" localSheetId="10" hidden="1">1</definedName>
    <definedName name="solver_est" localSheetId="22" hidden="1">1</definedName>
    <definedName name="solver_itr" localSheetId="11" hidden="1">2147483647</definedName>
    <definedName name="solver_itr" localSheetId="19" hidden="1">2147483647</definedName>
    <definedName name="solver_itr" localSheetId="6" hidden="1">2147483647</definedName>
    <definedName name="solver_itr" localSheetId="28" hidden="1">2147483647</definedName>
    <definedName name="solver_itr" localSheetId="20" hidden="1">2147483647</definedName>
    <definedName name="solver_itr" localSheetId="21" hidden="1">2147483647</definedName>
    <definedName name="solver_itr" localSheetId="16" hidden="1">2147483647</definedName>
    <definedName name="solver_itr" localSheetId="5" hidden="1">2147483647</definedName>
    <definedName name="solver_itr" localSheetId="14" hidden="1">2147483647</definedName>
    <definedName name="solver_itr" localSheetId="7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5" hidden="1">2147483647</definedName>
    <definedName name="solver_itr" localSheetId="10" hidden="1">2147483647</definedName>
    <definedName name="solver_itr" localSheetId="22" hidden="1">2147483647</definedName>
    <definedName name="solver_lhs1" localSheetId="11" hidden="1">AssignmentProblem!$C$17:$F$17</definedName>
    <definedName name="solver_lhs1" localSheetId="19" hidden="1">CapitalBudget!$B$14</definedName>
    <definedName name="solver_lhs1" localSheetId="6" hidden="1">Dual!$M$6:$M$7</definedName>
    <definedName name="solver_lhs1" localSheetId="28" hidden="1">EOQ!$J$15</definedName>
    <definedName name="solver_lhs1" localSheetId="20" hidden="1">FixedCost!$B$14:$F$14</definedName>
    <definedName name="solver_lhs1" localSheetId="21" hidden="1">Hub!$B$21:$M$21</definedName>
    <definedName name="solver_lhs1" localSheetId="16" hidden="1">'HW3'!$E$6:$E$7</definedName>
    <definedName name="solver_lhs1" localSheetId="5" hidden="1">LM_2!$J$12:$J$14</definedName>
    <definedName name="solver_lhs1" localSheetId="14" hidden="1">MCNF!$D$8:$D$13</definedName>
    <definedName name="solver_lhs1" localSheetId="7" hidden="1">ProdPlanning!$B$12:$G$12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5" hidden="1">RedBrandLogistics!$D$8:$D$33</definedName>
    <definedName name="solver_lhs1" localSheetId="10" hidden="1">Transport1!$C$16:$F$16</definedName>
    <definedName name="solver_lhs1" localSheetId="22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19" hidden="1">CapitalBudget!$B$10:$H$10</definedName>
    <definedName name="solver_lhs2" localSheetId="20" hidden="1">FixedCost!$B$15:$F$15</definedName>
    <definedName name="solver_lhs2" localSheetId="21" hidden="1">Hub!$B$25:$B$36</definedName>
    <definedName name="solver_lhs2" localSheetId="16" hidden="1">'HW3'!$L$10:$L$11</definedName>
    <definedName name="solver_lhs2" localSheetId="5" hidden="1">LM_2!$J$15</definedName>
    <definedName name="solver_lhs2" localSheetId="14" hidden="1">MCNF!$L$9:$L$13</definedName>
    <definedName name="solver_lhs2" localSheetId="7" hidden="1">ProdPlanning!$B$20:$G$20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5" hidden="1">RedBrandLogistics!$K$15:$K$16</definedName>
    <definedName name="solver_lhs2" localSheetId="10" hidden="1">Transport1!$G$13:$G$15</definedName>
    <definedName name="solver_lhs2" localSheetId="22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19" hidden="1">CapitalBudget!$C$15</definedName>
    <definedName name="solver_lhs3" localSheetId="20" hidden="1">FixedCost!$B$23:$B$24</definedName>
    <definedName name="solver_lhs3" localSheetId="16" hidden="1">'HW3'!$L$15:$L$18</definedName>
    <definedName name="solver_lhs3" localSheetId="5" hidden="1">LM_2!$J$15</definedName>
    <definedName name="solver_lhs3" localSheetId="14" hidden="1">MCNF!$L$20:$L$21</definedName>
    <definedName name="solver_lhs3" localSheetId="7" hidden="1">ProdPlanning!$B$20:$G$20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5" hidden="1">RedBrandLogistics!$K$20:$K$21</definedName>
    <definedName name="solver_lhs4" localSheetId="19" hidden="1">CapitalBudget!$B$10:$H$10</definedName>
    <definedName name="solver_lhs4" localSheetId="16" hidden="1">'HW3'!$L$6</definedName>
    <definedName name="solver_lhs4" localSheetId="14" hidden="1">MCNF!$L$9:$L$11</definedName>
    <definedName name="solver_lhs4" localSheetId="8" hidden="1">project!$I$22</definedName>
    <definedName name="solver_lhs4" localSheetId="15" hidden="1">RedBrandLogistics!$K$9:$K$11</definedName>
    <definedName name="solver_lhs5" localSheetId="19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19" hidden="1">2147483647</definedName>
    <definedName name="solver_mip" localSheetId="6" hidden="1">2147483647</definedName>
    <definedName name="solver_mip" localSheetId="28" hidden="1">2147483647</definedName>
    <definedName name="solver_mip" localSheetId="20" hidden="1">2147483647</definedName>
    <definedName name="solver_mip" localSheetId="21" hidden="1">2147483647</definedName>
    <definedName name="solver_mip" localSheetId="16" hidden="1">2147483647</definedName>
    <definedName name="solver_mip" localSheetId="5" hidden="1">2147483647</definedName>
    <definedName name="solver_mip" localSheetId="14" hidden="1">2147483647</definedName>
    <definedName name="solver_mip" localSheetId="7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5" hidden="1">2147483647</definedName>
    <definedName name="solver_mip" localSheetId="10" hidden="1">2147483647</definedName>
    <definedName name="solver_mip" localSheetId="22" hidden="1">2147483647</definedName>
    <definedName name="solver_mni" localSheetId="11" hidden="1">30</definedName>
    <definedName name="solver_mni" localSheetId="19" hidden="1">30</definedName>
    <definedName name="solver_mni" localSheetId="6" hidden="1">30</definedName>
    <definedName name="solver_mni" localSheetId="28" hidden="1">30</definedName>
    <definedName name="solver_mni" localSheetId="20" hidden="1">30</definedName>
    <definedName name="solver_mni" localSheetId="21" hidden="1">30</definedName>
    <definedName name="solver_mni" localSheetId="16" hidden="1">30</definedName>
    <definedName name="solver_mni" localSheetId="5" hidden="1">30</definedName>
    <definedName name="solver_mni" localSheetId="14" hidden="1">30</definedName>
    <definedName name="solver_mni" localSheetId="7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5" hidden="1">30</definedName>
    <definedName name="solver_mni" localSheetId="10" hidden="1">30</definedName>
    <definedName name="solver_mni" localSheetId="22" hidden="1">30</definedName>
    <definedName name="solver_mrt" localSheetId="11" hidden="1">0.075</definedName>
    <definedName name="solver_mrt" localSheetId="19" hidden="1">0.075</definedName>
    <definedName name="solver_mrt" localSheetId="6" hidden="1">0.075</definedName>
    <definedName name="solver_mrt" localSheetId="28" hidden="1">0.075</definedName>
    <definedName name="solver_mrt" localSheetId="20" hidden="1">0.075</definedName>
    <definedName name="solver_mrt" localSheetId="21" hidden="1">0.075</definedName>
    <definedName name="solver_mrt" localSheetId="16" hidden="1">0.075</definedName>
    <definedName name="solver_mrt" localSheetId="5" hidden="1">0.075</definedName>
    <definedName name="solver_mrt" localSheetId="14" hidden="1">0.075</definedName>
    <definedName name="solver_mrt" localSheetId="7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5" hidden="1">0.075</definedName>
    <definedName name="solver_mrt" localSheetId="10" hidden="1">0.075</definedName>
    <definedName name="solver_mrt" localSheetId="22" hidden="1">0.075</definedName>
    <definedName name="solver_msl" localSheetId="11" hidden="1">2</definedName>
    <definedName name="solver_msl" localSheetId="19" hidden="1">2</definedName>
    <definedName name="solver_msl" localSheetId="6" hidden="1">2</definedName>
    <definedName name="solver_msl" localSheetId="28" hidden="1">2</definedName>
    <definedName name="solver_msl" localSheetId="20" hidden="1">2</definedName>
    <definedName name="solver_msl" localSheetId="21" hidden="1">2</definedName>
    <definedName name="solver_msl" localSheetId="16" hidden="1">2</definedName>
    <definedName name="solver_msl" localSheetId="5" hidden="1">2</definedName>
    <definedName name="solver_msl" localSheetId="14" hidden="1">2</definedName>
    <definedName name="solver_msl" localSheetId="7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5" hidden="1">2</definedName>
    <definedName name="solver_msl" localSheetId="10" hidden="1">2</definedName>
    <definedName name="solver_msl" localSheetId="22" hidden="1">2</definedName>
    <definedName name="solver_neg" localSheetId="11" hidden="1">1</definedName>
    <definedName name="solver_neg" localSheetId="19" hidden="1">1</definedName>
    <definedName name="solver_neg" localSheetId="6" hidden="1">1</definedName>
    <definedName name="solver_neg" localSheetId="28" hidden="1">1</definedName>
    <definedName name="solver_neg" localSheetId="20" hidden="1">1</definedName>
    <definedName name="solver_neg" localSheetId="21" hidden="1">1</definedName>
    <definedName name="solver_neg" localSheetId="16" hidden="1">1</definedName>
    <definedName name="solver_neg" localSheetId="5" hidden="1">1</definedName>
    <definedName name="solver_neg" localSheetId="14" hidden="1">1</definedName>
    <definedName name="solver_neg" localSheetId="7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5" hidden="1">1</definedName>
    <definedName name="solver_neg" localSheetId="29" hidden="1">1</definedName>
    <definedName name="solver_neg" localSheetId="10" hidden="1">1</definedName>
    <definedName name="solver_neg" localSheetId="22" hidden="1">1</definedName>
    <definedName name="solver_nod" localSheetId="11" hidden="1">2147483647</definedName>
    <definedName name="solver_nod" localSheetId="19" hidden="1">2147483647</definedName>
    <definedName name="solver_nod" localSheetId="6" hidden="1">2147483647</definedName>
    <definedName name="solver_nod" localSheetId="28" hidden="1">2147483647</definedName>
    <definedName name="solver_nod" localSheetId="20" hidden="1">2147483647</definedName>
    <definedName name="solver_nod" localSheetId="21" hidden="1">2147483647</definedName>
    <definedName name="solver_nod" localSheetId="16" hidden="1">2147483647</definedName>
    <definedName name="solver_nod" localSheetId="5" hidden="1">2147483647</definedName>
    <definedName name="solver_nod" localSheetId="14" hidden="1">2147483647</definedName>
    <definedName name="solver_nod" localSheetId="7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5" hidden="1">2147483647</definedName>
    <definedName name="solver_nod" localSheetId="10" hidden="1">2147483647</definedName>
    <definedName name="solver_nod" localSheetId="22" hidden="1">2147483647</definedName>
    <definedName name="solver_num" localSheetId="11" hidden="1">2</definedName>
    <definedName name="solver_num" localSheetId="19" hidden="1">2</definedName>
    <definedName name="solver_num" localSheetId="6" hidden="1">1</definedName>
    <definedName name="solver_num" localSheetId="28" hidden="1">1</definedName>
    <definedName name="solver_num" localSheetId="20" hidden="1">3</definedName>
    <definedName name="solver_num" localSheetId="21" hidden="1">2</definedName>
    <definedName name="solver_num" localSheetId="16" hidden="1">4</definedName>
    <definedName name="solver_num" localSheetId="5" hidden="1">2</definedName>
    <definedName name="solver_num" localSheetId="14" hidden="1">2</definedName>
    <definedName name="solver_num" localSheetId="7" hidden="1">3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5" hidden="1">4</definedName>
    <definedName name="solver_num" localSheetId="29" hidden="1">0</definedName>
    <definedName name="solver_num" localSheetId="10" hidden="1">2</definedName>
    <definedName name="solver_num" localSheetId="22" hidden="1">2</definedName>
    <definedName name="solver_nwt" localSheetId="11" hidden="1">1</definedName>
    <definedName name="solver_nwt" localSheetId="19" hidden="1">1</definedName>
    <definedName name="solver_nwt" localSheetId="6" hidden="1">1</definedName>
    <definedName name="solver_nwt" localSheetId="28" hidden="1">1</definedName>
    <definedName name="solver_nwt" localSheetId="20" hidden="1">1</definedName>
    <definedName name="solver_nwt" localSheetId="21" hidden="1">1</definedName>
    <definedName name="solver_nwt" localSheetId="16" hidden="1">1</definedName>
    <definedName name="solver_nwt" localSheetId="5" hidden="1">1</definedName>
    <definedName name="solver_nwt" localSheetId="14" hidden="1">1</definedName>
    <definedName name="solver_nwt" localSheetId="7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5" hidden="1">1</definedName>
    <definedName name="solver_nwt" localSheetId="10" hidden="1">1</definedName>
    <definedName name="solver_nwt" localSheetId="22" hidden="1">1</definedName>
    <definedName name="solver_opt" localSheetId="11" hidden="1">AssignmentProblem!$B$22</definedName>
    <definedName name="solver_opt" localSheetId="19" hidden="1">CapitalBudget!$B$17</definedName>
    <definedName name="solver_opt" localSheetId="6" hidden="1">Dual!$M$5</definedName>
    <definedName name="solver_opt" localSheetId="28" hidden="1">EOQ!$J$13</definedName>
    <definedName name="solver_opt" localSheetId="20" hidden="1">FixedCost!$B$30</definedName>
    <definedName name="solver_opt" localSheetId="21" hidden="1">Hub!$B$39</definedName>
    <definedName name="solver_opt" localSheetId="16" hidden="1">'HW3'!$B$18</definedName>
    <definedName name="solver_opt" localSheetId="5" hidden="1">LM_2!$K$11</definedName>
    <definedName name="solver_opt" localSheetId="14" hidden="1">MCNF!$B$17</definedName>
    <definedName name="solver_opt" localSheetId="7" hidden="1">ProdPlanning!$H$28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5" hidden="1">RedBrandLogistics!$B$36</definedName>
    <definedName name="solver_opt" localSheetId="29" hidden="1">'SVM1'!$F$2</definedName>
    <definedName name="solver_opt" localSheetId="10" hidden="1">Transport1!$B$21</definedName>
    <definedName name="solver_opt" localSheetId="22" hidden="1">WorkerScheduling!$U$4</definedName>
    <definedName name="solver_pre" localSheetId="11" hidden="1">0.000001</definedName>
    <definedName name="solver_pre" localSheetId="19" hidden="1">0.000001</definedName>
    <definedName name="solver_pre" localSheetId="6" hidden="1">0.000001</definedName>
    <definedName name="solver_pre" localSheetId="28" hidden="1">0.000001</definedName>
    <definedName name="solver_pre" localSheetId="20" hidden="1">0.000001</definedName>
    <definedName name="solver_pre" localSheetId="21" hidden="1">0.000001</definedName>
    <definedName name="solver_pre" localSheetId="16" hidden="1">0.000001</definedName>
    <definedName name="solver_pre" localSheetId="5" hidden="1">0.000001</definedName>
    <definedName name="solver_pre" localSheetId="14" hidden="1">0.000001</definedName>
    <definedName name="solver_pre" localSheetId="7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5" hidden="1">0.000001</definedName>
    <definedName name="solver_pre" localSheetId="10" hidden="1">0.000001</definedName>
    <definedName name="solver_pre" localSheetId="22" hidden="1">0.000001</definedName>
    <definedName name="solver_rbv" localSheetId="11" hidden="1">1</definedName>
    <definedName name="solver_rbv" localSheetId="19" hidden="1">1</definedName>
    <definedName name="solver_rbv" localSheetId="6" hidden="1">1</definedName>
    <definedName name="solver_rbv" localSheetId="28" hidden="1">1</definedName>
    <definedName name="solver_rbv" localSheetId="20" hidden="1">1</definedName>
    <definedName name="solver_rbv" localSheetId="21" hidden="1">1</definedName>
    <definedName name="solver_rbv" localSheetId="16" hidden="1">2</definedName>
    <definedName name="solver_rbv" localSheetId="5" hidden="1">1</definedName>
    <definedName name="solver_rbv" localSheetId="14" hidden="1">1</definedName>
    <definedName name="solver_rbv" localSheetId="7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5" hidden="1">1</definedName>
    <definedName name="solver_rbv" localSheetId="10" hidden="1">1</definedName>
    <definedName name="solver_rbv" localSheetId="22" hidden="1">1</definedName>
    <definedName name="solver_rel1" localSheetId="11" hidden="1">2</definedName>
    <definedName name="solver_rel1" localSheetId="19" hidden="1">1</definedName>
    <definedName name="solver_rel1" localSheetId="6" hidden="1">3</definedName>
    <definedName name="solver_rel1" localSheetId="28" hidden="1">1</definedName>
    <definedName name="solver_rel1" localSheetId="20" hidden="1">5</definedName>
    <definedName name="solver_rel1" localSheetId="21" hidden="1">5</definedName>
    <definedName name="solver_rel1" localSheetId="16" hidden="1">1</definedName>
    <definedName name="solver_rel1" localSheetId="5" hidden="1">2</definedName>
    <definedName name="solver_rel1" localSheetId="14" hidden="1">1</definedName>
    <definedName name="solver_rel1" localSheetId="7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5" hidden="1">1</definedName>
    <definedName name="solver_rel1" localSheetId="10" hidden="1">3</definedName>
    <definedName name="solver_rel1" localSheetId="22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19" hidden="1">5</definedName>
    <definedName name="solver_rel2" localSheetId="20" hidden="1">1</definedName>
    <definedName name="solver_rel2" localSheetId="21" hidden="1">3</definedName>
    <definedName name="solver_rel2" localSheetId="16" hidden="1">2</definedName>
    <definedName name="solver_rel2" localSheetId="5" hidden="1">1</definedName>
    <definedName name="solver_rel2" localSheetId="14" hidden="1">2</definedName>
    <definedName name="solver_rel2" localSheetId="7" hidden="1">1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5" hidden="1">2</definedName>
    <definedName name="solver_rel2" localSheetId="10" hidden="1">1</definedName>
    <definedName name="solver_rel2" localSheetId="22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19" hidden="1">1</definedName>
    <definedName name="solver_rel3" localSheetId="20" hidden="1">1</definedName>
    <definedName name="solver_rel3" localSheetId="16" hidden="1">3</definedName>
    <definedName name="solver_rel3" localSheetId="5" hidden="1">1</definedName>
    <definedName name="solver_rel3" localSheetId="14" hidden="1">3</definedName>
    <definedName name="solver_rel3" localSheetId="7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5" hidden="1">3</definedName>
    <definedName name="solver_rel4" localSheetId="19" hidden="1">1</definedName>
    <definedName name="solver_rel4" localSheetId="16" hidden="1">2</definedName>
    <definedName name="solver_rel4" localSheetId="14" hidden="1">1</definedName>
    <definedName name="solver_rel4" localSheetId="8" hidden="1">1</definedName>
    <definedName name="solver_rel4" localSheetId="15" hidden="1">1</definedName>
    <definedName name="solver_rel5" localSheetId="19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19" hidden="1">CapitalBudget!$D$14</definedName>
    <definedName name="solver_rhs1" localSheetId="6" hidden="1">Dual!$O$6:$O$7</definedName>
    <definedName name="solver_rhs1" localSheetId="28" hidden="1">EOQ!$L$15</definedName>
    <definedName name="solver_rhs1" localSheetId="20" hidden="1">"binary"</definedName>
    <definedName name="solver_rhs1" localSheetId="21" hidden="1">binary</definedName>
    <definedName name="solver_rhs1" localSheetId="16" hidden="1">'HW3'!$G$6:$G$7</definedName>
    <definedName name="solver_rhs1" localSheetId="5" hidden="1">LM_2!$L$12:$L$14</definedName>
    <definedName name="solver_rhs1" localSheetId="14" hidden="1">MCNF!$F$8:$F$13</definedName>
    <definedName name="solver_rhs1" localSheetId="7" hidden="1">ProdPlanning!$B$14:$G$14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5" hidden="1">RedBrandLogistics!$F$8:$F$33</definedName>
    <definedName name="solver_rhs1" localSheetId="10" hidden="1">Transport1!$C$18:$F$18</definedName>
    <definedName name="solver_rhs1" localSheetId="22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19" hidden="1">"binary"</definedName>
    <definedName name="solver_rhs2" localSheetId="20" hidden="1">FixedCost!$B$17:$F$17</definedName>
    <definedName name="solver_rhs2" localSheetId="21" hidden="1">Hub!$D$25:$D$36</definedName>
    <definedName name="solver_rhs2" localSheetId="16" hidden="1">'HW3'!$N$10:$N$11</definedName>
    <definedName name="solver_rhs2" localSheetId="5" hidden="1">LM_2!$L$15</definedName>
    <definedName name="solver_rhs2" localSheetId="14" hidden="1">MCNF!$N$9:$N$13</definedName>
    <definedName name="solver_rhs2" localSheetId="7" hidden="1">ProdPlanning!$B$22:$G$22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5" hidden="1">RedBrandLogistics!$M$15:$M$16</definedName>
    <definedName name="solver_rhs2" localSheetId="10" hidden="1">Transport1!$I$13:$I$15</definedName>
    <definedName name="solver_rhs2" localSheetId="22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19" hidden="1">0</definedName>
    <definedName name="solver_rhs3" localSheetId="20" hidden="1">FixedCost!$D$23:$D$24</definedName>
    <definedName name="solver_rhs3" localSheetId="16" hidden="1">'HW3'!$N$15:$N$18</definedName>
    <definedName name="solver_rhs3" localSheetId="5" hidden="1">LM_2!$L$15</definedName>
    <definedName name="solver_rhs3" localSheetId="14" hidden="1">MCNF!$N$20:$N$21</definedName>
    <definedName name="solver_rhs3" localSheetId="7" hidden="1">0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5" hidden="1">RedBrandLogistics!$M$20:$M$21</definedName>
    <definedName name="solver_rhs4" localSheetId="19" hidden="1">1</definedName>
    <definedName name="solver_rhs4" localSheetId="16" hidden="1">'HW3'!$N$6</definedName>
    <definedName name="solver_rhs4" localSheetId="14" hidden="1">MCNF!$N$9:$N$11</definedName>
    <definedName name="solver_rhs4" localSheetId="8" hidden="1">project!$K$22</definedName>
    <definedName name="solver_rhs4" localSheetId="15" hidden="1">RedBrandLogistics!$M$9:$M$11</definedName>
    <definedName name="solver_rhs5" localSheetId="19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19" hidden="1">2</definedName>
    <definedName name="solver_rlx" localSheetId="6" hidden="1">2</definedName>
    <definedName name="solver_rlx" localSheetId="28" hidden="1">2</definedName>
    <definedName name="solver_rlx" localSheetId="20" hidden="1">2</definedName>
    <definedName name="solver_rlx" localSheetId="21" hidden="1">2</definedName>
    <definedName name="solver_rlx" localSheetId="16" hidden="1">2</definedName>
    <definedName name="solver_rlx" localSheetId="5" hidden="1">2</definedName>
    <definedName name="solver_rlx" localSheetId="14" hidden="1">2</definedName>
    <definedName name="solver_rlx" localSheetId="7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5" hidden="1">2</definedName>
    <definedName name="solver_rlx" localSheetId="10" hidden="1">2</definedName>
    <definedName name="solver_rlx" localSheetId="22" hidden="1">2</definedName>
    <definedName name="solver_rsd" localSheetId="11" hidden="1">0</definedName>
    <definedName name="solver_rsd" localSheetId="19" hidden="1">0</definedName>
    <definedName name="solver_rsd" localSheetId="6" hidden="1">0</definedName>
    <definedName name="solver_rsd" localSheetId="28" hidden="1">0</definedName>
    <definedName name="solver_rsd" localSheetId="20" hidden="1">0</definedName>
    <definedName name="solver_rsd" localSheetId="21" hidden="1">0</definedName>
    <definedName name="solver_rsd" localSheetId="16" hidden="1">0</definedName>
    <definedName name="solver_rsd" localSheetId="5" hidden="1">0</definedName>
    <definedName name="solver_rsd" localSheetId="14" hidden="1">0</definedName>
    <definedName name="solver_rsd" localSheetId="7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5" hidden="1">0</definedName>
    <definedName name="solver_rsd" localSheetId="10" hidden="1">0</definedName>
    <definedName name="solver_rsd" localSheetId="22" hidden="1">0</definedName>
    <definedName name="solver_scl" localSheetId="11" hidden="1">1</definedName>
    <definedName name="solver_scl" localSheetId="19" hidden="1">1</definedName>
    <definedName name="solver_scl" localSheetId="6" hidden="1">1</definedName>
    <definedName name="solver_scl" localSheetId="28" hidden="1">1</definedName>
    <definedName name="solver_scl" localSheetId="20" hidden="1">1</definedName>
    <definedName name="solver_scl" localSheetId="21" hidden="1">1</definedName>
    <definedName name="solver_scl" localSheetId="16" hidden="1">2</definedName>
    <definedName name="solver_scl" localSheetId="5" hidden="1">1</definedName>
    <definedName name="solver_scl" localSheetId="14" hidden="1">1</definedName>
    <definedName name="solver_scl" localSheetId="7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5" hidden="1">1</definedName>
    <definedName name="solver_scl" localSheetId="10" hidden="1">1</definedName>
    <definedName name="solver_scl" localSheetId="22" hidden="1">1</definedName>
    <definedName name="solver_sho" localSheetId="11" hidden="1">2</definedName>
    <definedName name="solver_sho" localSheetId="19" hidden="1">2</definedName>
    <definedName name="solver_sho" localSheetId="6" hidden="1">2</definedName>
    <definedName name="solver_sho" localSheetId="28" hidden="1">2</definedName>
    <definedName name="solver_sho" localSheetId="20" hidden="1">2</definedName>
    <definedName name="solver_sho" localSheetId="21" hidden="1">2</definedName>
    <definedName name="solver_sho" localSheetId="16" hidden="1">2</definedName>
    <definedName name="solver_sho" localSheetId="5" hidden="1">2</definedName>
    <definedName name="solver_sho" localSheetId="14" hidden="1">2</definedName>
    <definedName name="solver_sho" localSheetId="7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5" hidden="1">2</definedName>
    <definedName name="solver_sho" localSheetId="10" hidden="1">2</definedName>
    <definedName name="solver_sho" localSheetId="22" hidden="1">2</definedName>
    <definedName name="solver_ssz" localSheetId="11" hidden="1">100</definedName>
    <definedName name="solver_ssz" localSheetId="19" hidden="1">100</definedName>
    <definedName name="solver_ssz" localSheetId="6" hidden="1">100</definedName>
    <definedName name="solver_ssz" localSheetId="28" hidden="1">100</definedName>
    <definedName name="solver_ssz" localSheetId="20" hidden="1">100</definedName>
    <definedName name="solver_ssz" localSheetId="21" hidden="1">100</definedName>
    <definedName name="solver_ssz" localSheetId="16" hidden="1">100</definedName>
    <definedName name="solver_ssz" localSheetId="5" hidden="1">100</definedName>
    <definedName name="solver_ssz" localSheetId="14" hidden="1">100</definedName>
    <definedName name="solver_ssz" localSheetId="7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5" hidden="1">100</definedName>
    <definedName name="solver_ssz" localSheetId="10" hidden="1">100</definedName>
    <definedName name="solver_ssz" localSheetId="22" hidden="1">100</definedName>
    <definedName name="solver_tim" localSheetId="11" hidden="1">2147483647</definedName>
    <definedName name="solver_tim" localSheetId="19" hidden="1">2147483647</definedName>
    <definedName name="solver_tim" localSheetId="6" hidden="1">2147483647</definedName>
    <definedName name="solver_tim" localSheetId="28" hidden="1">2147483647</definedName>
    <definedName name="solver_tim" localSheetId="20" hidden="1">2147483647</definedName>
    <definedName name="solver_tim" localSheetId="21" hidden="1">2147483647</definedName>
    <definedName name="solver_tim" localSheetId="16" hidden="1">2147483647</definedName>
    <definedName name="solver_tim" localSheetId="5" hidden="1">2147483647</definedName>
    <definedName name="solver_tim" localSheetId="14" hidden="1">2147483647</definedName>
    <definedName name="solver_tim" localSheetId="7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5" hidden="1">2147483647</definedName>
    <definedName name="solver_tim" localSheetId="10" hidden="1">2147483647</definedName>
    <definedName name="solver_tim" localSheetId="22" hidden="1">2147483647</definedName>
    <definedName name="solver_tol" localSheetId="11" hidden="1">0.01</definedName>
    <definedName name="solver_tol" localSheetId="19" hidden="1">0.005</definedName>
    <definedName name="solver_tol" localSheetId="6" hidden="1">0.01</definedName>
    <definedName name="solver_tol" localSheetId="28" hidden="1">0.01</definedName>
    <definedName name="solver_tol" localSheetId="20" hidden="1">0.01</definedName>
    <definedName name="solver_tol" localSheetId="21" hidden="1">0.01</definedName>
    <definedName name="solver_tol" localSheetId="16" hidden="1">0.01</definedName>
    <definedName name="solver_tol" localSheetId="5" hidden="1">0.01</definedName>
    <definedName name="solver_tol" localSheetId="14" hidden="1">0.01</definedName>
    <definedName name="solver_tol" localSheetId="7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5" hidden="1">0.01</definedName>
    <definedName name="solver_tol" localSheetId="10" hidden="1">0.01</definedName>
    <definedName name="solver_tol" localSheetId="22" hidden="1">0.01</definedName>
    <definedName name="solver_typ" localSheetId="11" hidden="1">2</definedName>
    <definedName name="solver_typ" localSheetId="19" hidden="1">1</definedName>
    <definedName name="solver_typ" localSheetId="6" hidden="1">2</definedName>
    <definedName name="solver_typ" localSheetId="28" hidden="1">2</definedName>
    <definedName name="solver_typ" localSheetId="20" hidden="1">1</definedName>
    <definedName name="solver_typ" localSheetId="21" hidden="1">2</definedName>
    <definedName name="solver_typ" localSheetId="16" hidden="1">2</definedName>
    <definedName name="solver_typ" localSheetId="5" hidden="1">2</definedName>
    <definedName name="solver_typ" localSheetId="14" hidden="1">2</definedName>
    <definedName name="solver_typ" localSheetId="7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5" hidden="1">2</definedName>
    <definedName name="solver_typ" localSheetId="29" hidden="1">1</definedName>
    <definedName name="solver_typ" localSheetId="10" hidden="1">2</definedName>
    <definedName name="solver_typ" localSheetId="22" hidden="1">2</definedName>
    <definedName name="solver_val" localSheetId="11" hidden="1">0</definedName>
    <definedName name="solver_val" localSheetId="19" hidden="1">0</definedName>
    <definedName name="solver_val" localSheetId="6" hidden="1">0</definedName>
    <definedName name="solver_val" localSheetId="28" hidden="1">0</definedName>
    <definedName name="solver_val" localSheetId="20" hidden="1">0</definedName>
    <definedName name="solver_val" localSheetId="21" hidden="1">0</definedName>
    <definedName name="solver_val" localSheetId="16" hidden="1">0</definedName>
    <definedName name="solver_val" localSheetId="5" hidden="1">0</definedName>
    <definedName name="solver_val" localSheetId="14" hidden="1">0</definedName>
    <definedName name="solver_val" localSheetId="7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5" hidden="1">0</definedName>
    <definedName name="solver_val" localSheetId="29" hidden="1">0</definedName>
    <definedName name="solver_val" localSheetId="10" hidden="1">0</definedName>
    <definedName name="solver_val" localSheetId="22" hidden="1">0</definedName>
    <definedName name="solver_ver" localSheetId="11" hidden="1">3</definedName>
    <definedName name="solver_ver" localSheetId="19" hidden="1">3</definedName>
    <definedName name="solver_ver" localSheetId="6" hidden="1">3</definedName>
    <definedName name="solver_ver" localSheetId="28" hidden="1">3</definedName>
    <definedName name="solver_ver" localSheetId="20" hidden="1">3</definedName>
    <definedName name="solver_ver" localSheetId="21" hidden="1">3</definedName>
    <definedName name="solver_ver" localSheetId="16" hidden="1">3</definedName>
    <definedName name="solver_ver" localSheetId="5" hidden="1">3</definedName>
    <definedName name="solver_ver" localSheetId="14" hidden="1">3</definedName>
    <definedName name="solver_ver" localSheetId="7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5" hidden="1">3</definedName>
    <definedName name="solver_ver" localSheetId="29" hidden="1">3</definedName>
    <definedName name="solver_ver" localSheetId="10" hidden="1">3</definedName>
    <definedName name="solver_ver" localSheetId="22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31" l="1"/>
  <c r="K12" i="31"/>
  <c r="J15" i="37"/>
  <c r="J10" i="37"/>
  <c r="J6" i="37"/>
  <c r="K6" i="37"/>
  <c r="L6" i="37" l="1"/>
  <c r="K18" i="37" l="1"/>
  <c r="K15" i="37"/>
  <c r="K16" i="37"/>
  <c r="K17" i="37"/>
  <c r="K11" i="37"/>
  <c r="K10" i="37"/>
  <c r="J17" i="37"/>
  <c r="J16" i="37"/>
  <c r="J18" i="37"/>
  <c r="J11" i="37"/>
  <c r="J11" i="6"/>
  <c r="K9" i="31"/>
  <c r="K11" i="31"/>
  <c r="K10" i="31"/>
  <c r="I15" i="6"/>
  <c r="B17" i="31"/>
  <c r="B18" i="37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J10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6" i="37" l="1"/>
  <c r="L15" i="37"/>
  <c r="L10" i="37"/>
  <c r="L18" i="37"/>
  <c r="L11" i="37"/>
  <c r="L17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  <c r="D4" i="36"/>
  <c r="F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<sst xmlns="http://schemas.openxmlformats.org/spreadsheetml/2006/main" count="1017" uniqueCount="592">
  <si>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</si>
  <si>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</si>
  <si>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</si>
  <si>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</si>
  <si>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</si>
  <si>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</si>
  <si>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</si>
  <si>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</si>
  <si>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</si>
  <si>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</si>
  <si>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</si>
  <si>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</si>
  <si>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</si>
  <si>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</si>
  <si>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</si>
  <si>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</si>
  <si>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</si>
  <si>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</si>
  <si>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</si>
  <si>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</si>
  <si>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</si>
  <si>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</si>
  <si>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</si>
  <si>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</si>
  <si>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</si>
  <si>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</si>
  <si>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</si>
  <si>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</si>
  <si>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</si>
  <si>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</si>
  <si>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</si>
  <si>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</si>
  <si>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</si>
  <si>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</si>
  <si>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</si>
  <si>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</si>
  <si>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</si>
  <si>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</si>
  <si>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</si>
  <si>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</si>
  <si>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</si>
  <si>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</si>
  <si>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</si>
  <si>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</si>
  <si>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</si>
  <si>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</si>
  <si>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</si>
  <si>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</si>
  <si>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</si>
  <si>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</si>
  <si>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</si>
  <si>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</si>
  <si>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</si>
  <si>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</si>
  <si>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</si>
  <si>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</si>
  <si>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</si>
  <si>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</si>
  <si>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</si>
  <si>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</si>
  <si>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</si>
  <si>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</si>
  <si>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</si>
  <si>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</si>
  <si>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</si>
  <si>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</si>
  <si>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</si>
  <si>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</si>
  <si>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</si>
  <si>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</si>
  <si>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</si>
  <si>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</si>
  <si>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</si>
  <si>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</si>
  <si>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</si>
  <si>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</si>
  <si>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</si>
  <si>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</si>
  <si>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</si>
  <si>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</si>
  <si>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</si>
  <si>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</si>
  <si>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</si>
  <si>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</si>
  <si>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</si>
  <si>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</si>
  <si>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</si>
  <si>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</si>
  <si>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</si>
  <si>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</si>
  <si>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</si>
  <si>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</si>
  <si>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</si>
  <si>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</si>
  <si>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</si>
  <si>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</si>
  <si>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</si>
  <si>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</si>
  <si>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</si>
  <si>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</si>
  <si>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</si>
  <si>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</si>
  <si>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</si>
  <si>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</si>
  <si>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</si>
  <si>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</si>
  <si>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</si>
  <si>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</si>
  <si>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</si>
  <si>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</si>
  <si>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</si>
  <si>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</si>
  <si>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</si>
  <si>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</si>
  <si>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</si>
  <si>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</si>
  <si>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</si>
  <si>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</si>
  <si>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</si>
  <si>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</si>
  <si>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</si>
  <si>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</si>
  <si>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</si>
  <si>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</si>
  <si>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</si>
  <si>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</si>
  <si>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</si>
  <si>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</si>
  <si>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</si>
  <si>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</si>
  <si>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</si>
  <si>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</si>
  <si>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</si>
  <si>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</si>
  <si>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</si>
  <si>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</si>
  <si>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</si>
  <si>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</si>
  <si>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</si>
  <si>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</si>
  <si>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</si>
  <si>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</si>
  <si>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</si>
  <si>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</si>
  <si>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</si>
  <si>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</si>
  <si>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</si>
  <si>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</si>
  <si>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</si>
  <si>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</si>
  <si>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</si>
  <si>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</si>
  <si>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</si>
  <si>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</si>
  <si>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</si>
  <si>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</si>
  <si>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</si>
  <si>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</si>
  <si>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</si>
  <si>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</si>
  <si>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</si>
  <si>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</si>
  <si>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</si>
  <si>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</si>
  <si>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</si>
  <si>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</si>
  <si>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</si>
  <si>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</si>
  <si>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</si>
  <si>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</si>
  <si>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</si>
  <si>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</si>
  <si>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</si>
  <si>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</si>
  <si>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</si>
  <si>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</si>
  <si>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</si>
  <si>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</si>
  <si>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</si>
  <si>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</si>
  <si>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</si>
  <si>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</si>
  <si>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</si>
  <si>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</si>
  <si>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</si>
  <si>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</si>
  <si>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</si>
  <si>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</si>
  <si>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</si>
  <si>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</si>
  <si>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</si>
  <si>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</si>
  <si>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</si>
  <si>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</si>
  <si>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</si>
  <si>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</si>
  <si>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</si>
  <si>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</si>
  <si>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</si>
  <si>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</si>
  <si>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</si>
  <si>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</si>
  <si>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</si>
  <si>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</si>
  <si>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</si>
  <si>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</si>
  <si>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</si>
  <si>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</si>
  <si>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</si>
  <si>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</si>
  <si>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</si>
  <si>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</si>
  <si>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</si>
  <si>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</si>
  <si>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</si>
  <si>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</si>
  <si>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</si>
  <si>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</si>
  <si>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</si>
  <si>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</si>
  <si>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</si>
  <si>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</si>
  <si>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</si>
  <si>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</si>
  <si>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</si>
  <si>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</si>
  <si>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</si>
  <si>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</si>
  <si>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</si>
  <si>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</si>
  <si>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</si>
  <si>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</si>
  <si>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</si>
  <si>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</si>
  <si>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</si>
  <si>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</si>
  <si>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</si>
  <si>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</si>
  <si>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</si>
  <si>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</si>
  <si>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</si>
  <si>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</si>
  <si>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</si>
  <si>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</si>
  <si>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</si>
  <si>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</si>
  <si>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</si>
  <si>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</si>
  <si>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</si>
  <si>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</si>
  <si>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</si>
  <si>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</si>
  <si>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</si>
  <si>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</si>
  <si>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</si>
  <si>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</si>
  <si>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</si>
  <si>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</si>
  <si>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</si>
  <si>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</si>
  <si>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</si>
  <si>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</si>
  <si>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</si>
  <si>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</si>
  <si>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</si>
  <si>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</si>
  <si>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</si>
  <si>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</si>
  <si>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</si>
  <si>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</si>
  <si>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</si>
  <si>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</si>
  <si>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</si>
  <si>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</si>
  <si>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</si>
  <si>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</si>
  <si>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</si>
  <si>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</si>
  <si>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</si>
  <si>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</si>
  <si>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</si>
  <si>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</si>
  <si>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</si>
  <si>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</si>
  <si>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</si>
  <si>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</si>
  <si>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</si>
  <si>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</si>
  <si>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</si>
  <si>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</si>
  <si>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</si>
  <si>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</si>
  <si>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</si>
  <si>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</si>
  <si>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</si>
  <si>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</si>
  <si>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</si>
  <si>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</si>
  <si>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</si>
  <si>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</si>
  <si>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</si>
  <si>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</si>
  <si>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</si>
  <si>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</si>
  <si>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</si>
  <si>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</si>
  <si>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</si>
  <si>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</si>
  <si>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</si>
  <si>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</si>
  <si>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</si>
  <si>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</si>
  <si>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</si>
  <si>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</si>
  <si>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</si>
  <si>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</si>
  <si>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</si>
  <si>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</si>
  <si>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</si>
  <si>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</si>
  <si>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</si>
  <si>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</si>
  <si>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</si>
  <si>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</si>
  <si>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</si>
  <si>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</si>
  <si>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</si>
  <si>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</si>
  <si>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</si>
  <si>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</si>
  <si>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</si>
  <si>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</si>
  <si>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</si>
  <si>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</si>
  <si>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</si>
  <si>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</si>
  <si>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</si>
  <si>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</si>
  <si>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</si>
  <si>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</si>
  <si>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</si>
  <si>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</si>
  <si>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</si>
  <si>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</si>
  <si>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</si>
  <si>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</si>
  <si>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</si>
  <si>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</si>
  <si>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</si>
  <si>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</si>
  <si>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</si>
  <si>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</si>
  <si>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</si>
  <si>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</si>
  <si>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</si>
  <si>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</si>
  <si>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</si>
  <si>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</si>
  <si>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</si>
  <si>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</si>
  <si>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</si>
  <si>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</si>
  <si>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</si>
  <si>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</si>
  <si>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</si>
  <si>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</si>
  <si>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</si>
  <si>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</si>
  <si>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</si>
  <si>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</si>
  <si>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</si>
  <si>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</si>
  <si>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</si>
  <si>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</si>
  <si>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</si>
  <si>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</si>
  <si>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</si>
  <si>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</si>
  <si>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</si>
  <si>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</si>
  <si>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</si>
  <si>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</si>
  <si>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</si>
  <si>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</si>
  <si>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</si>
  <si>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</si>
  <si>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</si>
  <si>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</si>
  <si>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</si>
  <si>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</si>
  <si>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</si>
  <si>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</si>
  <si>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</si>
  <si>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</si>
  <si>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</si>
  <si>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</si>
  <si>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</si>
  <si>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</si>
  <si>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Order frequency (order/year)</t>
  </si>
  <si>
    <t>Avg inv (unit)</t>
  </si>
  <si>
    <t>Avg holding cost (THB/year)</t>
  </si>
  <si>
    <t>Avg setup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</si>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</sst>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  <numFmt numFmtId="172" formatCode="&quot;฿&quot;#,##0.00"/>
    <numFmt numFmtId="176" formatCode="_(* #,##0_);_(* \(#,##0\);_(* &quot;-&quot;??_);_(@_)"/>
  </numFmts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7">
    <xf numFmtId="0" fontId="0" fillId="0" borderId="0"/>
    <xf numFmtId="0" fontId="2" fillId="0" borderId="0"/>
    <xf numFmtId="8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44" fontId="10" fillId="0" borderId="0" applyFont="0" applyFill="0" applyBorder="0" applyAlignment="0" applyProtection="0"/>
    <xf numFmtId="0" fontId="26" fillId="0" borderId="16" applyNumberFormat="0" applyFill="0" applyAlignment="0" applyProtection="0"/>
    <xf numFmtId="43" fontId="10" fillId="0" borderId="0" applyFont="0" applyFill="0" applyBorder="0" applyAlignment="0" applyProtection="0"/>
  </cellStyleXfs>
  <cellXfs count="11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65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66" fontId="4" fillId="0" borderId="0" xfId="1" applyNumberFormat="1" applyFont="1"/>
    <xf numFmtId="0" fontId="4" fillId="0" borderId="0" xfId="1" quotePrefix="1" applyFont="1" applyAlignment="1">
      <alignment horizontal="left"/>
    </xf>
    <xf numFmtId="8" fontId="4" fillId="2" borderId="0" xfId="2" applyFont="1" applyFill="1" applyBorder="1"/>
    <xf numFmtId="167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64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68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5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5" fontId="4" fillId="0" borderId="0" xfId="1" applyNumberFormat="1" applyFont="1"/>
    <xf numFmtId="168" fontId="4" fillId="2" borderId="0" xfId="1" applyNumberFormat="1" applyFont="1" applyFill="1"/>
    <xf numFmtId="2" fontId="4" fillId="0" borderId="0" xfId="1" applyNumberFormat="1" applyFont="1"/>
    <xf numFmtId="6" fontId="4" fillId="0" borderId="0" xfId="1" applyNumberFormat="1" applyFont="1"/>
    <xf numFmtId="6" fontId="4" fillId="0" borderId="0" xfId="1" applyNumberFormat="1" applyFont="1" applyAlignment="1">
      <alignment horizontal="right"/>
    </xf>
    <xf numFmtId="168" fontId="4" fillId="0" borderId="0" xfId="1" applyNumberFormat="1" applyFont="1" applyAlignment="1">
      <alignment horizontal="right"/>
    </xf>
    <xf numFmtId="168" fontId="4" fillId="0" borderId="0" xfId="1" quotePrefix="1" applyNumberFormat="1" applyFont="1" applyAlignment="1">
      <alignment horizontal="center"/>
    </xf>
    <xf numFmtId="6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2" fontId="4" fillId="5" borderId="0" xfId="1" applyNumberFormat="1" applyFont="1" applyFill="1"/>
    <xf numFmtId="6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6" fontId="4" fillId="2" borderId="0" xfId="1" applyNumberFormat="1" applyFont="1" applyFill="1" applyAlignment="1">
      <alignment horizontal="right"/>
    </xf>
    <xf numFmtId="8" fontId="4" fillId="0" borderId="0" xfId="1" applyNumberFormat="1" applyFont="1"/>
    <xf numFmtId="7" fontId="4" fillId="0" borderId="0" xfId="1" applyNumberFormat="1" applyFont="1"/>
    <xf numFmtId="169" fontId="4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4" fillId="0" borderId="0" xfId="1" applyNumberFormat="1" applyFont="1" applyAlignment="1">
      <alignment horizontal="right"/>
    </xf>
    <xf numFmtId="169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172" fontId="4" fillId="0" borderId="0" xfId="1" applyNumberFormat="1" applyFont="1"/>
    <xf numFmtId="168" fontId="4" fillId="8" borderId="0" xfId="1" applyNumberFormat="1" applyFont="1" applyFill="1"/>
    <xf numFmtId="172" fontId="4" fillId="8" borderId="0" xfId="1" applyNumberFormat="1" applyFont="1" applyFill="1"/>
    <xf numFmtId="43" fontId="4" fillId="0" borderId="0" xfId="6" applyFont="1"/>
    <xf numFmtId="43" fontId="4" fillId="8" borderId="11" xfId="6" applyFont="1" applyFill="1" applyBorder="1"/>
    <xf numFmtId="0" fontId="0" fillId="0" borderId="0" xfId="0" applyAlignment="1">
      <alignment horizontal="left"/>
    </xf>
    <xf numFmtId="176" fontId="0" fillId="0" borderId="0" xfId="6" applyNumberFormat="1" applyFont="1" applyAlignment="1">
      <alignment horizontal="left" indent="2"/>
    </xf>
    <xf numFmtId="176" fontId="0" fillId="0" borderId="0" xfId="0" applyNumberFormat="1"/>
    <xf numFmtId="176" fontId="0" fillId="0" borderId="0" xfId="6" applyNumberFormat="1" applyFont="1" applyAlignment="1">
      <alignment horizontal="right" indent="2"/>
    </xf>
    <xf numFmtId="0" fontId="0" fillId="9" borderId="0" xfId="0" applyFill="1"/>
    <xf numFmtId="176" fontId="0" fillId="0" borderId="0" xfId="6" applyNumberFormat="1" applyFont="1"/>
    <xf numFmtId="0" fontId="0" fillId="6" borderId="0" xfId="6" applyNumberFormat="1" applyFont="1" applyFill="1" applyAlignment="1">
      <alignment horizontal="left" indent="2"/>
    </xf>
  </cellXfs>
  <cellStyles count="7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479</v>
      </c>
    </row>
    <row r="2" spans="1:8">
      <c r="A2" s="1" t="s">
        <v>504</v>
      </c>
    </row>
    <row r="3" spans="1:8">
      <c r="A3" s="1" t="s">
        <v>505</v>
      </c>
    </row>
    <row r="6" spans="1:8" ht="15.75" thickBot="1">
      <c r="A6" t="s">
        <v>480</v>
      </c>
    </row>
    <row r="7" spans="1:8">
      <c r="B7" s="100"/>
      <c r="C7" s="100"/>
      <c r="D7" s="100" t="s">
        <v>483</v>
      </c>
      <c r="E7" s="100" t="s">
        <v>485</v>
      </c>
      <c r="F7" s="100" t="s">
        <v>486</v>
      </c>
      <c r="G7" s="100" t="s">
        <v>488</v>
      </c>
      <c r="H7" s="100" t="s">
        <v>488</v>
      </c>
    </row>
    <row r="8" spans="1:8" ht="15.75" thickBot="1">
      <c r="B8" s="101" t="s">
        <v>481</v>
      </c>
      <c r="C8" s="101" t="s">
        <v>482</v>
      </c>
      <c r="D8" s="101" t="s">
        <v>484</v>
      </c>
      <c r="E8" s="101" t="s">
        <v>294</v>
      </c>
      <c r="F8" s="101" t="s">
        <v>487</v>
      </c>
      <c r="G8" s="101" t="s">
        <v>489</v>
      </c>
      <c r="H8" s="101" t="s">
        <v>490</v>
      </c>
    </row>
    <row r="9" spans="1:8">
      <c r="B9" s="98" t="s">
        <v>496</v>
      </c>
      <c r="C9" s="98" t="s">
        <v>497</v>
      </c>
      <c r="D9" s="98">
        <v>560</v>
      </c>
      <c r="E9" s="98">
        <v>0</v>
      </c>
      <c r="F9" s="98">
        <v>80</v>
      </c>
      <c r="G9" s="98">
        <v>27.499999999999986</v>
      </c>
      <c r="H9" s="98">
        <v>80</v>
      </c>
    </row>
    <row r="10" spans="1:8" ht="15.75" thickBot="1">
      <c r="B10" s="99" t="s">
        <v>498</v>
      </c>
      <c r="C10" s="99" t="s">
        <v>499</v>
      </c>
      <c r="D10" s="99">
        <v>1200</v>
      </c>
      <c r="E10" s="99">
        <v>32.999999999999986</v>
      </c>
      <c r="F10" s="99">
        <v>129</v>
      </c>
      <c r="G10" s="99">
        <v>1E+30</v>
      </c>
      <c r="H10" s="99">
        <v>32.999999999999986</v>
      </c>
    </row>
    <row r="12" spans="1:8" ht="15.75" thickBot="1">
      <c r="A12" t="s">
        <v>491</v>
      </c>
    </row>
    <row r="13" spans="1:8">
      <c r="B13" s="100"/>
      <c r="C13" s="100"/>
      <c r="D13" s="100" t="s">
        <v>483</v>
      </c>
      <c r="E13" s="100" t="s">
        <v>492</v>
      </c>
      <c r="F13" s="100" t="s">
        <v>494</v>
      </c>
      <c r="G13" s="100" t="s">
        <v>488</v>
      </c>
      <c r="H13" s="100" t="s">
        <v>488</v>
      </c>
    </row>
    <row r="14" spans="1:8" ht="15.75" thickBot="1">
      <c r="B14" s="101" t="s">
        <v>481</v>
      </c>
      <c r="C14" s="101" t="s">
        <v>482</v>
      </c>
      <c r="D14" s="101" t="s">
        <v>484</v>
      </c>
      <c r="E14" s="101" t="s">
        <v>493</v>
      </c>
      <c r="F14" s="101" t="s">
        <v>495</v>
      </c>
      <c r="G14" s="101" t="s">
        <v>489</v>
      </c>
      <c r="H14" s="101" t="s">
        <v>490</v>
      </c>
    </row>
    <row r="15" spans="1:8">
      <c r="B15" s="98" t="s">
        <v>500</v>
      </c>
      <c r="C15" s="98" t="s">
        <v>501</v>
      </c>
      <c r="D15" s="98">
        <v>10000</v>
      </c>
      <c r="E15" s="98">
        <v>16</v>
      </c>
      <c r="F15" s="98">
        <v>10000</v>
      </c>
      <c r="G15" s="98">
        <v>200</v>
      </c>
      <c r="H15" s="98">
        <v>2800</v>
      </c>
    </row>
    <row r="16" spans="1:8" ht="15.75" thickBot="1">
      <c r="B16" s="99" t="s">
        <v>502</v>
      </c>
      <c r="C16" s="99" t="s">
        <v>503</v>
      </c>
      <c r="D16" s="99">
        <v>2960</v>
      </c>
      <c r="E16" s="99">
        <v>0</v>
      </c>
      <c r="F16" s="99">
        <v>3000</v>
      </c>
      <c r="G16" s="99">
        <v>1E+30</v>
      </c>
      <c r="H16" s="99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476</v>
      </c>
    </row>
    <row r="26" spans="1:5">
      <c r="D26">
        <f>SUMPRODUCT(B12:C12,B16:C16)</f>
        <v>199600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D26" sqref="D26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478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478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476</v>
      </c>
    </row>
    <row r="26" spans="1:5">
      <c r="D26">
        <f>SUMPRODUCT(B12:D12,B16:D16)</f>
        <v>200285.71428571429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479</v>
      </c>
    </row>
    <row r="2" spans="1:8">
      <c r="A2" s="1" t="s">
        <v>506</v>
      </c>
    </row>
    <row r="3" spans="1:8">
      <c r="A3" s="1" t="s">
        <v>507</v>
      </c>
    </row>
    <row r="6" spans="1:8" ht="15.75" thickBot="1">
      <c r="A6" t="s">
        <v>480</v>
      </c>
    </row>
    <row r="7" spans="1:8">
      <c r="B7" s="100"/>
      <c r="C7" s="100"/>
      <c r="D7" s="100" t="s">
        <v>483</v>
      </c>
      <c r="E7" s="100" t="s">
        <v>485</v>
      </c>
      <c r="F7" s="100" t="s">
        <v>486</v>
      </c>
      <c r="G7" s="100" t="s">
        <v>488</v>
      </c>
      <c r="H7" s="100" t="s">
        <v>488</v>
      </c>
    </row>
    <row r="8" spans="1:8" ht="15.75" thickBot="1">
      <c r="B8" s="101" t="s">
        <v>481</v>
      </c>
      <c r="C8" s="101" t="s">
        <v>482</v>
      </c>
      <c r="D8" s="101" t="s">
        <v>484</v>
      </c>
      <c r="E8" s="101" t="s">
        <v>294</v>
      </c>
      <c r="F8" s="101" t="s">
        <v>487</v>
      </c>
      <c r="G8" s="101" t="s">
        <v>489</v>
      </c>
      <c r="H8" s="101" t="s">
        <v>490</v>
      </c>
    </row>
    <row r="9" spans="1:8">
      <c r="B9" s="98" t="s">
        <v>508</v>
      </c>
      <c r="C9" s="98" t="s">
        <v>509</v>
      </c>
      <c r="D9" s="98">
        <v>1500</v>
      </c>
      <c r="E9" s="98">
        <v>0</v>
      </c>
      <c r="F9" s="98">
        <v>127.5</v>
      </c>
      <c r="G9" s="98">
        <v>1E+30</v>
      </c>
      <c r="H9" s="98">
        <v>2.1249999999999698</v>
      </c>
    </row>
    <row r="10" spans="1:8">
      <c r="B10" s="98" t="s">
        <v>510</v>
      </c>
      <c r="C10" s="98" t="s">
        <v>511</v>
      </c>
      <c r="D10" s="98">
        <v>0</v>
      </c>
      <c r="E10" s="98">
        <v>-20</v>
      </c>
      <c r="F10" s="98">
        <v>132</v>
      </c>
      <c r="G10" s="98">
        <v>20</v>
      </c>
      <c r="H10" s="98">
        <v>1E+30</v>
      </c>
    </row>
    <row r="11" spans="1:8">
      <c r="B11" s="98" t="s">
        <v>512</v>
      </c>
      <c r="C11" s="98" t="s">
        <v>513</v>
      </c>
      <c r="D11" s="98">
        <v>0</v>
      </c>
      <c r="E11" s="98">
        <v>-10</v>
      </c>
      <c r="F11" s="98">
        <v>142</v>
      </c>
      <c r="G11" s="98">
        <v>10</v>
      </c>
      <c r="H11" s="98">
        <v>1E+30</v>
      </c>
    </row>
    <row r="12" spans="1:8">
      <c r="B12" s="98" t="s">
        <v>514</v>
      </c>
      <c r="C12" s="98" t="s">
        <v>515</v>
      </c>
      <c r="D12" s="98">
        <v>124.99999999999989</v>
      </c>
      <c r="E12" s="98">
        <v>0</v>
      </c>
      <c r="F12" s="98">
        <v>152</v>
      </c>
      <c r="G12" s="98">
        <v>2.8333333333332922</v>
      </c>
      <c r="H12" s="98">
        <v>1.7000000000000235</v>
      </c>
    </row>
    <row r="13" spans="1:8">
      <c r="B13" s="98" t="s">
        <v>516</v>
      </c>
      <c r="C13" s="98" t="s">
        <v>517</v>
      </c>
      <c r="D13" s="98">
        <v>0</v>
      </c>
      <c r="E13" s="98">
        <v>-25.875000000000028</v>
      </c>
      <c r="F13" s="98">
        <v>142</v>
      </c>
      <c r="G13" s="98">
        <v>25.875000000000028</v>
      </c>
      <c r="H13" s="98">
        <v>1E+30</v>
      </c>
    </row>
    <row r="14" spans="1:8">
      <c r="B14" s="98" t="s">
        <v>518</v>
      </c>
      <c r="C14" s="98" t="s">
        <v>519</v>
      </c>
      <c r="D14" s="98">
        <v>0</v>
      </c>
      <c r="E14" s="98">
        <v>-2.1250000000000293</v>
      </c>
      <c r="F14" s="98">
        <v>167</v>
      </c>
      <c r="G14" s="98">
        <v>2.1250000000000293</v>
      </c>
      <c r="H14" s="98">
        <v>1E+30</v>
      </c>
    </row>
    <row r="15" spans="1:8">
      <c r="B15" s="98" t="s">
        <v>520</v>
      </c>
      <c r="C15" s="98" t="s">
        <v>521</v>
      </c>
      <c r="D15" s="98">
        <v>1000</v>
      </c>
      <c r="E15" s="98">
        <v>0</v>
      </c>
      <c r="F15" s="98">
        <v>172</v>
      </c>
      <c r="G15" s="98">
        <v>1E+30</v>
      </c>
      <c r="H15" s="98">
        <v>4.1249999999999742</v>
      </c>
    </row>
    <row r="16" spans="1:8">
      <c r="B16" s="98" t="s">
        <v>522</v>
      </c>
      <c r="C16" s="98" t="s">
        <v>523</v>
      </c>
      <c r="D16" s="98">
        <v>0</v>
      </c>
      <c r="E16" s="98">
        <v>-6.7500000000000586</v>
      </c>
      <c r="F16" s="98">
        <v>177</v>
      </c>
      <c r="G16" s="98">
        <v>6.7500000000000586</v>
      </c>
      <c r="H16" s="98">
        <v>1E+30</v>
      </c>
    </row>
    <row r="17" spans="1:8">
      <c r="B17" s="98" t="s">
        <v>524</v>
      </c>
      <c r="C17" s="98" t="s">
        <v>525</v>
      </c>
      <c r="D17" s="98">
        <v>0</v>
      </c>
      <c r="E17" s="98">
        <v>-2.1249999999999698</v>
      </c>
      <c r="F17" s="98">
        <v>122</v>
      </c>
      <c r="G17" s="98">
        <v>2.1249999999999698</v>
      </c>
      <c r="H17" s="98">
        <v>1E+30</v>
      </c>
    </row>
    <row r="18" spans="1:8">
      <c r="B18" s="98" t="s">
        <v>526</v>
      </c>
      <c r="C18" s="98" t="s">
        <v>527</v>
      </c>
      <c r="D18" s="98">
        <v>0</v>
      </c>
      <c r="E18" s="98">
        <v>-20</v>
      </c>
      <c r="F18" s="98">
        <v>127.5</v>
      </c>
      <c r="G18" s="98">
        <v>20</v>
      </c>
      <c r="H18" s="98">
        <v>1E+30</v>
      </c>
    </row>
    <row r="19" spans="1:8">
      <c r="B19" s="98" t="s">
        <v>528</v>
      </c>
      <c r="C19" s="98" t="s">
        <v>529</v>
      </c>
      <c r="D19" s="98">
        <v>0</v>
      </c>
      <c r="E19" s="98">
        <v>-10</v>
      </c>
      <c r="F19" s="98">
        <v>137.5</v>
      </c>
      <c r="G19" s="98">
        <v>10</v>
      </c>
      <c r="H19" s="98">
        <v>1E+30</v>
      </c>
    </row>
    <row r="20" spans="1:8">
      <c r="B20" s="98" t="s">
        <v>530</v>
      </c>
      <c r="C20" s="98" t="s">
        <v>531</v>
      </c>
      <c r="D20" s="98">
        <v>474.99999999999994</v>
      </c>
      <c r="E20" s="98">
        <v>0</v>
      </c>
      <c r="F20" s="98">
        <v>147.5</v>
      </c>
      <c r="G20" s="98">
        <v>1.1363636363636362</v>
      </c>
      <c r="H20" s="98">
        <v>2.083333333333333</v>
      </c>
    </row>
    <row r="21" spans="1:8">
      <c r="B21" s="98" t="s">
        <v>532</v>
      </c>
      <c r="C21" s="98" t="s">
        <v>533</v>
      </c>
      <c r="D21" s="98">
        <v>0</v>
      </c>
      <c r="E21" s="98">
        <v>-23.75</v>
      </c>
      <c r="F21" s="98">
        <v>138.5</v>
      </c>
      <c r="G21" s="98">
        <v>23.75</v>
      </c>
      <c r="H21" s="98">
        <v>1E+30</v>
      </c>
    </row>
    <row r="22" spans="1:8">
      <c r="B22" s="98" t="s">
        <v>534</v>
      </c>
      <c r="C22" s="98" t="s">
        <v>535</v>
      </c>
      <c r="D22" s="98">
        <v>1000</v>
      </c>
      <c r="E22" s="98">
        <v>0</v>
      </c>
      <c r="F22" s="98">
        <v>163.5</v>
      </c>
      <c r="G22" s="98">
        <v>1E+30</v>
      </c>
      <c r="H22" s="98">
        <v>1.25</v>
      </c>
    </row>
    <row r="23" spans="1:8">
      <c r="B23" s="98" t="s">
        <v>536</v>
      </c>
      <c r="C23" s="98" t="s">
        <v>537</v>
      </c>
      <c r="D23" s="98">
        <v>0</v>
      </c>
      <c r="E23" s="98">
        <v>-6.3749999999999707</v>
      </c>
      <c r="F23" s="98">
        <v>160</v>
      </c>
      <c r="G23" s="98">
        <v>6.3749999999999707</v>
      </c>
      <c r="H23" s="98">
        <v>1E+30</v>
      </c>
    </row>
    <row r="24" spans="1:8" ht="15.75" thickBot="1">
      <c r="B24" s="99" t="s">
        <v>538</v>
      </c>
      <c r="C24" s="99" t="s">
        <v>539</v>
      </c>
      <c r="D24" s="99">
        <v>0</v>
      </c>
      <c r="E24" s="99">
        <v>-2.5</v>
      </c>
      <c r="F24" s="99">
        <v>174.5</v>
      </c>
      <c r="G24" s="99">
        <v>2.5</v>
      </c>
      <c r="H24" s="99">
        <v>1E+30</v>
      </c>
    </row>
    <row r="26" spans="1:8" ht="15.75" thickBot="1">
      <c r="A26" t="s">
        <v>491</v>
      </c>
    </row>
    <row r="27" spans="1:8">
      <c r="B27" s="100"/>
      <c r="C27" s="100"/>
      <c r="D27" s="100" t="s">
        <v>483</v>
      </c>
      <c r="E27" s="100" t="s">
        <v>492</v>
      </c>
      <c r="F27" s="100" t="s">
        <v>494</v>
      </c>
      <c r="G27" s="100" t="s">
        <v>488</v>
      </c>
      <c r="H27" s="100" t="s">
        <v>488</v>
      </c>
    </row>
    <row r="28" spans="1:8" ht="15.75" thickBot="1">
      <c r="B28" s="101" t="s">
        <v>481</v>
      </c>
      <c r="C28" s="101" t="s">
        <v>482</v>
      </c>
      <c r="D28" s="101" t="s">
        <v>484</v>
      </c>
      <c r="E28" s="101" t="s">
        <v>493</v>
      </c>
      <c r="F28" s="101" t="s">
        <v>495</v>
      </c>
      <c r="G28" s="101" t="s">
        <v>489</v>
      </c>
      <c r="H28" s="101" t="s">
        <v>490</v>
      </c>
    </row>
    <row r="29" spans="1:8">
      <c r="B29" s="98" t="s">
        <v>500</v>
      </c>
      <c r="C29" s="98" t="s">
        <v>540</v>
      </c>
      <c r="D29" s="98">
        <v>1500</v>
      </c>
      <c r="E29" s="98">
        <v>6.1249999999999698</v>
      </c>
      <c r="F29" s="98">
        <v>1500</v>
      </c>
      <c r="G29" s="98">
        <v>166.66666666666646</v>
      </c>
      <c r="H29" s="98">
        <v>812.50000000000011</v>
      </c>
    </row>
    <row r="30" spans="1:8">
      <c r="B30" s="98" t="s">
        <v>541</v>
      </c>
      <c r="C30" s="98" t="s">
        <v>542</v>
      </c>
      <c r="D30" s="98">
        <v>0</v>
      </c>
      <c r="E30" s="98">
        <v>0</v>
      </c>
      <c r="F30" s="98">
        <v>1250</v>
      </c>
      <c r="G30" s="98">
        <v>1E+30</v>
      </c>
      <c r="H30" s="98">
        <v>1250</v>
      </c>
    </row>
    <row r="31" spans="1:8">
      <c r="B31" s="98" t="s">
        <v>543</v>
      </c>
      <c r="C31" s="98" t="s">
        <v>544</v>
      </c>
      <c r="D31" s="98">
        <v>0</v>
      </c>
      <c r="E31" s="98">
        <v>0</v>
      </c>
      <c r="F31" s="98">
        <v>1250</v>
      </c>
      <c r="G31" s="98">
        <v>1E+30</v>
      </c>
      <c r="H31" s="98">
        <v>1250</v>
      </c>
    </row>
    <row r="32" spans="1:8">
      <c r="B32" s="98" t="s">
        <v>545</v>
      </c>
      <c r="C32" s="98" t="s">
        <v>546</v>
      </c>
      <c r="D32" s="98">
        <v>599.99999999999977</v>
      </c>
      <c r="E32" s="98">
        <v>0</v>
      </c>
      <c r="F32" s="98">
        <v>1250</v>
      </c>
      <c r="G32" s="98">
        <v>1E+30</v>
      </c>
      <c r="H32" s="98">
        <v>650.00000000000011</v>
      </c>
    </row>
    <row r="33" spans="2:8">
      <c r="B33" s="98" t="s">
        <v>547</v>
      </c>
      <c r="C33" s="98" t="s">
        <v>548</v>
      </c>
      <c r="D33" s="98">
        <v>0</v>
      </c>
      <c r="E33" s="98">
        <v>0</v>
      </c>
      <c r="F33" s="98">
        <v>1000</v>
      </c>
      <c r="G33" s="98">
        <v>1E+30</v>
      </c>
      <c r="H33" s="98">
        <v>1000</v>
      </c>
    </row>
    <row r="34" spans="2:8">
      <c r="B34" s="98" t="s">
        <v>549</v>
      </c>
      <c r="C34" s="98" t="s">
        <v>550</v>
      </c>
      <c r="D34" s="98">
        <v>1000</v>
      </c>
      <c r="E34" s="98">
        <v>1.25</v>
      </c>
      <c r="F34" s="98">
        <v>1000</v>
      </c>
      <c r="G34" s="98">
        <v>431.81818181818176</v>
      </c>
      <c r="H34" s="98">
        <v>590.90909090909099</v>
      </c>
    </row>
    <row r="35" spans="2:8">
      <c r="B35" s="98" t="s">
        <v>551</v>
      </c>
      <c r="C35" s="98" t="s">
        <v>552</v>
      </c>
      <c r="D35" s="98">
        <v>1000</v>
      </c>
      <c r="E35" s="98">
        <v>4.1249999999999742</v>
      </c>
      <c r="F35" s="98">
        <v>1000</v>
      </c>
      <c r="G35" s="98">
        <v>99.999999999999915</v>
      </c>
      <c r="H35" s="98">
        <v>590.90909090909099</v>
      </c>
    </row>
    <row r="36" spans="2:8">
      <c r="B36" s="98" t="s">
        <v>553</v>
      </c>
      <c r="C36" s="98" t="s">
        <v>554</v>
      </c>
      <c r="D36" s="98">
        <v>0</v>
      </c>
      <c r="E36" s="98">
        <v>0</v>
      </c>
      <c r="F36" s="98">
        <v>800</v>
      </c>
      <c r="G36" s="98">
        <v>1E+30</v>
      </c>
      <c r="H36" s="98">
        <v>800</v>
      </c>
    </row>
    <row r="37" spans="2:8">
      <c r="B37" s="98" t="s">
        <v>555</v>
      </c>
      <c r="C37" s="98" t="s">
        <v>501</v>
      </c>
      <c r="D37" s="98">
        <v>20000</v>
      </c>
      <c r="E37" s="98">
        <v>29.5</v>
      </c>
      <c r="F37" s="98">
        <v>20000</v>
      </c>
      <c r="G37" s="98">
        <v>3250.0000000000005</v>
      </c>
      <c r="H37" s="98">
        <v>2374.9999999999995</v>
      </c>
    </row>
    <row r="38" spans="2:8">
      <c r="B38" s="98" t="s">
        <v>556</v>
      </c>
      <c r="C38" s="98" t="s">
        <v>557</v>
      </c>
      <c r="D38" s="98">
        <v>5000</v>
      </c>
      <c r="E38" s="98">
        <v>2.25</v>
      </c>
      <c r="F38" s="98">
        <v>5000</v>
      </c>
      <c r="G38" s="98">
        <v>949.99999999999989</v>
      </c>
      <c r="H38" s="98">
        <v>249.99999999999977</v>
      </c>
    </row>
    <row r="39" spans="2:8" ht="15.75" thickBot="1">
      <c r="B39" s="99" t="s">
        <v>558</v>
      </c>
      <c r="C39" s="99" t="s">
        <v>559</v>
      </c>
      <c r="D39" s="99">
        <v>4187.5</v>
      </c>
      <c r="E39" s="99">
        <v>0</v>
      </c>
      <c r="F39" s="99">
        <v>6000</v>
      </c>
      <c r="G39" s="99">
        <v>1E+30</v>
      </c>
      <c r="H39" s="99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1">
        <v>150</v>
      </c>
      <c r="C12" s="91">
        <v>225</v>
      </c>
      <c r="D12" s="91">
        <v>225</v>
      </c>
      <c r="E12" s="91">
        <v>225</v>
      </c>
      <c r="F12" s="91">
        <v>250</v>
      </c>
      <c r="G12" s="91">
        <v>250</v>
      </c>
      <c r="H12" s="91">
        <v>250</v>
      </c>
      <c r="I12" s="91">
        <v>300</v>
      </c>
    </row>
    <row r="13" spans="1:10">
      <c r="A13" t="s">
        <v>7</v>
      </c>
      <c r="B13" s="91">
        <v>350</v>
      </c>
      <c r="C13" s="91">
        <v>450</v>
      </c>
      <c r="D13" s="91">
        <v>460</v>
      </c>
      <c r="E13" s="91">
        <v>470</v>
      </c>
      <c r="F13" s="91">
        <v>500</v>
      </c>
      <c r="G13" s="91">
        <v>525</v>
      </c>
      <c r="H13" s="91">
        <v>530</v>
      </c>
      <c r="I13" s="91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5"/>
  <sheetData>
    <row r="2" spans="1:12">
      <c r="A2" t="s">
        <v>560</v>
      </c>
      <c r="B2" s="53">
        <v>4.3333333333333339</v>
      </c>
      <c r="C2" s="53">
        <v>3.333333333333333</v>
      </c>
    </row>
    <row r="3" spans="1:12">
      <c r="A3" t="s">
        <v>561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562</v>
      </c>
      <c r="B4">
        <v>7</v>
      </c>
      <c r="C4">
        <v>3</v>
      </c>
      <c r="D4" cm="1">
        <f t="array" ref="D4:D6">MMULT(B4:C6,TRANSPOSE(B2:C2))</f>
        <v>40.333333333333336</v>
      </c>
      <c r="E4" s="102">
        <f>SUMPRODUCT(B4:C4,$B$2:$C$2)</f>
        <v>40.333333333333336</v>
      </c>
      <c r="F4" t="s">
        <v>220</v>
      </c>
      <c r="G4">
        <v>40</v>
      </c>
    </row>
    <row r="5" spans="1:12">
      <c r="A5" t="s">
        <v>563</v>
      </c>
      <c r="B5">
        <v>10</v>
      </c>
      <c r="C5">
        <v>5</v>
      </c>
      <c r="D5">
        <v>60.000000000000007</v>
      </c>
      <c r="E5" s="102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564</v>
      </c>
      <c r="B6">
        <v>5</v>
      </c>
      <c r="C6">
        <v>4</v>
      </c>
      <c r="D6">
        <v>35</v>
      </c>
      <c r="E6" s="102">
        <f t="shared" si="0"/>
        <v>35</v>
      </c>
      <c r="F6" t="s">
        <v>220</v>
      </c>
      <c r="G6">
        <v>35</v>
      </c>
    </row>
    <row r="7" spans="1:12">
      <c r="E7" s="102"/>
    </row>
    <row r="8" spans="1:12">
      <c r="A8" s="1" t="s">
        <v>574</v>
      </c>
    </row>
    <row r="9" spans="1:12">
      <c r="B9" s="8" t="s">
        <v>296</v>
      </c>
      <c r="C9" s="8" t="s">
        <v>297</v>
      </c>
      <c r="D9" s="8" t="s">
        <v>568</v>
      </c>
      <c r="E9" s="8" t="s">
        <v>569</v>
      </c>
      <c r="F9" s="8" t="s">
        <v>570</v>
      </c>
      <c r="G9" s="8" t="s">
        <v>573</v>
      </c>
      <c r="H9" s="8" t="s">
        <v>571</v>
      </c>
      <c r="I9" s="8" t="s">
        <v>572</v>
      </c>
    </row>
    <row r="10" spans="1:12">
      <c r="A10" t="s">
        <v>560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561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562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567</v>
      </c>
      <c r="L12">
        <v>40</v>
      </c>
    </row>
    <row r="13" spans="1:12">
      <c r="A13" t="s">
        <v>563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564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565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2" t="s">
        <v>566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4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4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4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4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4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4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B37" sqref="B37:B38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2.85546875" style="11" bestFit="1" customWidth="1"/>
    <col min="9" max="9" width="19" style="11" bestFit="1" customWidth="1"/>
    <col min="10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576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580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575</v>
      </c>
      <c r="I20" s="11" t="s">
        <v>578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579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6">
        <f>SUMPRODUCT(B9:G9, B20:G20)</f>
        <v>6312.5</v>
      </c>
    </row>
    <row r="27" spans="1:9">
      <c r="A27" s="11" t="s">
        <v>577</v>
      </c>
      <c r="H27" s="106">
        <f>SUMPRODUCT(B8:G8,B12:G12)</f>
        <v>1529250</v>
      </c>
    </row>
    <row r="28" spans="1:9">
      <c r="H28" s="107">
        <f>SUM(H26:H27)</f>
        <v>1535562.5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6">
        <v>2</v>
      </c>
      <c r="D6" s="76">
        <v>1</v>
      </c>
      <c r="E6" s="77">
        <v>180000</v>
      </c>
      <c r="F6" s="77">
        <v>280000</v>
      </c>
      <c r="G6">
        <f>C6-D6</f>
        <v>1</v>
      </c>
      <c r="H6" s="75">
        <f>(F6-E6)/G6</f>
        <v>100000</v>
      </c>
      <c r="I6" s="53">
        <v>0</v>
      </c>
      <c r="J6" s="53">
        <v>0</v>
      </c>
      <c r="K6">
        <f>I6+C6-J6</f>
        <v>2</v>
      </c>
    </row>
    <row r="7" spans="2:11">
      <c r="B7" t="s">
        <v>313</v>
      </c>
      <c r="C7" s="76">
        <v>4</v>
      </c>
      <c r="D7" s="76">
        <v>2</v>
      </c>
      <c r="E7" s="77">
        <v>320000</v>
      </c>
      <c r="F7" s="77">
        <v>420000</v>
      </c>
      <c r="G7">
        <f t="shared" ref="G7:G19" si="0">C7-D7</f>
        <v>2</v>
      </c>
      <c r="H7" s="75">
        <f t="shared" ref="H7:H19" si="1">(F7-E7)/G7</f>
        <v>50000</v>
      </c>
      <c r="I7" s="53">
        <v>2</v>
      </c>
      <c r="J7" s="53">
        <v>0</v>
      </c>
      <c r="K7">
        <f t="shared" ref="K7:K19" si="2">I7+C7-J7</f>
        <v>6</v>
      </c>
    </row>
    <row r="8" spans="2:11">
      <c r="B8" t="s">
        <v>314</v>
      </c>
      <c r="C8" s="76">
        <v>10</v>
      </c>
      <c r="D8" s="76">
        <v>7</v>
      </c>
      <c r="E8" s="77">
        <v>620000</v>
      </c>
      <c r="F8" s="77">
        <v>860000</v>
      </c>
      <c r="G8">
        <f t="shared" si="0"/>
        <v>3</v>
      </c>
      <c r="H8" s="75">
        <f t="shared" si="1"/>
        <v>80000</v>
      </c>
      <c r="I8" s="53">
        <v>6</v>
      </c>
      <c r="J8" s="53">
        <v>0</v>
      </c>
      <c r="K8">
        <f t="shared" si="2"/>
        <v>16</v>
      </c>
    </row>
    <row r="9" spans="2:11">
      <c r="B9" t="s">
        <v>315</v>
      </c>
      <c r="C9" s="76">
        <v>6</v>
      </c>
      <c r="D9" s="76">
        <v>4</v>
      </c>
      <c r="E9" s="77">
        <v>260000</v>
      </c>
      <c r="F9" s="77">
        <v>340000</v>
      </c>
      <c r="G9">
        <f t="shared" si="0"/>
        <v>2</v>
      </c>
      <c r="H9" s="75">
        <f t="shared" si="1"/>
        <v>40000</v>
      </c>
      <c r="I9" s="53">
        <v>16</v>
      </c>
      <c r="J9" s="53">
        <v>0</v>
      </c>
      <c r="K9">
        <f t="shared" si="2"/>
        <v>22</v>
      </c>
    </row>
    <row r="10" spans="2:11">
      <c r="B10" t="s">
        <v>316</v>
      </c>
      <c r="C10" s="76">
        <v>4</v>
      </c>
      <c r="D10" s="76">
        <v>3</v>
      </c>
      <c r="E10" s="77">
        <v>410000</v>
      </c>
      <c r="F10" s="77">
        <v>570000</v>
      </c>
      <c r="G10">
        <f t="shared" si="0"/>
        <v>1</v>
      </c>
      <c r="H10" s="75">
        <f t="shared" si="1"/>
        <v>160000</v>
      </c>
      <c r="I10" s="53">
        <v>16</v>
      </c>
      <c r="J10" s="53">
        <v>0</v>
      </c>
      <c r="K10">
        <f t="shared" si="2"/>
        <v>20</v>
      </c>
    </row>
    <row r="11" spans="2:11">
      <c r="B11" t="s">
        <v>317</v>
      </c>
      <c r="C11" s="76">
        <v>5</v>
      </c>
      <c r="D11" s="76">
        <v>3</v>
      </c>
      <c r="E11" s="77">
        <v>180000</v>
      </c>
      <c r="F11" s="77">
        <v>260000</v>
      </c>
      <c r="G11">
        <f t="shared" si="0"/>
        <v>2</v>
      </c>
      <c r="H11" s="75">
        <f t="shared" si="1"/>
        <v>40000</v>
      </c>
      <c r="I11" s="53">
        <v>20</v>
      </c>
      <c r="J11" s="53">
        <v>2</v>
      </c>
      <c r="K11">
        <f t="shared" si="2"/>
        <v>23</v>
      </c>
    </row>
    <row r="12" spans="2:11">
      <c r="B12" t="s">
        <v>318</v>
      </c>
      <c r="C12" s="76">
        <v>7</v>
      </c>
      <c r="D12" s="76">
        <v>4</v>
      </c>
      <c r="E12" s="77">
        <v>900000</v>
      </c>
      <c r="F12" s="77">
        <v>1020000</v>
      </c>
      <c r="G12">
        <f t="shared" si="0"/>
        <v>3</v>
      </c>
      <c r="H12" s="75">
        <f t="shared" si="1"/>
        <v>40000</v>
      </c>
      <c r="I12" s="53">
        <v>22</v>
      </c>
      <c r="J12" s="53">
        <v>0</v>
      </c>
      <c r="K12">
        <f t="shared" si="2"/>
        <v>29</v>
      </c>
    </row>
    <row r="13" spans="2:11">
      <c r="B13" t="s">
        <v>319</v>
      </c>
      <c r="C13" s="76">
        <v>9</v>
      </c>
      <c r="D13" s="76">
        <v>6</v>
      </c>
      <c r="E13" s="77">
        <v>200000</v>
      </c>
      <c r="F13" s="77">
        <v>380000</v>
      </c>
      <c r="G13">
        <f t="shared" si="0"/>
        <v>3</v>
      </c>
      <c r="H13" s="75">
        <f t="shared" si="1"/>
        <v>60000</v>
      </c>
      <c r="I13" s="53">
        <v>29</v>
      </c>
      <c r="J13" s="53">
        <v>0</v>
      </c>
      <c r="K13">
        <f t="shared" si="2"/>
        <v>38</v>
      </c>
    </row>
    <row r="14" spans="2:11">
      <c r="B14" t="s">
        <v>320</v>
      </c>
      <c r="C14" s="76">
        <v>7</v>
      </c>
      <c r="D14" s="76">
        <v>5</v>
      </c>
      <c r="E14" s="77">
        <v>210000</v>
      </c>
      <c r="F14" s="77">
        <v>270000</v>
      </c>
      <c r="G14">
        <f t="shared" si="0"/>
        <v>2</v>
      </c>
      <c r="H14" s="75">
        <f t="shared" si="1"/>
        <v>30000</v>
      </c>
      <c r="I14" s="53">
        <v>16</v>
      </c>
      <c r="J14" s="53">
        <v>0</v>
      </c>
      <c r="K14">
        <f t="shared" si="2"/>
        <v>23</v>
      </c>
    </row>
    <row r="15" spans="2:11">
      <c r="B15" t="s">
        <v>321</v>
      </c>
      <c r="C15" s="76">
        <v>8</v>
      </c>
      <c r="D15" s="76">
        <v>6</v>
      </c>
      <c r="E15" s="77">
        <v>430000</v>
      </c>
      <c r="F15" s="77">
        <v>490000</v>
      </c>
      <c r="G15">
        <f t="shared" si="0"/>
        <v>2</v>
      </c>
      <c r="H15" s="75">
        <f t="shared" si="1"/>
        <v>30000</v>
      </c>
      <c r="I15" s="53">
        <v>23</v>
      </c>
      <c r="J15" s="53">
        <v>2</v>
      </c>
      <c r="K15">
        <f t="shared" si="2"/>
        <v>29</v>
      </c>
    </row>
    <row r="16" spans="2:11">
      <c r="B16" t="s">
        <v>322</v>
      </c>
      <c r="C16" s="76">
        <v>4</v>
      </c>
      <c r="D16" s="76">
        <v>3</v>
      </c>
      <c r="E16" s="77">
        <v>160000</v>
      </c>
      <c r="F16" s="77">
        <v>200000</v>
      </c>
      <c r="G16">
        <f t="shared" si="0"/>
        <v>1</v>
      </c>
      <c r="H16" s="75">
        <f t="shared" si="1"/>
        <v>40000</v>
      </c>
      <c r="I16" s="53">
        <v>30</v>
      </c>
      <c r="J16" s="53">
        <v>0</v>
      </c>
      <c r="K16">
        <f t="shared" si="2"/>
        <v>34</v>
      </c>
    </row>
    <row r="17" spans="2:11">
      <c r="B17" t="s">
        <v>323</v>
      </c>
      <c r="C17" s="76">
        <v>5</v>
      </c>
      <c r="D17" s="76">
        <v>3</v>
      </c>
      <c r="E17" s="77">
        <v>250000</v>
      </c>
      <c r="F17" s="77">
        <v>350000</v>
      </c>
      <c r="G17">
        <f t="shared" si="0"/>
        <v>2</v>
      </c>
      <c r="H17" s="75">
        <f t="shared" si="1"/>
        <v>50000</v>
      </c>
      <c r="I17" s="53">
        <v>29</v>
      </c>
      <c r="J17" s="53">
        <v>0</v>
      </c>
      <c r="K17">
        <f t="shared" si="2"/>
        <v>34</v>
      </c>
    </row>
    <row r="18" spans="2:11">
      <c r="B18" t="s">
        <v>324</v>
      </c>
      <c r="C18" s="76">
        <v>2</v>
      </c>
      <c r="D18" s="76">
        <v>1</v>
      </c>
      <c r="E18" s="77">
        <v>100000</v>
      </c>
      <c r="F18" s="77">
        <v>200000</v>
      </c>
      <c r="G18">
        <f t="shared" si="0"/>
        <v>1</v>
      </c>
      <c r="H18" s="75">
        <f t="shared" si="1"/>
        <v>100000</v>
      </c>
      <c r="I18" s="53">
        <v>38</v>
      </c>
      <c r="J18" s="53">
        <v>0</v>
      </c>
      <c r="K18">
        <f t="shared" si="2"/>
        <v>40</v>
      </c>
    </row>
    <row r="19" spans="2:11">
      <c r="B19" t="s">
        <v>325</v>
      </c>
      <c r="C19" s="76">
        <v>6</v>
      </c>
      <c r="D19" s="76">
        <v>3</v>
      </c>
      <c r="E19" s="77">
        <v>330000</v>
      </c>
      <c r="F19" s="77">
        <v>510000</v>
      </c>
      <c r="G19">
        <f t="shared" si="0"/>
        <v>3</v>
      </c>
      <c r="H19" s="75">
        <f t="shared" si="1"/>
        <v>60000</v>
      </c>
      <c r="I19" s="53">
        <v>34</v>
      </c>
      <c r="J19" s="53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3">
        <v>40</v>
      </c>
      <c r="J22" s="79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8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417</v>
      </c>
      <c r="B1" s="80">
        <v>8</v>
      </c>
    </row>
    <row r="2" spans="1:9">
      <c r="A2" t="s">
        <v>418</v>
      </c>
    </row>
    <row r="4" spans="1:9">
      <c r="B4" t="s">
        <v>420</v>
      </c>
    </row>
    <row r="6" spans="1:9">
      <c r="A6" t="s">
        <v>369</v>
      </c>
      <c r="B6" t="s">
        <v>419</v>
      </c>
      <c r="C6" t="s">
        <v>421</v>
      </c>
      <c r="D6" t="s">
        <v>422</v>
      </c>
      <c r="E6" t="s">
        <v>423</v>
      </c>
      <c r="F6" t="s">
        <v>424</v>
      </c>
      <c r="G6" t="s">
        <v>425</v>
      </c>
      <c r="H6" t="s">
        <v>426</v>
      </c>
      <c r="I6" t="s">
        <v>427</v>
      </c>
    </row>
    <row r="7" spans="1:9">
      <c r="A7">
        <v>1</v>
      </c>
      <c r="B7" s="80">
        <v>4</v>
      </c>
    </row>
    <row r="8" spans="1:9">
      <c r="A8">
        <v>2</v>
      </c>
      <c r="B8" s="80">
        <v>3</v>
      </c>
    </row>
    <row r="9" spans="1:9">
      <c r="A9">
        <v>3</v>
      </c>
      <c r="B9" s="80">
        <v>5</v>
      </c>
    </row>
    <row r="10" spans="1:9">
      <c r="A10">
        <v>4</v>
      </c>
      <c r="B10" s="80">
        <v>4</v>
      </c>
    </row>
    <row r="11" spans="1:9">
      <c r="A11">
        <v>5</v>
      </c>
      <c r="B11" s="80">
        <v>1</v>
      </c>
    </row>
    <row r="12" spans="1:9">
      <c r="A12">
        <v>6</v>
      </c>
      <c r="B12" s="80">
        <v>2</v>
      </c>
    </row>
    <row r="13" spans="1:9">
      <c r="A13">
        <v>7</v>
      </c>
      <c r="B13" s="80">
        <v>4</v>
      </c>
    </row>
    <row r="15" spans="1:9">
      <c r="B15" t="s">
        <v>429</v>
      </c>
    </row>
    <row r="16" spans="1:9">
      <c r="C16" s="74" t="s">
        <v>278</v>
      </c>
    </row>
    <row r="17" spans="2:2">
      <c r="B17" t="s">
        <v>428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5"/>
  <cols>
    <col min="1" max="1" width="14.85546875" bestFit="1" customWidth="1"/>
  </cols>
  <sheetData>
    <row r="1" spans="1:8">
      <c r="B1" t="s">
        <v>430</v>
      </c>
      <c r="C1" t="s">
        <v>431</v>
      </c>
      <c r="D1" t="s">
        <v>432</v>
      </c>
      <c r="E1" t="s">
        <v>433</v>
      </c>
    </row>
    <row r="2" spans="1:8">
      <c r="A2" t="s">
        <v>434</v>
      </c>
      <c r="B2" s="53">
        <v>5</v>
      </c>
      <c r="C2" s="53">
        <v>1</v>
      </c>
      <c r="D2" s="53">
        <v>3</v>
      </c>
      <c r="E2" s="53">
        <v>0</v>
      </c>
    </row>
    <row r="3" spans="1:8">
      <c r="A3" t="s">
        <v>435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436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4" t="s">
        <v>220</v>
      </c>
      <c r="H4">
        <v>5</v>
      </c>
    </row>
    <row r="5" spans="1:8">
      <c r="A5" t="s">
        <v>437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4" t="s">
        <v>220</v>
      </c>
      <c r="H5">
        <v>10</v>
      </c>
    </row>
    <row r="6" spans="1:8">
      <c r="A6" t="s">
        <v>438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4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N21" sqref="N21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5" width="8.85546875" style="11" customWidth="1"/>
    <col min="6" max="6" width="6" style="11" bestFit="1" customWidth="1"/>
    <col min="7" max="7" width="7.5703125" style="11" customWidth="1"/>
    <col min="8" max="8" width="4.42578125" style="11" customWidth="1"/>
    <col min="9" max="11" width="12.140625" style="11" customWidth="1"/>
    <col min="12" max="12" width="19.140625" style="11" customWidth="1"/>
    <col min="13" max="13" width="2.85546875" style="11" customWidth="1"/>
    <col min="14" max="14" width="16.140625" style="11" bestFit="1" customWidth="1"/>
    <col min="15" max="15" width="9" style="11" customWidth="1"/>
    <col min="16" max="16" width="21.140625" style="11" bestFit="1" customWidth="1"/>
    <col min="17" max="17" width="10.42578125" style="11" bestFit="1" customWidth="1"/>
    <col min="18" max="18" width="10.85546875" style="11" bestFit="1" customWidth="1"/>
    <col min="19" max="25" width="8.7109375" style="11"/>
    <col min="26" max="26" width="10.85546875" style="11" bestFit="1" customWidth="1"/>
    <col min="27" max="259" width="8.7109375" style="11"/>
    <col min="260" max="260" width="20.140625" style="11" customWidth="1"/>
    <col min="261" max="261" width="16.140625" style="11" customWidth="1"/>
    <col min="262" max="262" width="12" style="11" customWidth="1"/>
    <col min="263" max="263" width="8.85546875" style="11" customWidth="1"/>
    <col min="264" max="264" width="9.42578125" style="11" customWidth="1"/>
    <col min="265" max="265" width="11.5703125" style="11" customWidth="1"/>
    <col min="266" max="266" width="12" style="11" bestFit="1" customWidth="1"/>
    <col min="267" max="267" width="12.140625" style="11" customWidth="1"/>
    <col min="268" max="268" width="20.140625" style="11" bestFit="1" customWidth="1"/>
    <col min="269" max="269" width="10.5703125" style="11" bestFit="1" customWidth="1"/>
    <col min="270" max="270" width="16.140625" style="11" bestFit="1" customWidth="1"/>
    <col min="271" max="271" width="9" style="11" customWidth="1"/>
    <col min="272" max="272" width="21.140625" style="11" bestFit="1" customWidth="1"/>
    <col min="273" max="515" width="8.7109375" style="11"/>
    <col min="516" max="516" width="20.140625" style="11" customWidth="1"/>
    <col min="517" max="517" width="16.140625" style="11" customWidth="1"/>
    <col min="518" max="518" width="12" style="11" customWidth="1"/>
    <col min="519" max="519" width="8.85546875" style="11" customWidth="1"/>
    <col min="520" max="520" width="9.42578125" style="11" customWidth="1"/>
    <col min="521" max="521" width="11.5703125" style="11" customWidth="1"/>
    <col min="522" max="522" width="12" style="11" bestFit="1" customWidth="1"/>
    <col min="523" max="523" width="12.140625" style="11" customWidth="1"/>
    <col min="524" max="524" width="20.140625" style="11" bestFit="1" customWidth="1"/>
    <col min="525" max="525" width="10.5703125" style="11" bestFit="1" customWidth="1"/>
    <col min="526" max="526" width="16.140625" style="11" bestFit="1" customWidth="1"/>
    <col min="527" max="527" width="9" style="11" customWidth="1"/>
    <col min="528" max="528" width="21.140625" style="11" bestFit="1" customWidth="1"/>
    <col min="529" max="771" width="8.7109375" style="11"/>
    <col min="772" max="772" width="20.140625" style="11" customWidth="1"/>
    <col min="773" max="773" width="16.140625" style="11" customWidth="1"/>
    <col min="774" max="774" width="12" style="11" customWidth="1"/>
    <col min="775" max="775" width="8.85546875" style="11" customWidth="1"/>
    <col min="776" max="776" width="9.42578125" style="11" customWidth="1"/>
    <col min="777" max="777" width="11.5703125" style="11" customWidth="1"/>
    <col min="778" max="778" width="12" style="11" bestFit="1" customWidth="1"/>
    <col min="779" max="779" width="12.140625" style="11" customWidth="1"/>
    <col min="780" max="780" width="20.140625" style="11" bestFit="1" customWidth="1"/>
    <col min="781" max="781" width="10.5703125" style="11" bestFit="1" customWidth="1"/>
    <col min="782" max="782" width="16.140625" style="11" bestFit="1" customWidth="1"/>
    <col min="783" max="783" width="9" style="11" customWidth="1"/>
    <col min="784" max="784" width="21.140625" style="11" bestFit="1" customWidth="1"/>
    <col min="785" max="1027" width="8.7109375" style="11"/>
    <col min="1028" max="1028" width="20.140625" style="11" customWidth="1"/>
    <col min="1029" max="1029" width="16.140625" style="11" customWidth="1"/>
    <col min="1030" max="1030" width="12" style="11" customWidth="1"/>
    <col min="1031" max="1031" width="8.85546875" style="11" customWidth="1"/>
    <col min="1032" max="1032" width="9.42578125" style="11" customWidth="1"/>
    <col min="1033" max="1033" width="11.5703125" style="11" customWidth="1"/>
    <col min="1034" max="1034" width="12" style="11" bestFit="1" customWidth="1"/>
    <col min="1035" max="1035" width="12.140625" style="11" customWidth="1"/>
    <col min="1036" max="1036" width="20.140625" style="11" bestFit="1" customWidth="1"/>
    <col min="1037" max="1037" width="10.5703125" style="11" bestFit="1" customWidth="1"/>
    <col min="1038" max="1038" width="16.140625" style="11" bestFit="1" customWidth="1"/>
    <col min="1039" max="1039" width="9" style="11" customWidth="1"/>
    <col min="1040" max="1040" width="21.140625" style="11" bestFit="1" customWidth="1"/>
    <col min="1041" max="1283" width="8.7109375" style="11"/>
    <col min="1284" max="1284" width="20.140625" style="11" customWidth="1"/>
    <col min="1285" max="1285" width="16.140625" style="11" customWidth="1"/>
    <col min="1286" max="1286" width="12" style="11" customWidth="1"/>
    <col min="1287" max="1287" width="8.85546875" style="11" customWidth="1"/>
    <col min="1288" max="1288" width="9.42578125" style="11" customWidth="1"/>
    <col min="1289" max="1289" width="11.5703125" style="11" customWidth="1"/>
    <col min="1290" max="1290" width="12" style="11" bestFit="1" customWidth="1"/>
    <col min="1291" max="1291" width="12.140625" style="11" customWidth="1"/>
    <col min="1292" max="1292" width="20.140625" style="11" bestFit="1" customWidth="1"/>
    <col min="1293" max="1293" width="10.5703125" style="11" bestFit="1" customWidth="1"/>
    <col min="1294" max="1294" width="16.140625" style="11" bestFit="1" customWidth="1"/>
    <col min="1295" max="1295" width="9" style="11" customWidth="1"/>
    <col min="1296" max="1296" width="21.140625" style="11" bestFit="1" customWidth="1"/>
    <col min="1297" max="1539" width="8.7109375" style="11"/>
    <col min="1540" max="1540" width="20.140625" style="11" customWidth="1"/>
    <col min="1541" max="1541" width="16.140625" style="11" customWidth="1"/>
    <col min="1542" max="1542" width="12" style="11" customWidth="1"/>
    <col min="1543" max="1543" width="8.85546875" style="11" customWidth="1"/>
    <col min="1544" max="1544" width="9.42578125" style="11" customWidth="1"/>
    <col min="1545" max="1545" width="11.5703125" style="11" customWidth="1"/>
    <col min="1546" max="1546" width="12" style="11" bestFit="1" customWidth="1"/>
    <col min="1547" max="1547" width="12.140625" style="11" customWidth="1"/>
    <col min="1548" max="1548" width="20.140625" style="11" bestFit="1" customWidth="1"/>
    <col min="1549" max="1549" width="10.5703125" style="11" bestFit="1" customWidth="1"/>
    <col min="1550" max="1550" width="16.140625" style="11" bestFit="1" customWidth="1"/>
    <col min="1551" max="1551" width="9" style="11" customWidth="1"/>
    <col min="1552" max="1552" width="21.140625" style="11" bestFit="1" customWidth="1"/>
    <col min="1553" max="1795" width="8.7109375" style="11"/>
    <col min="1796" max="1796" width="20.140625" style="11" customWidth="1"/>
    <col min="1797" max="1797" width="16.140625" style="11" customWidth="1"/>
    <col min="1798" max="1798" width="12" style="11" customWidth="1"/>
    <col min="1799" max="1799" width="8.85546875" style="11" customWidth="1"/>
    <col min="1800" max="1800" width="9.42578125" style="11" customWidth="1"/>
    <col min="1801" max="1801" width="11.5703125" style="11" customWidth="1"/>
    <col min="1802" max="1802" width="12" style="11" bestFit="1" customWidth="1"/>
    <col min="1803" max="1803" width="12.140625" style="11" customWidth="1"/>
    <col min="1804" max="1804" width="20.140625" style="11" bestFit="1" customWidth="1"/>
    <col min="1805" max="1805" width="10.5703125" style="11" bestFit="1" customWidth="1"/>
    <col min="1806" max="1806" width="16.140625" style="11" bestFit="1" customWidth="1"/>
    <col min="1807" max="1807" width="9" style="11" customWidth="1"/>
    <col min="1808" max="1808" width="21.140625" style="11" bestFit="1" customWidth="1"/>
    <col min="1809" max="2051" width="8.7109375" style="11"/>
    <col min="2052" max="2052" width="20.140625" style="11" customWidth="1"/>
    <col min="2053" max="2053" width="16.140625" style="11" customWidth="1"/>
    <col min="2054" max="2054" width="12" style="11" customWidth="1"/>
    <col min="2055" max="2055" width="8.85546875" style="11" customWidth="1"/>
    <col min="2056" max="2056" width="9.42578125" style="11" customWidth="1"/>
    <col min="2057" max="2057" width="11.5703125" style="11" customWidth="1"/>
    <col min="2058" max="2058" width="12" style="11" bestFit="1" customWidth="1"/>
    <col min="2059" max="2059" width="12.140625" style="11" customWidth="1"/>
    <col min="2060" max="2060" width="20.140625" style="11" bestFit="1" customWidth="1"/>
    <col min="2061" max="2061" width="10.5703125" style="11" bestFit="1" customWidth="1"/>
    <col min="2062" max="2062" width="16.140625" style="11" bestFit="1" customWidth="1"/>
    <col min="2063" max="2063" width="9" style="11" customWidth="1"/>
    <col min="2064" max="2064" width="21.140625" style="11" bestFit="1" customWidth="1"/>
    <col min="2065" max="2307" width="8.7109375" style="11"/>
    <col min="2308" max="2308" width="20.140625" style="11" customWidth="1"/>
    <col min="2309" max="2309" width="16.140625" style="11" customWidth="1"/>
    <col min="2310" max="2310" width="12" style="11" customWidth="1"/>
    <col min="2311" max="2311" width="8.85546875" style="11" customWidth="1"/>
    <col min="2312" max="2312" width="9.42578125" style="11" customWidth="1"/>
    <col min="2313" max="2313" width="11.5703125" style="11" customWidth="1"/>
    <col min="2314" max="2314" width="12" style="11" bestFit="1" customWidth="1"/>
    <col min="2315" max="2315" width="12.140625" style="11" customWidth="1"/>
    <col min="2316" max="2316" width="20.140625" style="11" bestFit="1" customWidth="1"/>
    <col min="2317" max="2317" width="10.5703125" style="11" bestFit="1" customWidth="1"/>
    <col min="2318" max="2318" width="16.140625" style="11" bestFit="1" customWidth="1"/>
    <col min="2319" max="2319" width="9" style="11" customWidth="1"/>
    <col min="2320" max="2320" width="21.140625" style="11" bestFit="1" customWidth="1"/>
    <col min="2321" max="2563" width="8.7109375" style="11"/>
    <col min="2564" max="2564" width="20.140625" style="11" customWidth="1"/>
    <col min="2565" max="2565" width="16.140625" style="11" customWidth="1"/>
    <col min="2566" max="2566" width="12" style="11" customWidth="1"/>
    <col min="2567" max="2567" width="8.85546875" style="11" customWidth="1"/>
    <col min="2568" max="2568" width="9.42578125" style="11" customWidth="1"/>
    <col min="2569" max="2569" width="11.5703125" style="11" customWidth="1"/>
    <col min="2570" max="2570" width="12" style="11" bestFit="1" customWidth="1"/>
    <col min="2571" max="2571" width="12.140625" style="11" customWidth="1"/>
    <col min="2572" max="2572" width="20.140625" style="11" bestFit="1" customWidth="1"/>
    <col min="2573" max="2573" width="10.5703125" style="11" bestFit="1" customWidth="1"/>
    <col min="2574" max="2574" width="16.140625" style="11" bestFit="1" customWidth="1"/>
    <col min="2575" max="2575" width="9" style="11" customWidth="1"/>
    <col min="2576" max="2576" width="21.140625" style="11" bestFit="1" customWidth="1"/>
    <col min="2577" max="2819" width="8.7109375" style="11"/>
    <col min="2820" max="2820" width="20.140625" style="11" customWidth="1"/>
    <col min="2821" max="2821" width="16.140625" style="11" customWidth="1"/>
    <col min="2822" max="2822" width="12" style="11" customWidth="1"/>
    <col min="2823" max="2823" width="8.85546875" style="11" customWidth="1"/>
    <col min="2824" max="2824" width="9.42578125" style="11" customWidth="1"/>
    <col min="2825" max="2825" width="11.5703125" style="11" customWidth="1"/>
    <col min="2826" max="2826" width="12" style="11" bestFit="1" customWidth="1"/>
    <col min="2827" max="2827" width="12.140625" style="11" customWidth="1"/>
    <col min="2828" max="2828" width="20.140625" style="11" bestFit="1" customWidth="1"/>
    <col min="2829" max="2829" width="10.5703125" style="11" bestFit="1" customWidth="1"/>
    <col min="2830" max="2830" width="16.140625" style="11" bestFit="1" customWidth="1"/>
    <col min="2831" max="2831" width="9" style="11" customWidth="1"/>
    <col min="2832" max="2832" width="21.140625" style="11" bestFit="1" customWidth="1"/>
    <col min="2833" max="3075" width="8.7109375" style="11"/>
    <col min="3076" max="3076" width="20.140625" style="11" customWidth="1"/>
    <col min="3077" max="3077" width="16.140625" style="11" customWidth="1"/>
    <col min="3078" max="3078" width="12" style="11" customWidth="1"/>
    <col min="3079" max="3079" width="8.85546875" style="11" customWidth="1"/>
    <col min="3080" max="3080" width="9.42578125" style="11" customWidth="1"/>
    <col min="3081" max="3081" width="11.5703125" style="11" customWidth="1"/>
    <col min="3082" max="3082" width="12" style="11" bestFit="1" customWidth="1"/>
    <col min="3083" max="3083" width="12.140625" style="11" customWidth="1"/>
    <col min="3084" max="3084" width="20.140625" style="11" bestFit="1" customWidth="1"/>
    <col min="3085" max="3085" width="10.5703125" style="11" bestFit="1" customWidth="1"/>
    <col min="3086" max="3086" width="16.140625" style="11" bestFit="1" customWidth="1"/>
    <col min="3087" max="3087" width="9" style="11" customWidth="1"/>
    <col min="3088" max="3088" width="21.140625" style="11" bestFit="1" customWidth="1"/>
    <col min="3089" max="3331" width="8.7109375" style="11"/>
    <col min="3332" max="3332" width="20.140625" style="11" customWidth="1"/>
    <col min="3333" max="3333" width="16.140625" style="11" customWidth="1"/>
    <col min="3334" max="3334" width="12" style="11" customWidth="1"/>
    <col min="3335" max="3335" width="8.85546875" style="11" customWidth="1"/>
    <col min="3336" max="3336" width="9.42578125" style="11" customWidth="1"/>
    <col min="3337" max="3337" width="11.5703125" style="11" customWidth="1"/>
    <col min="3338" max="3338" width="12" style="11" bestFit="1" customWidth="1"/>
    <col min="3339" max="3339" width="12.140625" style="11" customWidth="1"/>
    <col min="3340" max="3340" width="20.140625" style="11" bestFit="1" customWidth="1"/>
    <col min="3341" max="3341" width="10.5703125" style="11" bestFit="1" customWidth="1"/>
    <col min="3342" max="3342" width="16.140625" style="11" bestFit="1" customWidth="1"/>
    <col min="3343" max="3343" width="9" style="11" customWidth="1"/>
    <col min="3344" max="3344" width="21.140625" style="11" bestFit="1" customWidth="1"/>
    <col min="3345" max="3587" width="8.7109375" style="11"/>
    <col min="3588" max="3588" width="20.140625" style="11" customWidth="1"/>
    <col min="3589" max="3589" width="16.140625" style="11" customWidth="1"/>
    <col min="3590" max="3590" width="12" style="11" customWidth="1"/>
    <col min="3591" max="3591" width="8.85546875" style="11" customWidth="1"/>
    <col min="3592" max="3592" width="9.42578125" style="11" customWidth="1"/>
    <col min="3593" max="3593" width="11.5703125" style="11" customWidth="1"/>
    <col min="3594" max="3594" width="12" style="11" bestFit="1" customWidth="1"/>
    <col min="3595" max="3595" width="12.140625" style="11" customWidth="1"/>
    <col min="3596" max="3596" width="20.140625" style="11" bestFit="1" customWidth="1"/>
    <col min="3597" max="3597" width="10.5703125" style="11" bestFit="1" customWidth="1"/>
    <col min="3598" max="3598" width="16.140625" style="11" bestFit="1" customWidth="1"/>
    <col min="3599" max="3599" width="9" style="11" customWidth="1"/>
    <col min="3600" max="3600" width="21.140625" style="11" bestFit="1" customWidth="1"/>
    <col min="3601" max="3843" width="8.7109375" style="11"/>
    <col min="3844" max="3844" width="20.140625" style="11" customWidth="1"/>
    <col min="3845" max="3845" width="16.140625" style="11" customWidth="1"/>
    <col min="3846" max="3846" width="12" style="11" customWidth="1"/>
    <col min="3847" max="3847" width="8.85546875" style="11" customWidth="1"/>
    <col min="3848" max="3848" width="9.42578125" style="11" customWidth="1"/>
    <col min="3849" max="3849" width="11.5703125" style="11" customWidth="1"/>
    <col min="3850" max="3850" width="12" style="11" bestFit="1" customWidth="1"/>
    <col min="3851" max="3851" width="12.140625" style="11" customWidth="1"/>
    <col min="3852" max="3852" width="20.140625" style="11" bestFit="1" customWidth="1"/>
    <col min="3853" max="3853" width="10.5703125" style="11" bestFit="1" customWidth="1"/>
    <col min="3854" max="3854" width="16.140625" style="11" bestFit="1" customWidth="1"/>
    <col min="3855" max="3855" width="9" style="11" customWidth="1"/>
    <col min="3856" max="3856" width="21.140625" style="11" bestFit="1" customWidth="1"/>
    <col min="3857" max="4099" width="8.7109375" style="11"/>
    <col min="4100" max="4100" width="20.140625" style="11" customWidth="1"/>
    <col min="4101" max="4101" width="16.140625" style="11" customWidth="1"/>
    <col min="4102" max="4102" width="12" style="11" customWidth="1"/>
    <col min="4103" max="4103" width="8.85546875" style="11" customWidth="1"/>
    <col min="4104" max="4104" width="9.42578125" style="11" customWidth="1"/>
    <col min="4105" max="4105" width="11.5703125" style="11" customWidth="1"/>
    <col min="4106" max="4106" width="12" style="11" bestFit="1" customWidth="1"/>
    <col min="4107" max="4107" width="12.140625" style="11" customWidth="1"/>
    <col min="4108" max="4108" width="20.140625" style="11" bestFit="1" customWidth="1"/>
    <col min="4109" max="4109" width="10.5703125" style="11" bestFit="1" customWidth="1"/>
    <col min="4110" max="4110" width="16.140625" style="11" bestFit="1" customWidth="1"/>
    <col min="4111" max="4111" width="9" style="11" customWidth="1"/>
    <col min="4112" max="4112" width="21.140625" style="11" bestFit="1" customWidth="1"/>
    <col min="4113" max="4355" width="8.7109375" style="11"/>
    <col min="4356" max="4356" width="20.140625" style="11" customWidth="1"/>
    <col min="4357" max="4357" width="16.140625" style="11" customWidth="1"/>
    <col min="4358" max="4358" width="12" style="11" customWidth="1"/>
    <col min="4359" max="4359" width="8.85546875" style="11" customWidth="1"/>
    <col min="4360" max="4360" width="9.42578125" style="11" customWidth="1"/>
    <col min="4361" max="4361" width="11.5703125" style="11" customWidth="1"/>
    <col min="4362" max="4362" width="12" style="11" bestFit="1" customWidth="1"/>
    <col min="4363" max="4363" width="12.140625" style="11" customWidth="1"/>
    <col min="4364" max="4364" width="20.140625" style="11" bestFit="1" customWidth="1"/>
    <col min="4365" max="4365" width="10.5703125" style="11" bestFit="1" customWidth="1"/>
    <col min="4366" max="4366" width="16.140625" style="11" bestFit="1" customWidth="1"/>
    <col min="4367" max="4367" width="9" style="11" customWidth="1"/>
    <col min="4368" max="4368" width="21.140625" style="11" bestFit="1" customWidth="1"/>
    <col min="4369" max="4611" width="8.7109375" style="11"/>
    <col min="4612" max="4612" width="20.140625" style="11" customWidth="1"/>
    <col min="4613" max="4613" width="16.140625" style="11" customWidth="1"/>
    <col min="4614" max="4614" width="12" style="11" customWidth="1"/>
    <col min="4615" max="4615" width="8.85546875" style="11" customWidth="1"/>
    <col min="4616" max="4616" width="9.42578125" style="11" customWidth="1"/>
    <col min="4617" max="4617" width="11.5703125" style="11" customWidth="1"/>
    <col min="4618" max="4618" width="12" style="11" bestFit="1" customWidth="1"/>
    <col min="4619" max="4619" width="12.140625" style="11" customWidth="1"/>
    <col min="4620" max="4620" width="20.140625" style="11" bestFit="1" customWidth="1"/>
    <col min="4621" max="4621" width="10.5703125" style="11" bestFit="1" customWidth="1"/>
    <col min="4622" max="4622" width="16.140625" style="11" bestFit="1" customWidth="1"/>
    <col min="4623" max="4623" width="9" style="11" customWidth="1"/>
    <col min="4624" max="4624" width="21.140625" style="11" bestFit="1" customWidth="1"/>
    <col min="4625" max="4867" width="8.7109375" style="11"/>
    <col min="4868" max="4868" width="20.140625" style="11" customWidth="1"/>
    <col min="4869" max="4869" width="16.140625" style="11" customWidth="1"/>
    <col min="4870" max="4870" width="12" style="11" customWidth="1"/>
    <col min="4871" max="4871" width="8.85546875" style="11" customWidth="1"/>
    <col min="4872" max="4872" width="9.42578125" style="11" customWidth="1"/>
    <col min="4873" max="4873" width="11.5703125" style="11" customWidth="1"/>
    <col min="4874" max="4874" width="12" style="11" bestFit="1" customWidth="1"/>
    <col min="4875" max="4875" width="12.140625" style="11" customWidth="1"/>
    <col min="4876" max="4876" width="20.140625" style="11" bestFit="1" customWidth="1"/>
    <col min="4877" max="4877" width="10.5703125" style="11" bestFit="1" customWidth="1"/>
    <col min="4878" max="4878" width="16.140625" style="11" bestFit="1" customWidth="1"/>
    <col min="4879" max="4879" width="9" style="11" customWidth="1"/>
    <col min="4880" max="4880" width="21.140625" style="11" bestFit="1" customWidth="1"/>
    <col min="4881" max="5123" width="8.7109375" style="11"/>
    <col min="5124" max="5124" width="20.140625" style="11" customWidth="1"/>
    <col min="5125" max="5125" width="16.140625" style="11" customWidth="1"/>
    <col min="5126" max="5126" width="12" style="11" customWidth="1"/>
    <col min="5127" max="5127" width="8.85546875" style="11" customWidth="1"/>
    <col min="5128" max="5128" width="9.42578125" style="11" customWidth="1"/>
    <col min="5129" max="5129" width="11.5703125" style="11" customWidth="1"/>
    <col min="5130" max="5130" width="12" style="11" bestFit="1" customWidth="1"/>
    <col min="5131" max="5131" width="12.140625" style="11" customWidth="1"/>
    <col min="5132" max="5132" width="20.140625" style="11" bestFit="1" customWidth="1"/>
    <col min="5133" max="5133" width="10.5703125" style="11" bestFit="1" customWidth="1"/>
    <col min="5134" max="5134" width="16.140625" style="11" bestFit="1" customWidth="1"/>
    <col min="5135" max="5135" width="9" style="11" customWidth="1"/>
    <col min="5136" max="5136" width="21.140625" style="11" bestFit="1" customWidth="1"/>
    <col min="5137" max="5379" width="8.7109375" style="11"/>
    <col min="5380" max="5380" width="20.140625" style="11" customWidth="1"/>
    <col min="5381" max="5381" width="16.140625" style="11" customWidth="1"/>
    <col min="5382" max="5382" width="12" style="11" customWidth="1"/>
    <col min="5383" max="5383" width="8.85546875" style="11" customWidth="1"/>
    <col min="5384" max="5384" width="9.42578125" style="11" customWidth="1"/>
    <col min="5385" max="5385" width="11.5703125" style="11" customWidth="1"/>
    <col min="5386" max="5386" width="12" style="11" bestFit="1" customWidth="1"/>
    <col min="5387" max="5387" width="12.140625" style="11" customWidth="1"/>
    <col min="5388" max="5388" width="20.140625" style="11" bestFit="1" customWidth="1"/>
    <col min="5389" max="5389" width="10.5703125" style="11" bestFit="1" customWidth="1"/>
    <col min="5390" max="5390" width="16.140625" style="11" bestFit="1" customWidth="1"/>
    <col min="5391" max="5391" width="9" style="11" customWidth="1"/>
    <col min="5392" max="5392" width="21.140625" style="11" bestFit="1" customWidth="1"/>
    <col min="5393" max="5635" width="8.7109375" style="11"/>
    <col min="5636" max="5636" width="20.140625" style="11" customWidth="1"/>
    <col min="5637" max="5637" width="16.140625" style="11" customWidth="1"/>
    <col min="5638" max="5638" width="12" style="11" customWidth="1"/>
    <col min="5639" max="5639" width="8.85546875" style="11" customWidth="1"/>
    <col min="5640" max="5640" width="9.42578125" style="11" customWidth="1"/>
    <col min="5641" max="5641" width="11.5703125" style="11" customWidth="1"/>
    <col min="5642" max="5642" width="12" style="11" bestFit="1" customWidth="1"/>
    <col min="5643" max="5643" width="12.140625" style="11" customWidth="1"/>
    <col min="5644" max="5644" width="20.140625" style="11" bestFit="1" customWidth="1"/>
    <col min="5645" max="5645" width="10.5703125" style="11" bestFit="1" customWidth="1"/>
    <col min="5646" max="5646" width="16.140625" style="11" bestFit="1" customWidth="1"/>
    <col min="5647" max="5647" width="9" style="11" customWidth="1"/>
    <col min="5648" max="5648" width="21.140625" style="11" bestFit="1" customWidth="1"/>
    <col min="5649" max="5891" width="8.7109375" style="11"/>
    <col min="5892" max="5892" width="20.140625" style="11" customWidth="1"/>
    <col min="5893" max="5893" width="16.140625" style="11" customWidth="1"/>
    <col min="5894" max="5894" width="12" style="11" customWidth="1"/>
    <col min="5895" max="5895" width="8.85546875" style="11" customWidth="1"/>
    <col min="5896" max="5896" width="9.42578125" style="11" customWidth="1"/>
    <col min="5897" max="5897" width="11.5703125" style="11" customWidth="1"/>
    <col min="5898" max="5898" width="12" style="11" bestFit="1" customWidth="1"/>
    <col min="5899" max="5899" width="12.140625" style="11" customWidth="1"/>
    <col min="5900" max="5900" width="20.140625" style="11" bestFit="1" customWidth="1"/>
    <col min="5901" max="5901" width="10.5703125" style="11" bestFit="1" customWidth="1"/>
    <col min="5902" max="5902" width="16.140625" style="11" bestFit="1" customWidth="1"/>
    <col min="5903" max="5903" width="9" style="11" customWidth="1"/>
    <col min="5904" max="5904" width="21.140625" style="11" bestFit="1" customWidth="1"/>
    <col min="5905" max="6147" width="8.7109375" style="11"/>
    <col min="6148" max="6148" width="20.140625" style="11" customWidth="1"/>
    <col min="6149" max="6149" width="16.140625" style="11" customWidth="1"/>
    <col min="6150" max="6150" width="12" style="11" customWidth="1"/>
    <col min="6151" max="6151" width="8.85546875" style="11" customWidth="1"/>
    <col min="6152" max="6152" width="9.42578125" style="11" customWidth="1"/>
    <col min="6153" max="6153" width="11.5703125" style="11" customWidth="1"/>
    <col min="6154" max="6154" width="12" style="11" bestFit="1" customWidth="1"/>
    <col min="6155" max="6155" width="12.140625" style="11" customWidth="1"/>
    <col min="6156" max="6156" width="20.140625" style="11" bestFit="1" customWidth="1"/>
    <col min="6157" max="6157" width="10.5703125" style="11" bestFit="1" customWidth="1"/>
    <col min="6158" max="6158" width="16.140625" style="11" bestFit="1" customWidth="1"/>
    <col min="6159" max="6159" width="9" style="11" customWidth="1"/>
    <col min="6160" max="6160" width="21.140625" style="11" bestFit="1" customWidth="1"/>
    <col min="6161" max="6403" width="8.7109375" style="11"/>
    <col min="6404" max="6404" width="20.140625" style="11" customWidth="1"/>
    <col min="6405" max="6405" width="16.140625" style="11" customWidth="1"/>
    <col min="6406" max="6406" width="12" style="11" customWidth="1"/>
    <col min="6407" max="6407" width="8.85546875" style="11" customWidth="1"/>
    <col min="6408" max="6408" width="9.42578125" style="11" customWidth="1"/>
    <col min="6409" max="6409" width="11.5703125" style="11" customWidth="1"/>
    <col min="6410" max="6410" width="12" style="11" bestFit="1" customWidth="1"/>
    <col min="6411" max="6411" width="12.140625" style="11" customWidth="1"/>
    <col min="6412" max="6412" width="20.140625" style="11" bestFit="1" customWidth="1"/>
    <col min="6413" max="6413" width="10.5703125" style="11" bestFit="1" customWidth="1"/>
    <col min="6414" max="6414" width="16.140625" style="11" bestFit="1" customWidth="1"/>
    <col min="6415" max="6415" width="9" style="11" customWidth="1"/>
    <col min="6416" max="6416" width="21.140625" style="11" bestFit="1" customWidth="1"/>
    <col min="6417" max="6659" width="8.7109375" style="11"/>
    <col min="6660" max="6660" width="20.140625" style="11" customWidth="1"/>
    <col min="6661" max="6661" width="16.140625" style="11" customWidth="1"/>
    <col min="6662" max="6662" width="12" style="11" customWidth="1"/>
    <col min="6663" max="6663" width="8.85546875" style="11" customWidth="1"/>
    <col min="6664" max="6664" width="9.42578125" style="11" customWidth="1"/>
    <col min="6665" max="6665" width="11.5703125" style="11" customWidth="1"/>
    <col min="6666" max="6666" width="12" style="11" bestFit="1" customWidth="1"/>
    <col min="6667" max="6667" width="12.140625" style="11" customWidth="1"/>
    <col min="6668" max="6668" width="20.140625" style="11" bestFit="1" customWidth="1"/>
    <col min="6669" max="6669" width="10.5703125" style="11" bestFit="1" customWidth="1"/>
    <col min="6670" max="6670" width="16.140625" style="11" bestFit="1" customWidth="1"/>
    <col min="6671" max="6671" width="9" style="11" customWidth="1"/>
    <col min="6672" max="6672" width="21.140625" style="11" bestFit="1" customWidth="1"/>
    <col min="6673" max="6915" width="8.7109375" style="11"/>
    <col min="6916" max="6916" width="20.140625" style="11" customWidth="1"/>
    <col min="6917" max="6917" width="16.140625" style="11" customWidth="1"/>
    <col min="6918" max="6918" width="12" style="11" customWidth="1"/>
    <col min="6919" max="6919" width="8.85546875" style="11" customWidth="1"/>
    <col min="6920" max="6920" width="9.42578125" style="11" customWidth="1"/>
    <col min="6921" max="6921" width="11.5703125" style="11" customWidth="1"/>
    <col min="6922" max="6922" width="12" style="11" bestFit="1" customWidth="1"/>
    <col min="6923" max="6923" width="12.140625" style="11" customWidth="1"/>
    <col min="6924" max="6924" width="20.140625" style="11" bestFit="1" customWidth="1"/>
    <col min="6925" max="6925" width="10.5703125" style="11" bestFit="1" customWidth="1"/>
    <col min="6926" max="6926" width="16.140625" style="11" bestFit="1" customWidth="1"/>
    <col min="6927" max="6927" width="9" style="11" customWidth="1"/>
    <col min="6928" max="6928" width="21.140625" style="11" bestFit="1" customWidth="1"/>
    <col min="6929" max="7171" width="8.7109375" style="11"/>
    <col min="7172" max="7172" width="20.140625" style="11" customWidth="1"/>
    <col min="7173" max="7173" width="16.140625" style="11" customWidth="1"/>
    <col min="7174" max="7174" width="12" style="11" customWidth="1"/>
    <col min="7175" max="7175" width="8.85546875" style="11" customWidth="1"/>
    <col min="7176" max="7176" width="9.42578125" style="11" customWidth="1"/>
    <col min="7177" max="7177" width="11.5703125" style="11" customWidth="1"/>
    <col min="7178" max="7178" width="12" style="11" bestFit="1" customWidth="1"/>
    <col min="7179" max="7179" width="12.140625" style="11" customWidth="1"/>
    <col min="7180" max="7180" width="20.140625" style="11" bestFit="1" customWidth="1"/>
    <col min="7181" max="7181" width="10.5703125" style="11" bestFit="1" customWidth="1"/>
    <col min="7182" max="7182" width="16.140625" style="11" bestFit="1" customWidth="1"/>
    <col min="7183" max="7183" width="9" style="11" customWidth="1"/>
    <col min="7184" max="7184" width="21.140625" style="11" bestFit="1" customWidth="1"/>
    <col min="7185" max="7427" width="8.7109375" style="11"/>
    <col min="7428" max="7428" width="20.140625" style="11" customWidth="1"/>
    <col min="7429" max="7429" width="16.140625" style="11" customWidth="1"/>
    <col min="7430" max="7430" width="12" style="11" customWidth="1"/>
    <col min="7431" max="7431" width="8.85546875" style="11" customWidth="1"/>
    <col min="7432" max="7432" width="9.42578125" style="11" customWidth="1"/>
    <col min="7433" max="7433" width="11.5703125" style="11" customWidth="1"/>
    <col min="7434" max="7434" width="12" style="11" bestFit="1" customWidth="1"/>
    <col min="7435" max="7435" width="12.140625" style="11" customWidth="1"/>
    <col min="7436" max="7436" width="20.140625" style="11" bestFit="1" customWidth="1"/>
    <col min="7437" max="7437" width="10.5703125" style="11" bestFit="1" customWidth="1"/>
    <col min="7438" max="7438" width="16.140625" style="11" bestFit="1" customWidth="1"/>
    <col min="7439" max="7439" width="9" style="11" customWidth="1"/>
    <col min="7440" max="7440" width="21.140625" style="11" bestFit="1" customWidth="1"/>
    <col min="7441" max="7683" width="8.7109375" style="11"/>
    <col min="7684" max="7684" width="20.140625" style="11" customWidth="1"/>
    <col min="7685" max="7685" width="16.140625" style="11" customWidth="1"/>
    <col min="7686" max="7686" width="12" style="11" customWidth="1"/>
    <col min="7687" max="7687" width="8.85546875" style="11" customWidth="1"/>
    <col min="7688" max="7688" width="9.42578125" style="11" customWidth="1"/>
    <col min="7689" max="7689" width="11.5703125" style="11" customWidth="1"/>
    <col min="7690" max="7690" width="12" style="11" bestFit="1" customWidth="1"/>
    <col min="7691" max="7691" width="12.140625" style="11" customWidth="1"/>
    <col min="7692" max="7692" width="20.140625" style="11" bestFit="1" customWidth="1"/>
    <col min="7693" max="7693" width="10.5703125" style="11" bestFit="1" customWidth="1"/>
    <col min="7694" max="7694" width="16.140625" style="11" bestFit="1" customWidth="1"/>
    <col min="7695" max="7695" width="9" style="11" customWidth="1"/>
    <col min="7696" max="7696" width="21.140625" style="11" bestFit="1" customWidth="1"/>
    <col min="7697" max="7939" width="8.7109375" style="11"/>
    <col min="7940" max="7940" width="20.140625" style="11" customWidth="1"/>
    <col min="7941" max="7941" width="16.140625" style="11" customWidth="1"/>
    <col min="7942" max="7942" width="12" style="11" customWidth="1"/>
    <col min="7943" max="7943" width="8.85546875" style="11" customWidth="1"/>
    <col min="7944" max="7944" width="9.42578125" style="11" customWidth="1"/>
    <col min="7945" max="7945" width="11.5703125" style="11" customWidth="1"/>
    <col min="7946" max="7946" width="12" style="11" bestFit="1" customWidth="1"/>
    <col min="7947" max="7947" width="12.140625" style="11" customWidth="1"/>
    <col min="7948" max="7948" width="20.140625" style="11" bestFit="1" customWidth="1"/>
    <col min="7949" max="7949" width="10.5703125" style="11" bestFit="1" customWidth="1"/>
    <col min="7950" max="7950" width="16.140625" style="11" bestFit="1" customWidth="1"/>
    <col min="7951" max="7951" width="9" style="11" customWidth="1"/>
    <col min="7952" max="7952" width="21.140625" style="11" bestFit="1" customWidth="1"/>
    <col min="7953" max="8195" width="8.7109375" style="11"/>
    <col min="8196" max="8196" width="20.140625" style="11" customWidth="1"/>
    <col min="8197" max="8197" width="16.140625" style="11" customWidth="1"/>
    <col min="8198" max="8198" width="12" style="11" customWidth="1"/>
    <col min="8199" max="8199" width="8.85546875" style="11" customWidth="1"/>
    <col min="8200" max="8200" width="9.42578125" style="11" customWidth="1"/>
    <col min="8201" max="8201" width="11.5703125" style="11" customWidth="1"/>
    <col min="8202" max="8202" width="12" style="11" bestFit="1" customWidth="1"/>
    <col min="8203" max="8203" width="12.140625" style="11" customWidth="1"/>
    <col min="8204" max="8204" width="20.140625" style="11" bestFit="1" customWidth="1"/>
    <col min="8205" max="8205" width="10.5703125" style="11" bestFit="1" customWidth="1"/>
    <col min="8206" max="8206" width="16.140625" style="11" bestFit="1" customWidth="1"/>
    <col min="8207" max="8207" width="9" style="11" customWidth="1"/>
    <col min="8208" max="8208" width="21.140625" style="11" bestFit="1" customWidth="1"/>
    <col min="8209" max="8451" width="8.7109375" style="11"/>
    <col min="8452" max="8452" width="20.140625" style="11" customWidth="1"/>
    <col min="8453" max="8453" width="16.140625" style="11" customWidth="1"/>
    <col min="8454" max="8454" width="12" style="11" customWidth="1"/>
    <col min="8455" max="8455" width="8.85546875" style="11" customWidth="1"/>
    <col min="8456" max="8456" width="9.42578125" style="11" customWidth="1"/>
    <col min="8457" max="8457" width="11.5703125" style="11" customWidth="1"/>
    <col min="8458" max="8458" width="12" style="11" bestFit="1" customWidth="1"/>
    <col min="8459" max="8459" width="12.140625" style="11" customWidth="1"/>
    <col min="8460" max="8460" width="20.140625" style="11" bestFit="1" customWidth="1"/>
    <col min="8461" max="8461" width="10.5703125" style="11" bestFit="1" customWidth="1"/>
    <col min="8462" max="8462" width="16.140625" style="11" bestFit="1" customWidth="1"/>
    <col min="8463" max="8463" width="9" style="11" customWidth="1"/>
    <col min="8464" max="8464" width="21.140625" style="11" bestFit="1" customWidth="1"/>
    <col min="8465" max="8707" width="8.7109375" style="11"/>
    <col min="8708" max="8708" width="20.140625" style="11" customWidth="1"/>
    <col min="8709" max="8709" width="16.140625" style="11" customWidth="1"/>
    <col min="8710" max="8710" width="12" style="11" customWidth="1"/>
    <col min="8711" max="8711" width="8.85546875" style="11" customWidth="1"/>
    <col min="8712" max="8712" width="9.42578125" style="11" customWidth="1"/>
    <col min="8713" max="8713" width="11.5703125" style="11" customWidth="1"/>
    <col min="8714" max="8714" width="12" style="11" bestFit="1" customWidth="1"/>
    <col min="8715" max="8715" width="12.140625" style="11" customWidth="1"/>
    <col min="8716" max="8716" width="20.140625" style="11" bestFit="1" customWidth="1"/>
    <col min="8717" max="8717" width="10.5703125" style="11" bestFit="1" customWidth="1"/>
    <col min="8718" max="8718" width="16.140625" style="11" bestFit="1" customWidth="1"/>
    <col min="8719" max="8719" width="9" style="11" customWidth="1"/>
    <col min="8720" max="8720" width="21.140625" style="11" bestFit="1" customWidth="1"/>
    <col min="8721" max="8963" width="8.7109375" style="11"/>
    <col min="8964" max="8964" width="20.140625" style="11" customWidth="1"/>
    <col min="8965" max="8965" width="16.140625" style="11" customWidth="1"/>
    <col min="8966" max="8966" width="12" style="11" customWidth="1"/>
    <col min="8967" max="8967" width="8.85546875" style="11" customWidth="1"/>
    <col min="8968" max="8968" width="9.42578125" style="11" customWidth="1"/>
    <col min="8969" max="8969" width="11.5703125" style="11" customWidth="1"/>
    <col min="8970" max="8970" width="12" style="11" bestFit="1" customWidth="1"/>
    <col min="8971" max="8971" width="12.140625" style="11" customWidth="1"/>
    <col min="8972" max="8972" width="20.140625" style="11" bestFit="1" customWidth="1"/>
    <col min="8973" max="8973" width="10.5703125" style="11" bestFit="1" customWidth="1"/>
    <col min="8974" max="8974" width="16.140625" style="11" bestFit="1" customWidth="1"/>
    <col min="8975" max="8975" width="9" style="11" customWidth="1"/>
    <col min="8976" max="8976" width="21.140625" style="11" bestFit="1" customWidth="1"/>
    <col min="8977" max="9219" width="8.7109375" style="11"/>
    <col min="9220" max="9220" width="20.140625" style="11" customWidth="1"/>
    <col min="9221" max="9221" width="16.140625" style="11" customWidth="1"/>
    <col min="9222" max="9222" width="12" style="11" customWidth="1"/>
    <col min="9223" max="9223" width="8.85546875" style="11" customWidth="1"/>
    <col min="9224" max="9224" width="9.42578125" style="11" customWidth="1"/>
    <col min="9225" max="9225" width="11.5703125" style="11" customWidth="1"/>
    <col min="9226" max="9226" width="12" style="11" bestFit="1" customWidth="1"/>
    <col min="9227" max="9227" width="12.140625" style="11" customWidth="1"/>
    <col min="9228" max="9228" width="20.140625" style="11" bestFit="1" customWidth="1"/>
    <col min="9229" max="9229" width="10.5703125" style="11" bestFit="1" customWidth="1"/>
    <col min="9230" max="9230" width="16.140625" style="11" bestFit="1" customWidth="1"/>
    <col min="9231" max="9231" width="9" style="11" customWidth="1"/>
    <col min="9232" max="9232" width="21.140625" style="11" bestFit="1" customWidth="1"/>
    <col min="9233" max="9475" width="8.7109375" style="11"/>
    <col min="9476" max="9476" width="20.140625" style="11" customWidth="1"/>
    <col min="9477" max="9477" width="16.140625" style="11" customWidth="1"/>
    <col min="9478" max="9478" width="12" style="11" customWidth="1"/>
    <col min="9479" max="9479" width="8.85546875" style="11" customWidth="1"/>
    <col min="9480" max="9480" width="9.42578125" style="11" customWidth="1"/>
    <col min="9481" max="9481" width="11.5703125" style="11" customWidth="1"/>
    <col min="9482" max="9482" width="12" style="11" bestFit="1" customWidth="1"/>
    <col min="9483" max="9483" width="12.140625" style="11" customWidth="1"/>
    <col min="9484" max="9484" width="20.140625" style="11" bestFit="1" customWidth="1"/>
    <col min="9485" max="9485" width="10.5703125" style="11" bestFit="1" customWidth="1"/>
    <col min="9486" max="9486" width="16.140625" style="11" bestFit="1" customWidth="1"/>
    <col min="9487" max="9487" width="9" style="11" customWidth="1"/>
    <col min="9488" max="9488" width="21.140625" style="11" bestFit="1" customWidth="1"/>
    <col min="9489" max="9731" width="8.7109375" style="11"/>
    <col min="9732" max="9732" width="20.140625" style="11" customWidth="1"/>
    <col min="9733" max="9733" width="16.140625" style="11" customWidth="1"/>
    <col min="9734" max="9734" width="12" style="11" customWidth="1"/>
    <col min="9735" max="9735" width="8.85546875" style="11" customWidth="1"/>
    <col min="9736" max="9736" width="9.42578125" style="11" customWidth="1"/>
    <col min="9737" max="9737" width="11.5703125" style="11" customWidth="1"/>
    <col min="9738" max="9738" width="12" style="11" bestFit="1" customWidth="1"/>
    <col min="9739" max="9739" width="12.140625" style="11" customWidth="1"/>
    <col min="9740" max="9740" width="20.140625" style="11" bestFit="1" customWidth="1"/>
    <col min="9741" max="9741" width="10.5703125" style="11" bestFit="1" customWidth="1"/>
    <col min="9742" max="9742" width="16.140625" style="11" bestFit="1" customWidth="1"/>
    <col min="9743" max="9743" width="9" style="11" customWidth="1"/>
    <col min="9744" max="9744" width="21.140625" style="11" bestFit="1" customWidth="1"/>
    <col min="9745" max="9987" width="8.7109375" style="11"/>
    <col min="9988" max="9988" width="20.140625" style="11" customWidth="1"/>
    <col min="9989" max="9989" width="16.140625" style="11" customWidth="1"/>
    <col min="9990" max="9990" width="12" style="11" customWidth="1"/>
    <col min="9991" max="9991" width="8.85546875" style="11" customWidth="1"/>
    <col min="9992" max="9992" width="9.42578125" style="11" customWidth="1"/>
    <col min="9993" max="9993" width="11.5703125" style="11" customWidth="1"/>
    <col min="9994" max="9994" width="12" style="11" bestFit="1" customWidth="1"/>
    <col min="9995" max="9995" width="12.140625" style="11" customWidth="1"/>
    <col min="9996" max="9996" width="20.140625" style="11" bestFit="1" customWidth="1"/>
    <col min="9997" max="9997" width="10.5703125" style="11" bestFit="1" customWidth="1"/>
    <col min="9998" max="9998" width="16.140625" style="11" bestFit="1" customWidth="1"/>
    <col min="9999" max="9999" width="9" style="11" customWidth="1"/>
    <col min="10000" max="10000" width="21.140625" style="11" bestFit="1" customWidth="1"/>
    <col min="10001" max="10243" width="8.7109375" style="11"/>
    <col min="10244" max="10244" width="20.140625" style="11" customWidth="1"/>
    <col min="10245" max="10245" width="16.140625" style="11" customWidth="1"/>
    <col min="10246" max="10246" width="12" style="11" customWidth="1"/>
    <col min="10247" max="10247" width="8.85546875" style="11" customWidth="1"/>
    <col min="10248" max="10248" width="9.42578125" style="11" customWidth="1"/>
    <col min="10249" max="10249" width="11.5703125" style="11" customWidth="1"/>
    <col min="10250" max="10250" width="12" style="11" bestFit="1" customWidth="1"/>
    <col min="10251" max="10251" width="12.140625" style="11" customWidth="1"/>
    <col min="10252" max="10252" width="20.140625" style="11" bestFit="1" customWidth="1"/>
    <col min="10253" max="10253" width="10.5703125" style="11" bestFit="1" customWidth="1"/>
    <col min="10254" max="10254" width="16.140625" style="11" bestFit="1" customWidth="1"/>
    <col min="10255" max="10255" width="9" style="11" customWidth="1"/>
    <col min="10256" max="10256" width="21.140625" style="11" bestFit="1" customWidth="1"/>
    <col min="10257" max="10499" width="8.7109375" style="11"/>
    <col min="10500" max="10500" width="20.140625" style="11" customWidth="1"/>
    <col min="10501" max="10501" width="16.140625" style="11" customWidth="1"/>
    <col min="10502" max="10502" width="12" style="11" customWidth="1"/>
    <col min="10503" max="10503" width="8.85546875" style="11" customWidth="1"/>
    <col min="10504" max="10504" width="9.42578125" style="11" customWidth="1"/>
    <col min="10505" max="10505" width="11.5703125" style="11" customWidth="1"/>
    <col min="10506" max="10506" width="12" style="11" bestFit="1" customWidth="1"/>
    <col min="10507" max="10507" width="12.140625" style="11" customWidth="1"/>
    <col min="10508" max="10508" width="20.140625" style="11" bestFit="1" customWidth="1"/>
    <col min="10509" max="10509" width="10.5703125" style="11" bestFit="1" customWidth="1"/>
    <col min="10510" max="10510" width="16.140625" style="11" bestFit="1" customWidth="1"/>
    <col min="10511" max="10511" width="9" style="11" customWidth="1"/>
    <col min="10512" max="10512" width="21.140625" style="11" bestFit="1" customWidth="1"/>
    <col min="10513" max="10755" width="8.7109375" style="11"/>
    <col min="10756" max="10756" width="20.140625" style="11" customWidth="1"/>
    <col min="10757" max="10757" width="16.140625" style="11" customWidth="1"/>
    <col min="10758" max="10758" width="12" style="11" customWidth="1"/>
    <col min="10759" max="10759" width="8.85546875" style="11" customWidth="1"/>
    <col min="10760" max="10760" width="9.42578125" style="11" customWidth="1"/>
    <col min="10761" max="10761" width="11.5703125" style="11" customWidth="1"/>
    <col min="10762" max="10762" width="12" style="11" bestFit="1" customWidth="1"/>
    <col min="10763" max="10763" width="12.140625" style="11" customWidth="1"/>
    <col min="10764" max="10764" width="20.140625" style="11" bestFit="1" customWidth="1"/>
    <col min="10765" max="10765" width="10.5703125" style="11" bestFit="1" customWidth="1"/>
    <col min="10766" max="10766" width="16.140625" style="11" bestFit="1" customWidth="1"/>
    <col min="10767" max="10767" width="9" style="11" customWidth="1"/>
    <col min="10768" max="10768" width="21.140625" style="11" bestFit="1" customWidth="1"/>
    <col min="10769" max="11011" width="8.7109375" style="11"/>
    <col min="11012" max="11012" width="20.140625" style="11" customWidth="1"/>
    <col min="11013" max="11013" width="16.140625" style="11" customWidth="1"/>
    <col min="11014" max="11014" width="12" style="11" customWidth="1"/>
    <col min="11015" max="11015" width="8.85546875" style="11" customWidth="1"/>
    <col min="11016" max="11016" width="9.42578125" style="11" customWidth="1"/>
    <col min="11017" max="11017" width="11.5703125" style="11" customWidth="1"/>
    <col min="11018" max="11018" width="12" style="11" bestFit="1" customWidth="1"/>
    <col min="11019" max="11019" width="12.140625" style="11" customWidth="1"/>
    <col min="11020" max="11020" width="20.140625" style="11" bestFit="1" customWidth="1"/>
    <col min="11021" max="11021" width="10.5703125" style="11" bestFit="1" customWidth="1"/>
    <col min="11022" max="11022" width="16.140625" style="11" bestFit="1" customWidth="1"/>
    <col min="11023" max="11023" width="9" style="11" customWidth="1"/>
    <col min="11024" max="11024" width="21.140625" style="11" bestFit="1" customWidth="1"/>
    <col min="11025" max="11267" width="8.7109375" style="11"/>
    <col min="11268" max="11268" width="20.140625" style="11" customWidth="1"/>
    <col min="11269" max="11269" width="16.140625" style="11" customWidth="1"/>
    <col min="11270" max="11270" width="12" style="11" customWidth="1"/>
    <col min="11271" max="11271" width="8.85546875" style="11" customWidth="1"/>
    <col min="11272" max="11272" width="9.42578125" style="11" customWidth="1"/>
    <col min="11273" max="11273" width="11.5703125" style="11" customWidth="1"/>
    <col min="11274" max="11274" width="12" style="11" bestFit="1" customWidth="1"/>
    <col min="11275" max="11275" width="12.140625" style="11" customWidth="1"/>
    <col min="11276" max="11276" width="20.140625" style="11" bestFit="1" customWidth="1"/>
    <col min="11277" max="11277" width="10.5703125" style="11" bestFit="1" customWidth="1"/>
    <col min="11278" max="11278" width="16.140625" style="11" bestFit="1" customWidth="1"/>
    <col min="11279" max="11279" width="9" style="11" customWidth="1"/>
    <col min="11280" max="11280" width="21.140625" style="11" bestFit="1" customWidth="1"/>
    <col min="11281" max="11523" width="8.7109375" style="11"/>
    <col min="11524" max="11524" width="20.140625" style="11" customWidth="1"/>
    <col min="11525" max="11525" width="16.140625" style="11" customWidth="1"/>
    <col min="11526" max="11526" width="12" style="11" customWidth="1"/>
    <col min="11527" max="11527" width="8.85546875" style="11" customWidth="1"/>
    <col min="11528" max="11528" width="9.42578125" style="11" customWidth="1"/>
    <col min="11529" max="11529" width="11.5703125" style="11" customWidth="1"/>
    <col min="11530" max="11530" width="12" style="11" bestFit="1" customWidth="1"/>
    <col min="11531" max="11531" width="12.140625" style="11" customWidth="1"/>
    <col min="11532" max="11532" width="20.140625" style="11" bestFit="1" customWidth="1"/>
    <col min="11533" max="11533" width="10.5703125" style="11" bestFit="1" customWidth="1"/>
    <col min="11534" max="11534" width="16.140625" style="11" bestFit="1" customWidth="1"/>
    <col min="11535" max="11535" width="9" style="11" customWidth="1"/>
    <col min="11536" max="11536" width="21.140625" style="11" bestFit="1" customWidth="1"/>
    <col min="11537" max="11779" width="8.7109375" style="11"/>
    <col min="11780" max="11780" width="20.140625" style="11" customWidth="1"/>
    <col min="11781" max="11781" width="16.140625" style="11" customWidth="1"/>
    <col min="11782" max="11782" width="12" style="11" customWidth="1"/>
    <col min="11783" max="11783" width="8.85546875" style="11" customWidth="1"/>
    <col min="11784" max="11784" width="9.42578125" style="11" customWidth="1"/>
    <col min="11785" max="11785" width="11.5703125" style="11" customWidth="1"/>
    <col min="11786" max="11786" width="12" style="11" bestFit="1" customWidth="1"/>
    <col min="11787" max="11787" width="12.140625" style="11" customWidth="1"/>
    <col min="11788" max="11788" width="20.140625" style="11" bestFit="1" customWidth="1"/>
    <col min="11789" max="11789" width="10.5703125" style="11" bestFit="1" customWidth="1"/>
    <col min="11790" max="11790" width="16.140625" style="11" bestFit="1" customWidth="1"/>
    <col min="11791" max="11791" width="9" style="11" customWidth="1"/>
    <col min="11792" max="11792" width="21.140625" style="11" bestFit="1" customWidth="1"/>
    <col min="11793" max="12035" width="8.7109375" style="11"/>
    <col min="12036" max="12036" width="20.140625" style="11" customWidth="1"/>
    <col min="12037" max="12037" width="16.140625" style="11" customWidth="1"/>
    <col min="12038" max="12038" width="12" style="11" customWidth="1"/>
    <col min="12039" max="12039" width="8.85546875" style="11" customWidth="1"/>
    <col min="12040" max="12040" width="9.42578125" style="11" customWidth="1"/>
    <col min="12041" max="12041" width="11.5703125" style="11" customWidth="1"/>
    <col min="12042" max="12042" width="12" style="11" bestFit="1" customWidth="1"/>
    <col min="12043" max="12043" width="12.140625" style="11" customWidth="1"/>
    <col min="12044" max="12044" width="20.140625" style="11" bestFit="1" customWidth="1"/>
    <col min="12045" max="12045" width="10.5703125" style="11" bestFit="1" customWidth="1"/>
    <col min="12046" max="12046" width="16.140625" style="11" bestFit="1" customWidth="1"/>
    <col min="12047" max="12047" width="9" style="11" customWidth="1"/>
    <col min="12048" max="12048" width="21.140625" style="11" bestFit="1" customWidth="1"/>
    <col min="12049" max="12291" width="8.7109375" style="11"/>
    <col min="12292" max="12292" width="20.140625" style="11" customWidth="1"/>
    <col min="12293" max="12293" width="16.140625" style="11" customWidth="1"/>
    <col min="12294" max="12294" width="12" style="11" customWidth="1"/>
    <col min="12295" max="12295" width="8.85546875" style="11" customWidth="1"/>
    <col min="12296" max="12296" width="9.42578125" style="11" customWidth="1"/>
    <col min="12297" max="12297" width="11.5703125" style="11" customWidth="1"/>
    <col min="12298" max="12298" width="12" style="11" bestFit="1" customWidth="1"/>
    <col min="12299" max="12299" width="12.140625" style="11" customWidth="1"/>
    <col min="12300" max="12300" width="20.140625" style="11" bestFit="1" customWidth="1"/>
    <col min="12301" max="12301" width="10.5703125" style="11" bestFit="1" customWidth="1"/>
    <col min="12302" max="12302" width="16.140625" style="11" bestFit="1" customWidth="1"/>
    <col min="12303" max="12303" width="9" style="11" customWidth="1"/>
    <col min="12304" max="12304" width="21.140625" style="11" bestFit="1" customWidth="1"/>
    <col min="12305" max="12547" width="8.7109375" style="11"/>
    <col min="12548" max="12548" width="20.140625" style="11" customWidth="1"/>
    <col min="12549" max="12549" width="16.140625" style="11" customWidth="1"/>
    <col min="12550" max="12550" width="12" style="11" customWidth="1"/>
    <col min="12551" max="12551" width="8.85546875" style="11" customWidth="1"/>
    <col min="12552" max="12552" width="9.42578125" style="11" customWidth="1"/>
    <col min="12553" max="12553" width="11.5703125" style="11" customWidth="1"/>
    <col min="12554" max="12554" width="12" style="11" bestFit="1" customWidth="1"/>
    <col min="12555" max="12555" width="12.140625" style="11" customWidth="1"/>
    <col min="12556" max="12556" width="20.140625" style="11" bestFit="1" customWidth="1"/>
    <col min="12557" max="12557" width="10.5703125" style="11" bestFit="1" customWidth="1"/>
    <col min="12558" max="12558" width="16.140625" style="11" bestFit="1" customWidth="1"/>
    <col min="12559" max="12559" width="9" style="11" customWidth="1"/>
    <col min="12560" max="12560" width="21.140625" style="11" bestFit="1" customWidth="1"/>
    <col min="12561" max="12803" width="8.7109375" style="11"/>
    <col min="12804" max="12804" width="20.140625" style="11" customWidth="1"/>
    <col min="12805" max="12805" width="16.140625" style="11" customWidth="1"/>
    <col min="12806" max="12806" width="12" style="11" customWidth="1"/>
    <col min="12807" max="12807" width="8.85546875" style="11" customWidth="1"/>
    <col min="12808" max="12808" width="9.42578125" style="11" customWidth="1"/>
    <col min="12809" max="12809" width="11.5703125" style="11" customWidth="1"/>
    <col min="12810" max="12810" width="12" style="11" bestFit="1" customWidth="1"/>
    <col min="12811" max="12811" width="12.140625" style="11" customWidth="1"/>
    <col min="12812" max="12812" width="20.140625" style="11" bestFit="1" customWidth="1"/>
    <col min="12813" max="12813" width="10.5703125" style="11" bestFit="1" customWidth="1"/>
    <col min="12814" max="12814" width="16.140625" style="11" bestFit="1" customWidth="1"/>
    <col min="12815" max="12815" width="9" style="11" customWidth="1"/>
    <col min="12816" max="12816" width="21.140625" style="11" bestFit="1" customWidth="1"/>
    <col min="12817" max="13059" width="8.7109375" style="11"/>
    <col min="13060" max="13060" width="20.140625" style="11" customWidth="1"/>
    <col min="13061" max="13061" width="16.140625" style="11" customWidth="1"/>
    <col min="13062" max="13062" width="12" style="11" customWidth="1"/>
    <col min="13063" max="13063" width="8.85546875" style="11" customWidth="1"/>
    <col min="13064" max="13064" width="9.42578125" style="11" customWidth="1"/>
    <col min="13065" max="13065" width="11.5703125" style="11" customWidth="1"/>
    <col min="13066" max="13066" width="12" style="11" bestFit="1" customWidth="1"/>
    <col min="13067" max="13067" width="12.140625" style="11" customWidth="1"/>
    <col min="13068" max="13068" width="20.140625" style="11" bestFit="1" customWidth="1"/>
    <col min="13069" max="13069" width="10.5703125" style="11" bestFit="1" customWidth="1"/>
    <col min="13070" max="13070" width="16.140625" style="11" bestFit="1" customWidth="1"/>
    <col min="13071" max="13071" width="9" style="11" customWidth="1"/>
    <col min="13072" max="13072" width="21.140625" style="11" bestFit="1" customWidth="1"/>
    <col min="13073" max="13315" width="8.7109375" style="11"/>
    <col min="13316" max="13316" width="20.140625" style="11" customWidth="1"/>
    <col min="13317" max="13317" width="16.140625" style="11" customWidth="1"/>
    <col min="13318" max="13318" width="12" style="11" customWidth="1"/>
    <col min="13319" max="13319" width="8.85546875" style="11" customWidth="1"/>
    <col min="13320" max="13320" width="9.42578125" style="11" customWidth="1"/>
    <col min="13321" max="13321" width="11.5703125" style="11" customWidth="1"/>
    <col min="13322" max="13322" width="12" style="11" bestFit="1" customWidth="1"/>
    <col min="13323" max="13323" width="12.140625" style="11" customWidth="1"/>
    <col min="13324" max="13324" width="20.140625" style="11" bestFit="1" customWidth="1"/>
    <col min="13325" max="13325" width="10.5703125" style="11" bestFit="1" customWidth="1"/>
    <col min="13326" max="13326" width="16.140625" style="11" bestFit="1" customWidth="1"/>
    <col min="13327" max="13327" width="9" style="11" customWidth="1"/>
    <col min="13328" max="13328" width="21.140625" style="11" bestFit="1" customWidth="1"/>
    <col min="13329" max="13571" width="8.7109375" style="11"/>
    <col min="13572" max="13572" width="20.140625" style="11" customWidth="1"/>
    <col min="13573" max="13573" width="16.140625" style="11" customWidth="1"/>
    <col min="13574" max="13574" width="12" style="11" customWidth="1"/>
    <col min="13575" max="13575" width="8.85546875" style="11" customWidth="1"/>
    <col min="13576" max="13576" width="9.42578125" style="11" customWidth="1"/>
    <col min="13577" max="13577" width="11.5703125" style="11" customWidth="1"/>
    <col min="13578" max="13578" width="12" style="11" bestFit="1" customWidth="1"/>
    <col min="13579" max="13579" width="12.140625" style="11" customWidth="1"/>
    <col min="13580" max="13580" width="20.140625" style="11" bestFit="1" customWidth="1"/>
    <col min="13581" max="13581" width="10.5703125" style="11" bestFit="1" customWidth="1"/>
    <col min="13582" max="13582" width="16.140625" style="11" bestFit="1" customWidth="1"/>
    <col min="13583" max="13583" width="9" style="11" customWidth="1"/>
    <col min="13584" max="13584" width="21.140625" style="11" bestFit="1" customWidth="1"/>
    <col min="13585" max="13827" width="8.7109375" style="11"/>
    <col min="13828" max="13828" width="20.140625" style="11" customWidth="1"/>
    <col min="13829" max="13829" width="16.140625" style="11" customWidth="1"/>
    <col min="13830" max="13830" width="12" style="11" customWidth="1"/>
    <col min="13831" max="13831" width="8.85546875" style="11" customWidth="1"/>
    <col min="13832" max="13832" width="9.42578125" style="11" customWidth="1"/>
    <col min="13833" max="13833" width="11.5703125" style="11" customWidth="1"/>
    <col min="13834" max="13834" width="12" style="11" bestFit="1" customWidth="1"/>
    <col min="13835" max="13835" width="12.140625" style="11" customWidth="1"/>
    <col min="13836" max="13836" width="20.140625" style="11" bestFit="1" customWidth="1"/>
    <col min="13837" max="13837" width="10.5703125" style="11" bestFit="1" customWidth="1"/>
    <col min="13838" max="13838" width="16.140625" style="11" bestFit="1" customWidth="1"/>
    <col min="13839" max="13839" width="9" style="11" customWidth="1"/>
    <col min="13840" max="13840" width="21.140625" style="11" bestFit="1" customWidth="1"/>
    <col min="13841" max="14083" width="8.7109375" style="11"/>
    <col min="14084" max="14084" width="20.140625" style="11" customWidth="1"/>
    <col min="14085" max="14085" width="16.140625" style="11" customWidth="1"/>
    <col min="14086" max="14086" width="12" style="11" customWidth="1"/>
    <col min="14087" max="14087" width="8.85546875" style="11" customWidth="1"/>
    <col min="14088" max="14088" width="9.42578125" style="11" customWidth="1"/>
    <col min="14089" max="14089" width="11.5703125" style="11" customWidth="1"/>
    <col min="14090" max="14090" width="12" style="11" bestFit="1" customWidth="1"/>
    <col min="14091" max="14091" width="12.140625" style="11" customWidth="1"/>
    <col min="14092" max="14092" width="20.140625" style="11" bestFit="1" customWidth="1"/>
    <col min="14093" max="14093" width="10.5703125" style="11" bestFit="1" customWidth="1"/>
    <col min="14094" max="14094" width="16.140625" style="11" bestFit="1" customWidth="1"/>
    <col min="14095" max="14095" width="9" style="11" customWidth="1"/>
    <col min="14096" max="14096" width="21.140625" style="11" bestFit="1" customWidth="1"/>
    <col min="14097" max="14339" width="8.7109375" style="11"/>
    <col min="14340" max="14340" width="20.140625" style="11" customWidth="1"/>
    <col min="14341" max="14341" width="16.140625" style="11" customWidth="1"/>
    <col min="14342" max="14342" width="12" style="11" customWidth="1"/>
    <col min="14343" max="14343" width="8.85546875" style="11" customWidth="1"/>
    <col min="14344" max="14344" width="9.42578125" style="11" customWidth="1"/>
    <col min="14345" max="14345" width="11.5703125" style="11" customWidth="1"/>
    <col min="14346" max="14346" width="12" style="11" bestFit="1" customWidth="1"/>
    <col min="14347" max="14347" width="12.140625" style="11" customWidth="1"/>
    <col min="14348" max="14348" width="20.140625" style="11" bestFit="1" customWidth="1"/>
    <col min="14349" max="14349" width="10.5703125" style="11" bestFit="1" customWidth="1"/>
    <col min="14350" max="14350" width="16.140625" style="11" bestFit="1" customWidth="1"/>
    <col min="14351" max="14351" width="9" style="11" customWidth="1"/>
    <col min="14352" max="14352" width="21.140625" style="11" bestFit="1" customWidth="1"/>
    <col min="14353" max="14595" width="8.7109375" style="11"/>
    <col min="14596" max="14596" width="20.140625" style="11" customWidth="1"/>
    <col min="14597" max="14597" width="16.140625" style="11" customWidth="1"/>
    <col min="14598" max="14598" width="12" style="11" customWidth="1"/>
    <col min="14599" max="14599" width="8.85546875" style="11" customWidth="1"/>
    <col min="14600" max="14600" width="9.42578125" style="11" customWidth="1"/>
    <col min="14601" max="14601" width="11.5703125" style="11" customWidth="1"/>
    <col min="14602" max="14602" width="12" style="11" bestFit="1" customWidth="1"/>
    <col min="14603" max="14603" width="12.140625" style="11" customWidth="1"/>
    <col min="14604" max="14604" width="20.140625" style="11" bestFit="1" customWidth="1"/>
    <col min="14605" max="14605" width="10.5703125" style="11" bestFit="1" customWidth="1"/>
    <col min="14606" max="14606" width="16.140625" style="11" bestFit="1" customWidth="1"/>
    <col min="14607" max="14607" width="9" style="11" customWidth="1"/>
    <col min="14608" max="14608" width="21.140625" style="11" bestFit="1" customWidth="1"/>
    <col min="14609" max="14851" width="8.7109375" style="11"/>
    <col min="14852" max="14852" width="20.140625" style="11" customWidth="1"/>
    <col min="14853" max="14853" width="16.140625" style="11" customWidth="1"/>
    <col min="14854" max="14854" width="12" style="11" customWidth="1"/>
    <col min="14855" max="14855" width="8.85546875" style="11" customWidth="1"/>
    <col min="14856" max="14856" width="9.42578125" style="11" customWidth="1"/>
    <col min="14857" max="14857" width="11.5703125" style="11" customWidth="1"/>
    <col min="14858" max="14858" width="12" style="11" bestFit="1" customWidth="1"/>
    <col min="14859" max="14859" width="12.140625" style="11" customWidth="1"/>
    <col min="14860" max="14860" width="20.140625" style="11" bestFit="1" customWidth="1"/>
    <col min="14861" max="14861" width="10.5703125" style="11" bestFit="1" customWidth="1"/>
    <col min="14862" max="14862" width="16.140625" style="11" bestFit="1" customWidth="1"/>
    <col min="14863" max="14863" width="9" style="11" customWidth="1"/>
    <col min="14864" max="14864" width="21.140625" style="11" bestFit="1" customWidth="1"/>
    <col min="14865" max="15107" width="8.7109375" style="11"/>
    <col min="15108" max="15108" width="20.140625" style="11" customWidth="1"/>
    <col min="15109" max="15109" width="16.140625" style="11" customWidth="1"/>
    <col min="15110" max="15110" width="12" style="11" customWidth="1"/>
    <col min="15111" max="15111" width="8.85546875" style="11" customWidth="1"/>
    <col min="15112" max="15112" width="9.42578125" style="11" customWidth="1"/>
    <col min="15113" max="15113" width="11.5703125" style="11" customWidth="1"/>
    <col min="15114" max="15114" width="12" style="11" bestFit="1" customWidth="1"/>
    <col min="15115" max="15115" width="12.140625" style="11" customWidth="1"/>
    <col min="15116" max="15116" width="20.140625" style="11" bestFit="1" customWidth="1"/>
    <col min="15117" max="15117" width="10.5703125" style="11" bestFit="1" customWidth="1"/>
    <col min="15118" max="15118" width="16.140625" style="11" bestFit="1" customWidth="1"/>
    <col min="15119" max="15119" width="9" style="11" customWidth="1"/>
    <col min="15120" max="15120" width="21.140625" style="11" bestFit="1" customWidth="1"/>
    <col min="15121" max="15363" width="8.7109375" style="11"/>
    <col min="15364" max="15364" width="20.140625" style="11" customWidth="1"/>
    <col min="15365" max="15365" width="16.140625" style="11" customWidth="1"/>
    <col min="15366" max="15366" width="12" style="11" customWidth="1"/>
    <col min="15367" max="15367" width="8.85546875" style="11" customWidth="1"/>
    <col min="15368" max="15368" width="9.42578125" style="11" customWidth="1"/>
    <col min="15369" max="15369" width="11.5703125" style="11" customWidth="1"/>
    <col min="15370" max="15370" width="12" style="11" bestFit="1" customWidth="1"/>
    <col min="15371" max="15371" width="12.140625" style="11" customWidth="1"/>
    <col min="15372" max="15372" width="20.140625" style="11" bestFit="1" customWidth="1"/>
    <col min="15373" max="15373" width="10.5703125" style="11" bestFit="1" customWidth="1"/>
    <col min="15374" max="15374" width="16.140625" style="11" bestFit="1" customWidth="1"/>
    <col min="15375" max="15375" width="9" style="11" customWidth="1"/>
    <col min="15376" max="15376" width="21.140625" style="11" bestFit="1" customWidth="1"/>
    <col min="15377" max="15619" width="8.7109375" style="11"/>
    <col min="15620" max="15620" width="20.140625" style="11" customWidth="1"/>
    <col min="15621" max="15621" width="16.140625" style="11" customWidth="1"/>
    <col min="15622" max="15622" width="12" style="11" customWidth="1"/>
    <col min="15623" max="15623" width="8.85546875" style="11" customWidth="1"/>
    <col min="15624" max="15624" width="9.42578125" style="11" customWidth="1"/>
    <col min="15625" max="15625" width="11.5703125" style="11" customWidth="1"/>
    <col min="15626" max="15626" width="12" style="11" bestFit="1" customWidth="1"/>
    <col min="15627" max="15627" width="12.140625" style="11" customWidth="1"/>
    <col min="15628" max="15628" width="20.140625" style="11" bestFit="1" customWidth="1"/>
    <col min="15629" max="15629" width="10.5703125" style="11" bestFit="1" customWidth="1"/>
    <col min="15630" max="15630" width="16.140625" style="11" bestFit="1" customWidth="1"/>
    <col min="15631" max="15631" width="9" style="11" customWidth="1"/>
    <col min="15632" max="15632" width="21.140625" style="11" bestFit="1" customWidth="1"/>
    <col min="15633" max="15875" width="8.7109375" style="11"/>
    <col min="15876" max="15876" width="20.140625" style="11" customWidth="1"/>
    <col min="15877" max="15877" width="16.140625" style="11" customWidth="1"/>
    <col min="15878" max="15878" width="12" style="11" customWidth="1"/>
    <col min="15879" max="15879" width="8.85546875" style="11" customWidth="1"/>
    <col min="15880" max="15880" width="9.42578125" style="11" customWidth="1"/>
    <col min="15881" max="15881" width="11.5703125" style="11" customWidth="1"/>
    <col min="15882" max="15882" width="12" style="11" bestFit="1" customWidth="1"/>
    <col min="15883" max="15883" width="12.140625" style="11" customWidth="1"/>
    <col min="15884" max="15884" width="20.140625" style="11" bestFit="1" customWidth="1"/>
    <col min="15885" max="15885" width="10.5703125" style="11" bestFit="1" customWidth="1"/>
    <col min="15886" max="15886" width="16.140625" style="11" bestFit="1" customWidth="1"/>
    <col min="15887" max="15887" width="9" style="11" customWidth="1"/>
    <col min="15888" max="15888" width="21.140625" style="11" bestFit="1" customWidth="1"/>
    <col min="15889" max="16131" width="8.7109375" style="11"/>
    <col min="16132" max="16132" width="20.140625" style="11" customWidth="1"/>
    <col min="16133" max="16133" width="16.140625" style="11" customWidth="1"/>
    <col min="16134" max="16134" width="12" style="11" customWidth="1"/>
    <col min="16135" max="16135" width="8.85546875" style="11" customWidth="1"/>
    <col min="16136" max="16136" width="9.42578125" style="11" customWidth="1"/>
    <col min="16137" max="16137" width="11.5703125" style="11" customWidth="1"/>
    <col min="16138" max="16138" width="12" style="11" bestFit="1" customWidth="1"/>
    <col min="16139" max="16139" width="12.140625" style="11" customWidth="1"/>
    <col min="16140" max="16140" width="20.140625" style="11" bestFit="1" customWidth="1"/>
    <col min="16141" max="16141" width="10.5703125" style="11" bestFit="1" customWidth="1"/>
    <col min="16142" max="16142" width="16.140625" style="11" bestFit="1" customWidth="1"/>
    <col min="16143" max="16143" width="9" style="11" customWidth="1"/>
    <col min="16144" max="16144" width="21.140625" style="11" bestFit="1" customWidth="1"/>
    <col min="16145" max="16384" width="8.7109375" style="11"/>
  </cols>
  <sheetData>
    <row r="1" spans="1:26" ht="20.25" thickBot="1">
      <c r="A1" s="20" t="s">
        <v>93</v>
      </c>
      <c r="J1" s="90" t="s">
        <v>458</v>
      </c>
      <c r="M1" s="33"/>
      <c r="P1" s="90" t="s">
        <v>452</v>
      </c>
    </row>
    <row r="2" spans="1:26" ht="15.75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453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448</v>
      </c>
      <c r="M8" s="23"/>
      <c r="N8" s="23" t="s">
        <v>449</v>
      </c>
      <c r="Q8" s="11" t="s">
        <v>454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455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456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457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0: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459</v>
      </c>
      <c r="R13" s="105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4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M20" sqref="M20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:J11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3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4:N18"/>
  <sheetViews>
    <sheetView tabSelected="1" workbookViewId="0">
      <selection activeCell="Q16" sqref="Q16"/>
    </sheetView>
  </sheetViews>
  <sheetFormatPr defaultRowHeight="15"/>
  <cols>
    <col min="1" max="1" width="14" bestFit="1" customWidth="1"/>
    <col min="2" max="2" width="8" bestFit="1" customWidth="1"/>
    <col min="3" max="3" width="11.5703125" bestFit="1" customWidth="1"/>
    <col min="4" max="4" width="9.5703125" bestFit="1" customWidth="1"/>
    <col min="5" max="5" width="7" bestFit="1" customWidth="1"/>
    <col min="6" max="6" width="3" bestFit="1" customWidth="1"/>
    <col min="7" max="7" width="11.5703125" bestFit="1" customWidth="1"/>
    <col min="11" max="11" width="16.28515625" bestFit="1" customWidth="1"/>
    <col min="14" max="14" width="11.28515625" bestFit="1" customWidth="1"/>
  </cols>
  <sheetData>
    <row r="4" spans="1:14">
      <c r="A4" s="1" t="s">
        <v>583</v>
      </c>
      <c r="H4" s="1"/>
      <c r="I4" s="1" t="s">
        <v>586</v>
      </c>
    </row>
    <row r="5" spans="1:14">
      <c r="B5" t="s">
        <v>581</v>
      </c>
      <c r="C5" t="s">
        <v>223</v>
      </c>
      <c r="D5" t="s">
        <v>582</v>
      </c>
      <c r="E5" t="s">
        <v>225</v>
      </c>
      <c r="I5" s="2" t="s">
        <v>588</v>
      </c>
      <c r="J5" s="2" t="s">
        <v>231</v>
      </c>
      <c r="K5" s="111" t="s">
        <v>232</v>
      </c>
      <c r="L5" t="s">
        <v>589</v>
      </c>
      <c r="N5" t="s">
        <v>590</v>
      </c>
    </row>
    <row r="6" spans="1:14">
      <c r="B6">
        <v>1</v>
      </c>
      <c r="C6">
        <v>2</v>
      </c>
      <c r="D6" s="112">
        <v>24.5</v>
      </c>
      <c r="E6" s="53">
        <v>150000</v>
      </c>
      <c r="F6" s="28" t="s">
        <v>278</v>
      </c>
      <c r="G6" s="113">
        <v>150000</v>
      </c>
      <c r="I6" s="2">
        <v>1</v>
      </c>
      <c r="J6" s="2">
        <f>SUMIF($B$6:$B$15,$I6,$E$6:$E$15)</f>
        <v>290000</v>
      </c>
      <c r="K6" s="2">
        <f>SUMIF($C$6:$C$15,$I6,$E$6:$E$15)</f>
        <v>0</v>
      </c>
      <c r="L6">
        <f>J6-K6</f>
        <v>290000</v>
      </c>
      <c r="M6" s="2" t="s">
        <v>354</v>
      </c>
      <c r="N6" s="76">
        <v>290000</v>
      </c>
    </row>
    <row r="7" spans="1:14">
      <c r="B7">
        <v>1</v>
      </c>
      <c r="C7">
        <v>3</v>
      </c>
      <c r="D7" s="112">
        <v>26</v>
      </c>
      <c r="E7" s="53">
        <v>140000</v>
      </c>
      <c r="F7" s="28" t="s">
        <v>278</v>
      </c>
      <c r="G7" s="113">
        <v>150000</v>
      </c>
      <c r="I7" s="1"/>
      <c r="J7" s="2"/>
      <c r="K7" s="109"/>
    </row>
    <row r="8" spans="1:14">
      <c r="B8">
        <v>2</v>
      </c>
      <c r="C8">
        <v>4</v>
      </c>
      <c r="D8" s="112">
        <v>9.6</v>
      </c>
      <c r="E8" s="53">
        <v>90000</v>
      </c>
      <c r="F8" s="28"/>
      <c r="H8" s="1"/>
      <c r="I8" s="1" t="s">
        <v>587</v>
      </c>
      <c r="J8" s="2"/>
      <c r="K8" s="109"/>
    </row>
    <row r="9" spans="1:14">
      <c r="B9">
        <v>2</v>
      </c>
      <c r="C9">
        <v>5</v>
      </c>
      <c r="D9" s="112">
        <v>7</v>
      </c>
      <c r="E9" s="53">
        <v>60000</v>
      </c>
      <c r="F9" s="28"/>
      <c r="I9" s="2" t="s">
        <v>588</v>
      </c>
      <c r="J9" s="2" t="s">
        <v>231</v>
      </c>
      <c r="K9" s="111" t="s">
        <v>232</v>
      </c>
      <c r="L9" t="s">
        <v>589</v>
      </c>
      <c r="N9" t="s">
        <v>590</v>
      </c>
    </row>
    <row r="10" spans="1:14">
      <c r="B10">
        <v>2</v>
      </c>
      <c r="C10">
        <v>6</v>
      </c>
      <c r="D10" s="112">
        <v>15.2</v>
      </c>
      <c r="E10" s="53">
        <v>0</v>
      </c>
      <c r="F10" s="28"/>
      <c r="I10">
        <v>2</v>
      </c>
      <c r="J10" s="2">
        <f>SUMIF($B$6:$B$15,$I10,$E$6:$E$15)</f>
        <v>150000</v>
      </c>
      <c r="K10" s="2">
        <f>SUMIF($C$6:$C$15,$I10,$E$6:$E$15)</f>
        <v>150000</v>
      </c>
      <c r="L10">
        <f>J10-K10</f>
        <v>0</v>
      </c>
      <c r="M10" s="2" t="s">
        <v>354</v>
      </c>
      <c r="N10" s="76">
        <v>0</v>
      </c>
    </row>
    <row r="11" spans="1:14">
      <c r="B11">
        <v>2</v>
      </c>
      <c r="C11">
        <v>7</v>
      </c>
      <c r="D11" s="112">
        <v>28.5</v>
      </c>
      <c r="E11" s="53">
        <v>0</v>
      </c>
      <c r="F11" s="28"/>
      <c r="I11">
        <v>3</v>
      </c>
      <c r="J11" s="2">
        <f>SUMIF($B$6:$B$15,$I11,$E$6:$E$15)</f>
        <v>140000</v>
      </c>
      <c r="K11" s="2">
        <f>SUMIF($C$6:$C$15,$I11,$E$6:$E$15)</f>
        <v>140000</v>
      </c>
      <c r="L11">
        <f>J11-K11</f>
        <v>0</v>
      </c>
      <c r="M11" s="2" t="s">
        <v>354</v>
      </c>
      <c r="N11" s="76">
        <v>0</v>
      </c>
    </row>
    <row r="12" spans="1:14">
      <c r="B12">
        <v>3</v>
      </c>
      <c r="C12">
        <v>4</v>
      </c>
      <c r="D12" s="112">
        <v>19.5</v>
      </c>
      <c r="E12" s="53">
        <v>0</v>
      </c>
      <c r="F12" s="28"/>
      <c r="J12" s="2"/>
      <c r="K12" s="110"/>
    </row>
    <row r="13" spans="1:14">
      <c r="B13">
        <v>3</v>
      </c>
      <c r="C13">
        <v>5</v>
      </c>
      <c r="D13" s="112">
        <v>13.3</v>
      </c>
      <c r="E13" s="53">
        <v>20000</v>
      </c>
      <c r="F13" s="28"/>
      <c r="I13" s="1" t="s">
        <v>591</v>
      </c>
    </row>
    <row r="14" spans="1:14">
      <c r="B14">
        <v>3</v>
      </c>
      <c r="C14">
        <v>6</v>
      </c>
      <c r="D14" s="112">
        <v>5</v>
      </c>
      <c r="E14" s="53">
        <v>50000</v>
      </c>
      <c r="F14" s="28"/>
      <c r="I14" s="2" t="s">
        <v>588</v>
      </c>
      <c r="J14" s="2" t="s">
        <v>231</v>
      </c>
      <c r="K14" s="111" t="s">
        <v>232</v>
      </c>
      <c r="L14" t="s">
        <v>589</v>
      </c>
      <c r="N14" t="s">
        <v>590</v>
      </c>
    </row>
    <row r="15" spans="1:14">
      <c r="B15">
        <v>3</v>
      </c>
      <c r="C15">
        <v>7</v>
      </c>
      <c r="D15" s="112">
        <v>11.3</v>
      </c>
      <c r="E15" s="53">
        <v>70000</v>
      </c>
      <c r="F15" s="28"/>
      <c r="I15">
        <v>4</v>
      </c>
      <c r="J15" s="2">
        <f>SUMIF($B$6:$B$15,$I15,$E$6:$E$15)</f>
        <v>0</v>
      </c>
      <c r="K15" s="2">
        <f>SUMIF($C$6:$C$15,$I15,$E$6:$E$15)</f>
        <v>90000</v>
      </c>
      <c r="L15">
        <f>J15-K15</f>
        <v>-90000</v>
      </c>
      <c r="M15" s="2" t="s">
        <v>220</v>
      </c>
      <c r="N15" s="114">
        <v>-90000</v>
      </c>
    </row>
    <row r="16" spans="1:14">
      <c r="I16">
        <v>5</v>
      </c>
      <c r="J16" s="2">
        <f t="shared" ref="J16:J18" si="0">SUMIF($B$6:$B$15,$I16,$E$6:$E$15)</f>
        <v>0</v>
      </c>
      <c r="K16" s="2">
        <f t="shared" ref="K16:K17" si="1">SUMIF($C$6:$C$15,$I16,$E$6:$E$15)</f>
        <v>80000</v>
      </c>
      <c r="L16">
        <f t="shared" ref="L16:L18" si="2">J16-K16</f>
        <v>-80000</v>
      </c>
      <c r="M16" s="2" t="s">
        <v>220</v>
      </c>
      <c r="N16" s="114">
        <v>-80000</v>
      </c>
    </row>
    <row r="17" spans="1:14" ht="14.25" customHeight="1">
      <c r="A17" s="1" t="s">
        <v>584</v>
      </c>
      <c r="I17">
        <v>6</v>
      </c>
      <c r="J17" s="2">
        <f>SUMIF($B$6:$B$15,$I17,$E$6:$E$15)</f>
        <v>0</v>
      </c>
      <c r="K17" s="2">
        <f t="shared" si="1"/>
        <v>50000</v>
      </c>
      <c r="L17">
        <f t="shared" si="2"/>
        <v>-50000</v>
      </c>
      <c r="M17" s="2" t="s">
        <v>220</v>
      </c>
      <c r="N17" s="114">
        <v>-50000</v>
      </c>
    </row>
    <row r="18" spans="1:14">
      <c r="A18" t="s">
        <v>585</v>
      </c>
      <c r="B18" s="102">
        <f>SUMPRODUCT(D6:D15,E6:E15)</f>
        <v>9906000</v>
      </c>
      <c r="I18">
        <v>7</v>
      </c>
      <c r="J18" s="2">
        <f t="shared" si="0"/>
        <v>0</v>
      </c>
      <c r="K18" s="2">
        <f>SUMIF($C$6:$C$15,$I18,$E$6:$E$15)</f>
        <v>70000</v>
      </c>
      <c r="L18">
        <f t="shared" si="2"/>
        <v>-70000</v>
      </c>
      <c r="M18" s="2" t="s">
        <v>220</v>
      </c>
      <c r="N18" s="114">
        <v>-70000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90" t="s">
        <v>451</v>
      </c>
      <c r="B1" s="1"/>
      <c r="C1" s="1"/>
      <c r="D1" s="1"/>
      <c r="E1" s="1"/>
      <c r="K1" s="90" t="s">
        <v>450</v>
      </c>
      <c r="Q1" t="s">
        <v>447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404</v>
      </c>
      <c r="C3" t="s">
        <v>405</v>
      </c>
      <c r="D3">
        <v>6</v>
      </c>
      <c r="E3" s="53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448</v>
      </c>
      <c r="V3" t="s">
        <v>449</v>
      </c>
    </row>
    <row r="4" spans="1:22">
      <c r="B4" t="s">
        <v>404</v>
      </c>
      <c r="C4" t="s">
        <v>406</v>
      </c>
      <c r="D4">
        <v>1</v>
      </c>
      <c r="E4" s="53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405</v>
      </c>
      <c r="C5" t="s">
        <v>406</v>
      </c>
      <c r="D5">
        <v>3</v>
      </c>
      <c r="E5" s="53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405</v>
      </c>
      <c r="C6" t="s">
        <v>407</v>
      </c>
      <c r="D6">
        <v>9</v>
      </c>
      <c r="E6" s="53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406</v>
      </c>
      <c r="C7" t="s">
        <v>408</v>
      </c>
      <c r="D7">
        <v>10</v>
      </c>
      <c r="E7" s="53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408</v>
      </c>
      <c r="C8" t="s">
        <v>407</v>
      </c>
      <c r="D8">
        <v>2</v>
      </c>
      <c r="E8" s="53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408</v>
      </c>
      <c r="C9" t="s">
        <v>409</v>
      </c>
      <c r="D9">
        <v>4</v>
      </c>
      <c r="E9" s="53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408</v>
      </c>
      <c r="C10" t="s">
        <v>410</v>
      </c>
      <c r="D10">
        <v>13</v>
      </c>
      <c r="E10" s="53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407</v>
      </c>
      <c r="C11" t="s">
        <v>409</v>
      </c>
      <c r="D11">
        <v>2</v>
      </c>
      <c r="E11" s="53"/>
      <c r="L11">
        <v>5</v>
      </c>
      <c r="M11">
        <v>7</v>
      </c>
      <c r="N11">
        <v>9</v>
      </c>
    </row>
    <row r="12" spans="1:22">
      <c r="B12" t="s">
        <v>410</v>
      </c>
      <c r="C12" t="s">
        <v>409</v>
      </c>
      <c r="D12">
        <v>7</v>
      </c>
      <c r="E12" s="53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topLeftCell="A3" zoomScale="120" zoomScaleNormal="120" workbookViewId="0">
      <selection activeCell="I11" sqref="I11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3">
        <v>2.4</v>
      </c>
      <c r="D5" s="73">
        <v>3.5</v>
      </c>
      <c r="E5" s="73">
        <v>5.9</v>
      </c>
      <c r="F5" s="73">
        <v>6.9</v>
      </c>
      <c r="G5" s="73">
        <v>4.5</v>
      </c>
      <c r="H5" s="73">
        <v>3</v>
      </c>
    </row>
    <row r="6" spans="1:11">
      <c r="A6" s="11" t="s">
        <v>153</v>
      </c>
      <c r="B6" s="73">
        <v>5.6</v>
      </c>
      <c r="C6" s="73">
        <v>2.7</v>
      </c>
      <c r="D6" s="73">
        <v>3.9</v>
      </c>
      <c r="E6" s="73">
        <v>6.8</v>
      </c>
      <c r="F6" s="73">
        <v>7.7</v>
      </c>
      <c r="G6" s="73">
        <v>5.0999999999999996</v>
      </c>
      <c r="H6" s="73">
        <v>3.3</v>
      </c>
    </row>
    <row r="7" spans="1:11">
      <c r="A7" s="11" t="s">
        <v>154</v>
      </c>
      <c r="B7" s="40"/>
      <c r="C7" s="40"/>
      <c r="D7" s="40"/>
      <c r="E7" s="40"/>
      <c r="F7" s="40"/>
      <c r="G7" s="40"/>
      <c r="H7" s="40"/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0</v>
      </c>
      <c r="D10" s="47">
        <v>0</v>
      </c>
      <c r="E10" s="47">
        <v>0</v>
      </c>
      <c r="F10" s="47">
        <v>0</v>
      </c>
      <c r="G10" s="47">
        <v>1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5"/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6"/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2"/>
  <sheetViews>
    <sheetView topLeftCell="A6" zoomScale="80" zoomScaleNormal="80" workbookViewId="0">
      <selection activeCell="B25" sqref="B25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8" width="9.140625" style="11"/>
    <col min="9" max="9" width="17.42578125" style="11" customWidth="1"/>
    <col min="10" max="256" width="9.140625" style="11"/>
    <col min="257" max="257" width="30.140625" style="11" customWidth="1"/>
    <col min="258" max="258" width="13.5703125" style="11" bestFit="1" customWidth="1"/>
    <col min="259" max="259" width="12" style="11" customWidth="1"/>
    <col min="260" max="260" width="11.42578125" style="11" customWidth="1"/>
    <col min="261" max="264" width="9.140625" style="11"/>
    <col min="265" max="265" width="17.42578125" style="11" customWidth="1"/>
    <col min="266" max="512" width="9.140625" style="11"/>
    <col min="513" max="513" width="30.140625" style="11" customWidth="1"/>
    <col min="514" max="514" width="13.5703125" style="11" bestFit="1" customWidth="1"/>
    <col min="515" max="515" width="12" style="11" customWidth="1"/>
    <col min="516" max="516" width="11.42578125" style="11" customWidth="1"/>
    <col min="517" max="520" width="9.140625" style="11"/>
    <col min="521" max="521" width="17.42578125" style="11" customWidth="1"/>
    <col min="522" max="768" width="9.140625" style="11"/>
    <col min="769" max="769" width="30.140625" style="11" customWidth="1"/>
    <col min="770" max="770" width="13.5703125" style="11" bestFit="1" customWidth="1"/>
    <col min="771" max="771" width="12" style="11" customWidth="1"/>
    <col min="772" max="772" width="11.42578125" style="11" customWidth="1"/>
    <col min="773" max="776" width="9.140625" style="11"/>
    <col min="777" max="777" width="17.42578125" style="11" customWidth="1"/>
    <col min="778" max="1024" width="9.140625" style="11"/>
    <col min="1025" max="1025" width="30.140625" style="11" customWidth="1"/>
    <col min="1026" max="1026" width="13.5703125" style="11" bestFit="1" customWidth="1"/>
    <col min="1027" max="1027" width="12" style="11" customWidth="1"/>
    <col min="1028" max="1028" width="11.42578125" style="11" customWidth="1"/>
    <col min="1029" max="1032" width="9.140625" style="11"/>
    <col min="1033" max="1033" width="17.42578125" style="11" customWidth="1"/>
    <col min="1034" max="1280" width="9.140625" style="11"/>
    <col min="1281" max="1281" width="30.140625" style="11" customWidth="1"/>
    <col min="1282" max="1282" width="13.5703125" style="11" bestFit="1" customWidth="1"/>
    <col min="1283" max="1283" width="12" style="11" customWidth="1"/>
    <col min="1284" max="1284" width="11.42578125" style="11" customWidth="1"/>
    <col min="1285" max="1288" width="9.140625" style="11"/>
    <col min="1289" max="1289" width="17.42578125" style="11" customWidth="1"/>
    <col min="1290" max="1536" width="9.140625" style="11"/>
    <col min="1537" max="1537" width="30.140625" style="11" customWidth="1"/>
    <col min="1538" max="1538" width="13.5703125" style="11" bestFit="1" customWidth="1"/>
    <col min="1539" max="1539" width="12" style="11" customWidth="1"/>
    <col min="1540" max="1540" width="11.42578125" style="11" customWidth="1"/>
    <col min="1541" max="1544" width="9.140625" style="11"/>
    <col min="1545" max="1545" width="17.42578125" style="11" customWidth="1"/>
    <col min="1546" max="1792" width="9.140625" style="11"/>
    <col min="1793" max="1793" width="30.140625" style="11" customWidth="1"/>
    <col min="1794" max="1794" width="13.5703125" style="11" bestFit="1" customWidth="1"/>
    <col min="1795" max="1795" width="12" style="11" customWidth="1"/>
    <col min="1796" max="1796" width="11.42578125" style="11" customWidth="1"/>
    <col min="1797" max="1800" width="9.140625" style="11"/>
    <col min="1801" max="1801" width="17.42578125" style="11" customWidth="1"/>
    <col min="1802" max="2048" width="9.140625" style="11"/>
    <col min="2049" max="2049" width="30.140625" style="11" customWidth="1"/>
    <col min="2050" max="2050" width="13.5703125" style="11" bestFit="1" customWidth="1"/>
    <col min="2051" max="2051" width="12" style="11" customWidth="1"/>
    <col min="2052" max="2052" width="11.42578125" style="11" customWidth="1"/>
    <col min="2053" max="2056" width="9.140625" style="11"/>
    <col min="2057" max="2057" width="17.42578125" style="11" customWidth="1"/>
    <col min="2058" max="2304" width="9.140625" style="11"/>
    <col min="2305" max="2305" width="30.140625" style="11" customWidth="1"/>
    <col min="2306" max="2306" width="13.5703125" style="11" bestFit="1" customWidth="1"/>
    <col min="2307" max="2307" width="12" style="11" customWidth="1"/>
    <col min="2308" max="2308" width="11.42578125" style="11" customWidth="1"/>
    <col min="2309" max="2312" width="9.140625" style="11"/>
    <col min="2313" max="2313" width="17.42578125" style="11" customWidth="1"/>
    <col min="2314" max="2560" width="9.140625" style="11"/>
    <col min="2561" max="2561" width="30.140625" style="11" customWidth="1"/>
    <col min="2562" max="2562" width="13.5703125" style="11" bestFit="1" customWidth="1"/>
    <col min="2563" max="2563" width="12" style="11" customWidth="1"/>
    <col min="2564" max="2564" width="11.42578125" style="11" customWidth="1"/>
    <col min="2565" max="2568" width="9.140625" style="11"/>
    <col min="2569" max="2569" width="17.42578125" style="11" customWidth="1"/>
    <col min="2570" max="2816" width="9.140625" style="11"/>
    <col min="2817" max="2817" width="30.140625" style="11" customWidth="1"/>
    <col min="2818" max="2818" width="13.5703125" style="11" bestFit="1" customWidth="1"/>
    <col min="2819" max="2819" width="12" style="11" customWidth="1"/>
    <col min="2820" max="2820" width="11.42578125" style="11" customWidth="1"/>
    <col min="2821" max="2824" width="9.140625" style="11"/>
    <col min="2825" max="2825" width="17.42578125" style="11" customWidth="1"/>
    <col min="2826" max="3072" width="9.140625" style="11"/>
    <col min="3073" max="3073" width="30.140625" style="11" customWidth="1"/>
    <col min="3074" max="3074" width="13.5703125" style="11" bestFit="1" customWidth="1"/>
    <col min="3075" max="3075" width="12" style="11" customWidth="1"/>
    <col min="3076" max="3076" width="11.42578125" style="11" customWidth="1"/>
    <col min="3077" max="3080" width="9.140625" style="11"/>
    <col min="3081" max="3081" width="17.42578125" style="11" customWidth="1"/>
    <col min="3082" max="3328" width="9.140625" style="11"/>
    <col min="3329" max="3329" width="30.140625" style="11" customWidth="1"/>
    <col min="3330" max="3330" width="13.5703125" style="11" bestFit="1" customWidth="1"/>
    <col min="3331" max="3331" width="12" style="11" customWidth="1"/>
    <col min="3332" max="3332" width="11.42578125" style="11" customWidth="1"/>
    <col min="3333" max="3336" width="9.140625" style="11"/>
    <col min="3337" max="3337" width="17.42578125" style="11" customWidth="1"/>
    <col min="3338" max="3584" width="9.140625" style="11"/>
    <col min="3585" max="3585" width="30.140625" style="11" customWidth="1"/>
    <col min="3586" max="3586" width="13.5703125" style="11" bestFit="1" customWidth="1"/>
    <col min="3587" max="3587" width="12" style="11" customWidth="1"/>
    <col min="3588" max="3588" width="11.42578125" style="11" customWidth="1"/>
    <col min="3589" max="3592" width="9.140625" style="11"/>
    <col min="3593" max="3593" width="17.42578125" style="11" customWidth="1"/>
    <col min="3594" max="3840" width="9.140625" style="11"/>
    <col min="3841" max="3841" width="30.140625" style="11" customWidth="1"/>
    <col min="3842" max="3842" width="13.5703125" style="11" bestFit="1" customWidth="1"/>
    <col min="3843" max="3843" width="12" style="11" customWidth="1"/>
    <col min="3844" max="3844" width="11.42578125" style="11" customWidth="1"/>
    <col min="3845" max="3848" width="9.140625" style="11"/>
    <col min="3849" max="3849" width="17.42578125" style="11" customWidth="1"/>
    <col min="3850" max="4096" width="9.140625" style="11"/>
    <col min="4097" max="4097" width="30.140625" style="11" customWidth="1"/>
    <col min="4098" max="4098" width="13.5703125" style="11" bestFit="1" customWidth="1"/>
    <col min="4099" max="4099" width="12" style="11" customWidth="1"/>
    <col min="4100" max="4100" width="11.42578125" style="11" customWidth="1"/>
    <col min="4101" max="4104" width="9.140625" style="11"/>
    <col min="4105" max="4105" width="17.42578125" style="11" customWidth="1"/>
    <col min="4106" max="4352" width="9.140625" style="11"/>
    <col min="4353" max="4353" width="30.140625" style="11" customWidth="1"/>
    <col min="4354" max="4354" width="13.5703125" style="11" bestFit="1" customWidth="1"/>
    <col min="4355" max="4355" width="12" style="11" customWidth="1"/>
    <col min="4356" max="4356" width="11.42578125" style="11" customWidth="1"/>
    <col min="4357" max="4360" width="9.140625" style="11"/>
    <col min="4361" max="4361" width="17.42578125" style="11" customWidth="1"/>
    <col min="4362" max="4608" width="9.140625" style="11"/>
    <col min="4609" max="4609" width="30.140625" style="11" customWidth="1"/>
    <col min="4610" max="4610" width="13.5703125" style="11" bestFit="1" customWidth="1"/>
    <col min="4611" max="4611" width="12" style="11" customWidth="1"/>
    <col min="4612" max="4612" width="11.42578125" style="11" customWidth="1"/>
    <col min="4613" max="4616" width="9.140625" style="11"/>
    <col min="4617" max="4617" width="17.42578125" style="11" customWidth="1"/>
    <col min="4618" max="4864" width="9.140625" style="11"/>
    <col min="4865" max="4865" width="30.140625" style="11" customWidth="1"/>
    <col min="4866" max="4866" width="13.5703125" style="11" bestFit="1" customWidth="1"/>
    <col min="4867" max="4867" width="12" style="11" customWidth="1"/>
    <col min="4868" max="4868" width="11.42578125" style="11" customWidth="1"/>
    <col min="4869" max="4872" width="9.140625" style="11"/>
    <col min="4873" max="4873" width="17.42578125" style="11" customWidth="1"/>
    <col min="4874" max="5120" width="9.140625" style="11"/>
    <col min="5121" max="5121" width="30.140625" style="11" customWidth="1"/>
    <col min="5122" max="5122" width="13.5703125" style="11" bestFit="1" customWidth="1"/>
    <col min="5123" max="5123" width="12" style="11" customWidth="1"/>
    <col min="5124" max="5124" width="11.42578125" style="11" customWidth="1"/>
    <col min="5125" max="5128" width="9.140625" style="11"/>
    <col min="5129" max="5129" width="17.42578125" style="11" customWidth="1"/>
    <col min="5130" max="5376" width="9.140625" style="11"/>
    <col min="5377" max="5377" width="30.140625" style="11" customWidth="1"/>
    <col min="5378" max="5378" width="13.5703125" style="11" bestFit="1" customWidth="1"/>
    <col min="5379" max="5379" width="12" style="11" customWidth="1"/>
    <col min="5380" max="5380" width="11.42578125" style="11" customWidth="1"/>
    <col min="5381" max="5384" width="9.140625" style="11"/>
    <col min="5385" max="5385" width="17.42578125" style="11" customWidth="1"/>
    <col min="5386" max="5632" width="9.140625" style="11"/>
    <col min="5633" max="5633" width="30.140625" style="11" customWidth="1"/>
    <col min="5634" max="5634" width="13.5703125" style="11" bestFit="1" customWidth="1"/>
    <col min="5635" max="5635" width="12" style="11" customWidth="1"/>
    <col min="5636" max="5636" width="11.42578125" style="11" customWidth="1"/>
    <col min="5637" max="5640" width="9.140625" style="11"/>
    <col min="5641" max="5641" width="17.42578125" style="11" customWidth="1"/>
    <col min="5642" max="5888" width="9.140625" style="11"/>
    <col min="5889" max="5889" width="30.140625" style="11" customWidth="1"/>
    <col min="5890" max="5890" width="13.5703125" style="11" bestFit="1" customWidth="1"/>
    <col min="5891" max="5891" width="12" style="11" customWidth="1"/>
    <col min="5892" max="5892" width="11.42578125" style="11" customWidth="1"/>
    <col min="5893" max="5896" width="9.140625" style="11"/>
    <col min="5897" max="5897" width="17.42578125" style="11" customWidth="1"/>
    <col min="5898" max="6144" width="9.140625" style="11"/>
    <col min="6145" max="6145" width="30.140625" style="11" customWidth="1"/>
    <col min="6146" max="6146" width="13.5703125" style="11" bestFit="1" customWidth="1"/>
    <col min="6147" max="6147" width="12" style="11" customWidth="1"/>
    <col min="6148" max="6148" width="11.42578125" style="11" customWidth="1"/>
    <col min="6149" max="6152" width="9.140625" style="11"/>
    <col min="6153" max="6153" width="17.42578125" style="11" customWidth="1"/>
    <col min="6154" max="6400" width="9.140625" style="11"/>
    <col min="6401" max="6401" width="30.140625" style="11" customWidth="1"/>
    <col min="6402" max="6402" width="13.5703125" style="11" bestFit="1" customWidth="1"/>
    <col min="6403" max="6403" width="12" style="11" customWidth="1"/>
    <col min="6404" max="6404" width="11.42578125" style="11" customWidth="1"/>
    <col min="6405" max="6408" width="9.140625" style="11"/>
    <col min="6409" max="6409" width="17.42578125" style="11" customWidth="1"/>
    <col min="6410" max="6656" width="9.140625" style="11"/>
    <col min="6657" max="6657" width="30.140625" style="11" customWidth="1"/>
    <col min="6658" max="6658" width="13.5703125" style="11" bestFit="1" customWidth="1"/>
    <col min="6659" max="6659" width="12" style="11" customWidth="1"/>
    <col min="6660" max="6660" width="11.42578125" style="11" customWidth="1"/>
    <col min="6661" max="6664" width="9.140625" style="11"/>
    <col min="6665" max="6665" width="17.42578125" style="11" customWidth="1"/>
    <col min="6666" max="6912" width="9.140625" style="11"/>
    <col min="6913" max="6913" width="30.140625" style="11" customWidth="1"/>
    <col min="6914" max="6914" width="13.5703125" style="11" bestFit="1" customWidth="1"/>
    <col min="6915" max="6915" width="12" style="11" customWidth="1"/>
    <col min="6916" max="6916" width="11.42578125" style="11" customWidth="1"/>
    <col min="6917" max="6920" width="9.140625" style="11"/>
    <col min="6921" max="6921" width="17.42578125" style="11" customWidth="1"/>
    <col min="6922" max="7168" width="9.140625" style="11"/>
    <col min="7169" max="7169" width="30.140625" style="11" customWidth="1"/>
    <col min="7170" max="7170" width="13.5703125" style="11" bestFit="1" customWidth="1"/>
    <col min="7171" max="7171" width="12" style="11" customWidth="1"/>
    <col min="7172" max="7172" width="11.42578125" style="11" customWidth="1"/>
    <col min="7173" max="7176" width="9.140625" style="11"/>
    <col min="7177" max="7177" width="17.42578125" style="11" customWidth="1"/>
    <col min="7178" max="7424" width="9.140625" style="11"/>
    <col min="7425" max="7425" width="30.140625" style="11" customWidth="1"/>
    <col min="7426" max="7426" width="13.5703125" style="11" bestFit="1" customWidth="1"/>
    <col min="7427" max="7427" width="12" style="11" customWidth="1"/>
    <col min="7428" max="7428" width="11.42578125" style="11" customWidth="1"/>
    <col min="7429" max="7432" width="9.140625" style="11"/>
    <col min="7433" max="7433" width="17.42578125" style="11" customWidth="1"/>
    <col min="7434" max="7680" width="9.140625" style="11"/>
    <col min="7681" max="7681" width="30.140625" style="11" customWidth="1"/>
    <col min="7682" max="7682" width="13.5703125" style="11" bestFit="1" customWidth="1"/>
    <col min="7683" max="7683" width="12" style="11" customWidth="1"/>
    <col min="7684" max="7684" width="11.42578125" style="11" customWidth="1"/>
    <col min="7685" max="7688" width="9.140625" style="11"/>
    <col min="7689" max="7689" width="17.42578125" style="11" customWidth="1"/>
    <col min="7690" max="7936" width="9.140625" style="11"/>
    <col min="7937" max="7937" width="30.140625" style="11" customWidth="1"/>
    <col min="7938" max="7938" width="13.5703125" style="11" bestFit="1" customWidth="1"/>
    <col min="7939" max="7939" width="12" style="11" customWidth="1"/>
    <col min="7940" max="7940" width="11.42578125" style="11" customWidth="1"/>
    <col min="7941" max="7944" width="9.140625" style="11"/>
    <col min="7945" max="7945" width="17.42578125" style="11" customWidth="1"/>
    <col min="7946" max="8192" width="9.140625" style="11"/>
    <col min="8193" max="8193" width="30.140625" style="11" customWidth="1"/>
    <col min="8194" max="8194" width="13.5703125" style="11" bestFit="1" customWidth="1"/>
    <col min="8195" max="8195" width="12" style="11" customWidth="1"/>
    <col min="8196" max="8196" width="11.42578125" style="11" customWidth="1"/>
    <col min="8197" max="8200" width="9.140625" style="11"/>
    <col min="8201" max="8201" width="17.42578125" style="11" customWidth="1"/>
    <col min="8202" max="8448" width="9.140625" style="11"/>
    <col min="8449" max="8449" width="30.140625" style="11" customWidth="1"/>
    <col min="8450" max="8450" width="13.5703125" style="11" bestFit="1" customWidth="1"/>
    <col min="8451" max="8451" width="12" style="11" customWidth="1"/>
    <col min="8452" max="8452" width="11.42578125" style="11" customWidth="1"/>
    <col min="8453" max="8456" width="9.140625" style="11"/>
    <col min="8457" max="8457" width="17.42578125" style="11" customWidth="1"/>
    <col min="8458" max="8704" width="9.140625" style="11"/>
    <col min="8705" max="8705" width="30.140625" style="11" customWidth="1"/>
    <col min="8706" max="8706" width="13.5703125" style="11" bestFit="1" customWidth="1"/>
    <col min="8707" max="8707" width="12" style="11" customWidth="1"/>
    <col min="8708" max="8708" width="11.42578125" style="11" customWidth="1"/>
    <col min="8709" max="8712" width="9.140625" style="11"/>
    <col min="8713" max="8713" width="17.42578125" style="11" customWidth="1"/>
    <col min="8714" max="8960" width="9.140625" style="11"/>
    <col min="8961" max="8961" width="30.140625" style="11" customWidth="1"/>
    <col min="8962" max="8962" width="13.5703125" style="11" bestFit="1" customWidth="1"/>
    <col min="8963" max="8963" width="12" style="11" customWidth="1"/>
    <col min="8964" max="8964" width="11.42578125" style="11" customWidth="1"/>
    <col min="8965" max="8968" width="9.140625" style="11"/>
    <col min="8969" max="8969" width="17.42578125" style="11" customWidth="1"/>
    <col min="8970" max="9216" width="9.140625" style="11"/>
    <col min="9217" max="9217" width="30.140625" style="11" customWidth="1"/>
    <col min="9218" max="9218" width="13.5703125" style="11" bestFit="1" customWidth="1"/>
    <col min="9219" max="9219" width="12" style="11" customWidth="1"/>
    <col min="9220" max="9220" width="11.42578125" style="11" customWidth="1"/>
    <col min="9221" max="9224" width="9.140625" style="11"/>
    <col min="9225" max="9225" width="17.42578125" style="11" customWidth="1"/>
    <col min="9226" max="9472" width="9.140625" style="11"/>
    <col min="9473" max="9473" width="30.140625" style="11" customWidth="1"/>
    <col min="9474" max="9474" width="13.5703125" style="11" bestFit="1" customWidth="1"/>
    <col min="9475" max="9475" width="12" style="11" customWidth="1"/>
    <col min="9476" max="9476" width="11.42578125" style="11" customWidth="1"/>
    <col min="9477" max="9480" width="9.140625" style="11"/>
    <col min="9481" max="9481" width="17.42578125" style="11" customWidth="1"/>
    <col min="9482" max="9728" width="9.140625" style="11"/>
    <col min="9729" max="9729" width="30.140625" style="11" customWidth="1"/>
    <col min="9730" max="9730" width="13.5703125" style="11" bestFit="1" customWidth="1"/>
    <col min="9731" max="9731" width="12" style="11" customWidth="1"/>
    <col min="9732" max="9732" width="11.42578125" style="11" customWidth="1"/>
    <col min="9733" max="9736" width="9.140625" style="11"/>
    <col min="9737" max="9737" width="17.42578125" style="11" customWidth="1"/>
    <col min="9738" max="9984" width="9.140625" style="11"/>
    <col min="9985" max="9985" width="30.140625" style="11" customWidth="1"/>
    <col min="9986" max="9986" width="13.5703125" style="11" bestFit="1" customWidth="1"/>
    <col min="9987" max="9987" width="12" style="11" customWidth="1"/>
    <col min="9988" max="9988" width="11.42578125" style="11" customWidth="1"/>
    <col min="9989" max="9992" width="9.140625" style="11"/>
    <col min="9993" max="9993" width="17.42578125" style="11" customWidth="1"/>
    <col min="9994" max="10240" width="9.140625" style="11"/>
    <col min="10241" max="10241" width="30.140625" style="11" customWidth="1"/>
    <col min="10242" max="10242" width="13.5703125" style="11" bestFit="1" customWidth="1"/>
    <col min="10243" max="10243" width="12" style="11" customWidth="1"/>
    <col min="10244" max="10244" width="11.42578125" style="11" customWidth="1"/>
    <col min="10245" max="10248" width="9.140625" style="11"/>
    <col min="10249" max="10249" width="17.42578125" style="11" customWidth="1"/>
    <col min="10250" max="10496" width="9.140625" style="11"/>
    <col min="10497" max="10497" width="30.140625" style="11" customWidth="1"/>
    <col min="10498" max="10498" width="13.5703125" style="11" bestFit="1" customWidth="1"/>
    <col min="10499" max="10499" width="12" style="11" customWidth="1"/>
    <col min="10500" max="10500" width="11.42578125" style="11" customWidth="1"/>
    <col min="10501" max="10504" width="9.140625" style="11"/>
    <col min="10505" max="10505" width="17.42578125" style="11" customWidth="1"/>
    <col min="10506" max="10752" width="9.140625" style="11"/>
    <col min="10753" max="10753" width="30.140625" style="11" customWidth="1"/>
    <col min="10754" max="10754" width="13.5703125" style="11" bestFit="1" customWidth="1"/>
    <col min="10755" max="10755" width="12" style="11" customWidth="1"/>
    <col min="10756" max="10756" width="11.42578125" style="11" customWidth="1"/>
    <col min="10757" max="10760" width="9.140625" style="11"/>
    <col min="10761" max="10761" width="17.42578125" style="11" customWidth="1"/>
    <col min="10762" max="11008" width="9.140625" style="11"/>
    <col min="11009" max="11009" width="30.140625" style="11" customWidth="1"/>
    <col min="11010" max="11010" width="13.5703125" style="11" bestFit="1" customWidth="1"/>
    <col min="11011" max="11011" width="12" style="11" customWidth="1"/>
    <col min="11012" max="11012" width="11.42578125" style="11" customWidth="1"/>
    <col min="11013" max="11016" width="9.140625" style="11"/>
    <col min="11017" max="11017" width="17.42578125" style="11" customWidth="1"/>
    <col min="11018" max="11264" width="9.140625" style="11"/>
    <col min="11265" max="11265" width="30.140625" style="11" customWidth="1"/>
    <col min="11266" max="11266" width="13.5703125" style="11" bestFit="1" customWidth="1"/>
    <col min="11267" max="11267" width="12" style="11" customWidth="1"/>
    <col min="11268" max="11268" width="11.42578125" style="11" customWidth="1"/>
    <col min="11269" max="11272" width="9.140625" style="11"/>
    <col min="11273" max="11273" width="17.42578125" style="11" customWidth="1"/>
    <col min="11274" max="11520" width="9.140625" style="11"/>
    <col min="11521" max="11521" width="30.140625" style="11" customWidth="1"/>
    <col min="11522" max="11522" width="13.5703125" style="11" bestFit="1" customWidth="1"/>
    <col min="11523" max="11523" width="12" style="11" customWidth="1"/>
    <col min="11524" max="11524" width="11.42578125" style="11" customWidth="1"/>
    <col min="11525" max="11528" width="9.140625" style="11"/>
    <col min="11529" max="11529" width="17.42578125" style="11" customWidth="1"/>
    <col min="11530" max="11776" width="9.140625" style="11"/>
    <col min="11777" max="11777" width="30.140625" style="11" customWidth="1"/>
    <col min="11778" max="11778" width="13.5703125" style="11" bestFit="1" customWidth="1"/>
    <col min="11779" max="11779" width="12" style="11" customWidth="1"/>
    <col min="11780" max="11780" width="11.42578125" style="11" customWidth="1"/>
    <col min="11781" max="11784" width="9.140625" style="11"/>
    <col min="11785" max="11785" width="17.42578125" style="11" customWidth="1"/>
    <col min="11786" max="12032" width="9.140625" style="11"/>
    <col min="12033" max="12033" width="30.140625" style="11" customWidth="1"/>
    <col min="12034" max="12034" width="13.5703125" style="11" bestFit="1" customWidth="1"/>
    <col min="12035" max="12035" width="12" style="11" customWidth="1"/>
    <col min="12036" max="12036" width="11.42578125" style="11" customWidth="1"/>
    <col min="12037" max="12040" width="9.140625" style="11"/>
    <col min="12041" max="12041" width="17.42578125" style="11" customWidth="1"/>
    <col min="12042" max="12288" width="9.140625" style="11"/>
    <col min="12289" max="12289" width="30.140625" style="11" customWidth="1"/>
    <col min="12290" max="12290" width="13.5703125" style="11" bestFit="1" customWidth="1"/>
    <col min="12291" max="12291" width="12" style="11" customWidth="1"/>
    <col min="12292" max="12292" width="11.42578125" style="11" customWidth="1"/>
    <col min="12293" max="12296" width="9.140625" style="11"/>
    <col min="12297" max="12297" width="17.42578125" style="11" customWidth="1"/>
    <col min="12298" max="12544" width="9.140625" style="11"/>
    <col min="12545" max="12545" width="30.140625" style="11" customWidth="1"/>
    <col min="12546" max="12546" width="13.5703125" style="11" bestFit="1" customWidth="1"/>
    <col min="12547" max="12547" width="12" style="11" customWidth="1"/>
    <col min="12548" max="12548" width="11.42578125" style="11" customWidth="1"/>
    <col min="12549" max="12552" width="9.140625" style="11"/>
    <col min="12553" max="12553" width="17.42578125" style="11" customWidth="1"/>
    <col min="12554" max="12800" width="9.140625" style="11"/>
    <col min="12801" max="12801" width="30.140625" style="11" customWidth="1"/>
    <col min="12802" max="12802" width="13.5703125" style="11" bestFit="1" customWidth="1"/>
    <col min="12803" max="12803" width="12" style="11" customWidth="1"/>
    <col min="12804" max="12804" width="11.42578125" style="11" customWidth="1"/>
    <col min="12805" max="12808" width="9.140625" style="11"/>
    <col min="12809" max="12809" width="17.42578125" style="11" customWidth="1"/>
    <col min="12810" max="13056" width="9.140625" style="11"/>
    <col min="13057" max="13057" width="30.140625" style="11" customWidth="1"/>
    <col min="13058" max="13058" width="13.5703125" style="11" bestFit="1" customWidth="1"/>
    <col min="13059" max="13059" width="12" style="11" customWidth="1"/>
    <col min="13060" max="13060" width="11.42578125" style="11" customWidth="1"/>
    <col min="13061" max="13064" width="9.140625" style="11"/>
    <col min="13065" max="13065" width="17.42578125" style="11" customWidth="1"/>
    <col min="13066" max="13312" width="9.140625" style="11"/>
    <col min="13313" max="13313" width="30.140625" style="11" customWidth="1"/>
    <col min="13314" max="13314" width="13.5703125" style="11" bestFit="1" customWidth="1"/>
    <col min="13315" max="13315" width="12" style="11" customWidth="1"/>
    <col min="13316" max="13316" width="11.42578125" style="11" customWidth="1"/>
    <col min="13317" max="13320" width="9.140625" style="11"/>
    <col min="13321" max="13321" width="17.42578125" style="11" customWidth="1"/>
    <col min="13322" max="13568" width="9.140625" style="11"/>
    <col min="13569" max="13569" width="30.140625" style="11" customWidth="1"/>
    <col min="13570" max="13570" width="13.5703125" style="11" bestFit="1" customWidth="1"/>
    <col min="13571" max="13571" width="12" style="11" customWidth="1"/>
    <col min="13572" max="13572" width="11.42578125" style="11" customWidth="1"/>
    <col min="13573" max="13576" width="9.140625" style="11"/>
    <col min="13577" max="13577" width="17.42578125" style="11" customWidth="1"/>
    <col min="13578" max="13824" width="9.140625" style="11"/>
    <col min="13825" max="13825" width="30.140625" style="11" customWidth="1"/>
    <col min="13826" max="13826" width="13.5703125" style="11" bestFit="1" customWidth="1"/>
    <col min="13827" max="13827" width="12" style="11" customWidth="1"/>
    <col min="13828" max="13828" width="11.42578125" style="11" customWidth="1"/>
    <col min="13829" max="13832" width="9.140625" style="11"/>
    <col min="13833" max="13833" width="17.42578125" style="11" customWidth="1"/>
    <col min="13834" max="14080" width="9.140625" style="11"/>
    <col min="14081" max="14081" width="30.140625" style="11" customWidth="1"/>
    <col min="14082" max="14082" width="13.5703125" style="11" bestFit="1" customWidth="1"/>
    <col min="14083" max="14083" width="12" style="11" customWidth="1"/>
    <col min="14084" max="14084" width="11.42578125" style="11" customWidth="1"/>
    <col min="14085" max="14088" width="9.140625" style="11"/>
    <col min="14089" max="14089" width="17.42578125" style="11" customWidth="1"/>
    <col min="14090" max="14336" width="9.140625" style="11"/>
    <col min="14337" max="14337" width="30.140625" style="11" customWidth="1"/>
    <col min="14338" max="14338" width="13.5703125" style="11" bestFit="1" customWidth="1"/>
    <col min="14339" max="14339" width="12" style="11" customWidth="1"/>
    <col min="14340" max="14340" width="11.42578125" style="11" customWidth="1"/>
    <col min="14341" max="14344" width="9.140625" style="11"/>
    <col min="14345" max="14345" width="17.42578125" style="11" customWidth="1"/>
    <col min="14346" max="14592" width="9.140625" style="11"/>
    <col min="14593" max="14593" width="30.140625" style="11" customWidth="1"/>
    <col min="14594" max="14594" width="13.5703125" style="11" bestFit="1" customWidth="1"/>
    <col min="14595" max="14595" width="12" style="11" customWidth="1"/>
    <col min="14596" max="14596" width="11.42578125" style="11" customWidth="1"/>
    <col min="14597" max="14600" width="9.140625" style="11"/>
    <col min="14601" max="14601" width="17.42578125" style="11" customWidth="1"/>
    <col min="14602" max="14848" width="9.140625" style="11"/>
    <col min="14849" max="14849" width="30.140625" style="11" customWidth="1"/>
    <col min="14850" max="14850" width="13.5703125" style="11" bestFit="1" customWidth="1"/>
    <col min="14851" max="14851" width="12" style="11" customWidth="1"/>
    <col min="14852" max="14852" width="11.42578125" style="11" customWidth="1"/>
    <col min="14853" max="14856" width="9.140625" style="11"/>
    <col min="14857" max="14857" width="17.42578125" style="11" customWidth="1"/>
    <col min="14858" max="15104" width="9.140625" style="11"/>
    <col min="15105" max="15105" width="30.140625" style="11" customWidth="1"/>
    <col min="15106" max="15106" width="13.5703125" style="11" bestFit="1" customWidth="1"/>
    <col min="15107" max="15107" width="12" style="11" customWidth="1"/>
    <col min="15108" max="15108" width="11.42578125" style="11" customWidth="1"/>
    <col min="15109" max="15112" width="9.140625" style="11"/>
    <col min="15113" max="15113" width="17.42578125" style="11" customWidth="1"/>
    <col min="15114" max="15360" width="9.140625" style="11"/>
    <col min="15361" max="15361" width="30.140625" style="11" customWidth="1"/>
    <col min="15362" max="15362" width="13.5703125" style="11" bestFit="1" customWidth="1"/>
    <col min="15363" max="15363" width="12" style="11" customWidth="1"/>
    <col min="15364" max="15364" width="11.42578125" style="11" customWidth="1"/>
    <col min="15365" max="15368" width="9.140625" style="11"/>
    <col min="15369" max="15369" width="17.42578125" style="11" customWidth="1"/>
    <col min="15370" max="15616" width="9.140625" style="11"/>
    <col min="15617" max="15617" width="30.140625" style="11" customWidth="1"/>
    <col min="15618" max="15618" width="13.5703125" style="11" bestFit="1" customWidth="1"/>
    <col min="15619" max="15619" width="12" style="11" customWidth="1"/>
    <col min="15620" max="15620" width="11.42578125" style="11" customWidth="1"/>
    <col min="15621" max="15624" width="9.140625" style="11"/>
    <col min="15625" max="15625" width="17.42578125" style="11" customWidth="1"/>
    <col min="15626" max="15872" width="9.140625" style="11"/>
    <col min="15873" max="15873" width="30.140625" style="11" customWidth="1"/>
    <col min="15874" max="15874" width="13.5703125" style="11" bestFit="1" customWidth="1"/>
    <col min="15875" max="15875" width="12" style="11" customWidth="1"/>
    <col min="15876" max="15876" width="11.42578125" style="11" customWidth="1"/>
    <col min="15877" max="15880" width="9.140625" style="11"/>
    <col min="15881" max="15881" width="17.42578125" style="11" customWidth="1"/>
    <col min="15882" max="16128" width="9.140625" style="11"/>
    <col min="16129" max="16129" width="30.140625" style="11" customWidth="1"/>
    <col min="16130" max="16130" width="13.5703125" style="11" bestFit="1" customWidth="1"/>
    <col min="16131" max="16131" width="12" style="11" customWidth="1"/>
    <col min="16132" max="16132" width="11.42578125" style="11" customWidth="1"/>
    <col min="16133" max="16136" width="9.140625" style="11"/>
    <col min="16137" max="16137" width="17.42578125" style="11" customWidth="1"/>
    <col min="16138" max="16384" width="9.140625" style="11"/>
  </cols>
  <sheetData>
    <row r="1" spans="1:9">
      <c r="A1" s="25" t="s">
        <v>161</v>
      </c>
      <c r="H1" s="33"/>
    </row>
    <row r="2" spans="1:9">
      <c r="H2" s="33"/>
    </row>
    <row r="3" spans="1:9">
      <c r="A3" s="20" t="s">
        <v>162</v>
      </c>
      <c r="I3" s="20"/>
    </row>
    <row r="4" spans="1:9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9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9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9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9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9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9">
      <c r="D11" s="20"/>
    </row>
    <row r="12" spans="1:9">
      <c r="A12" s="20" t="s">
        <v>173</v>
      </c>
      <c r="D12" s="20"/>
    </row>
    <row r="13" spans="1:9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G13" s="23"/>
      <c r="I13" s="23"/>
    </row>
    <row r="14" spans="1:9">
      <c r="A14" s="11" t="s">
        <v>174</v>
      </c>
      <c r="B14" s="46"/>
      <c r="C14" s="46"/>
      <c r="D14" s="46"/>
      <c r="E14" s="47"/>
      <c r="F14" s="47"/>
      <c r="H14" s="29"/>
    </row>
    <row r="15" spans="1:9">
      <c r="A15" s="11" t="s">
        <v>51</v>
      </c>
      <c r="B15" s="46"/>
      <c r="C15" s="48"/>
      <c r="D15" s="46"/>
      <c r="E15" s="47"/>
      <c r="F15" s="48"/>
    </row>
    <row r="16" spans="1:9">
      <c r="B16" s="21"/>
      <c r="C16" s="21"/>
      <c r="D16" s="21"/>
      <c r="E16" s="21"/>
      <c r="F16" s="21"/>
    </row>
    <row r="17" spans="1:6">
      <c r="A17" s="11" t="s">
        <v>218</v>
      </c>
      <c r="B17" s="21"/>
      <c r="C17" s="21"/>
      <c r="D17" s="21"/>
      <c r="E17" s="21"/>
      <c r="F17" s="21"/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/>
      <c r="C23" s="36" t="s">
        <v>278</v>
      </c>
      <c r="D23" s="13">
        <v>4000</v>
      </c>
    </row>
    <row r="24" spans="1:6">
      <c r="A24" s="11" t="s">
        <v>179</v>
      </c>
      <c r="B24" s="40"/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/>
    </row>
    <row r="28" spans="1:6">
      <c r="A28" s="11" t="s">
        <v>180</v>
      </c>
      <c r="B28" s="41"/>
    </row>
    <row r="29" spans="1:6" ht="15.75" thickBot="1">
      <c r="A29" s="11" t="s">
        <v>172</v>
      </c>
      <c r="B29" s="41"/>
    </row>
    <row r="30" spans="1:6" ht="15.75" thickBot="1">
      <c r="A30" s="11" t="s">
        <v>181</v>
      </c>
      <c r="B30" s="49"/>
      <c r="D30" s="20"/>
    </row>
    <row r="32" spans="1:6">
      <c r="A32" s="20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50">
        <v>1</v>
      </c>
      <c r="C6" s="50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50">
        <v>0</v>
      </c>
    </row>
    <row r="7" spans="1:51">
      <c r="A7" s="11" t="s">
        <v>187</v>
      </c>
      <c r="B7" s="50">
        <v>0</v>
      </c>
      <c r="C7" s="50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50">
        <v>0</v>
      </c>
    </row>
    <row r="8" spans="1:51">
      <c r="A8" s="11" t="s">
        <v>188</v>
      </c>
      <c r="B8" s="50">
        <v>1</v>
      </c>
      <c r="C8" s="50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50">
        <v>0</v>
      </c>
    </row>
    <row r="9" spans="1:51">
      <c r="A9" s="11" t="s">
        <v>189</v>
      </c>
      <c r="B9" s="50">
        <v>0</v>
      </c>
      <c r="C9" s="50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50">
        <v>0</v>
      </c>
    </row>
    <row r="10" spans="1:51">
      <c r="A10" s="11" t="s">
        <v>190</v>
      </c>
      <c r="B10" s="50">
        <v>1</v>
      </c>
      <c r="C10" s="50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50">
        <v>0</v>
      </c>
    </row>
    <row r="11" spans="1:51">
      <c r="A11" s="11" t="s">
        <v>191</v>
      </c>
      <c r="B11" s="50">
        <v>0</v>
      </c>
      <c r="C11" s="50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50">
        <v>0</v>
      </c>
    </row>
    <row r="12" spans="1:51">
      <c r="A12" s="11" t="s">
        <v>192</v>
      </c>
      <c r="B12" s="50">
        <v>1</v>
      </c>
      <c r="C12" s="50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50">
        <v>0</v>
      </c>
    </row>
    <row r="13" spans="1:51">
      <c r="A13" s="11" t="s">
        <v>193</v>
      </c>
      <c r="B13" s="50">
        <v>1</v>
      </c>
      <c r="C13" s="50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50">
        <v>0</v>
      </c>
    </row>
    <row r="14" spans="1:51">
      <c r="A14" s="11" t="s">
        <v>194</v>
      </c>
      <c r="B14" s="50">
        <v>1</v>
      </c>
      <c r="C14" s="50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50">
        <v>0</v>
      </c>
    </row>
    <row r="15" spans="1:51">
      <c r="A15" s="11" t="s">
        <v>195</v>
      </c>
      <c r="B15" s="50">
        <v>0</v>
      </c>
      <c r="C15" s="50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50">
        <v>1</v>
      </c>
    </row>
    <row r="16" spans="1:51">
      <c r="A16" s="11" t="s">
        <v>196</v>
      </c>
      <c r="B16" s="50">
        <v>0</v>
      </c>
      <c r="C16" s="50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50">
        <v>1</v>
      </c>
    </row>
    <row r="17" spans="1:13">
      <c r="A17" s="11" t="s">
        <v>197</v>
      </c>
      <c r="B17" s="50">
        <v>0</v>
      </c>
      <c r="C17" s="50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50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1">
        <f>SUM(B21:M21)</f>
        <v>3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zoomScale="70" zoomScaleNormal="70" workbookViewId="0">
      <selection activeCell="O24" sqref="O24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90" t="s">
        <v>452</v>
      </c>
    </row>
    <row r="2" spans="1:23" ht="15.75" thickTop="1">
      <c r="N2" s="11" t="s">
        <v>296</v>
      </c>
      <c r="O2" s="11" t="s">
        <v>297</v>
      </c>
      <c r="P2" s="11" t="s">
        <v>461</v>
      </c>
      <c r="Q2" s="11" t="s">
        <v>462</v>
      </c>
      <c r="R2" s="11" t="s">
        <v>463</v>
      </c>
      <c r="S2" s="11" t="s">
        <v>464</v>
      </c>
      <c r="T2" s="11" t="s">
        <v>465</v>
      </c>
    </row>
    <row r="3" spans="1:23">
      <c r="A3" s="25" t="s">
        <v>204</v>
      </c>
      <c r="M3" s="11" t="s">
        <v>460</v>
      </c>
      <c r="N3" s="47"/>
      <c r="O3" s="47"/>
      <c r="P3" s="47"/>
      <c r="Q3" s="47"/>
      <c r="R3" s="47"/>
      <c r="S3" s="47"/>
      <c r="T3" s="47"/>
    </row>
    <row r="4" spans="1:23">
      <c r="A4" s="22" t="s">
        <v>205</v>
      </c>
      <c r="B4" s="46">
        <v>6</v>
      </c>
      <c r="H4" s="54"/>
      <c r="M4" s="11" t="s">
        <v>466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</row>
    <row r="5" spans="1:23">
      <c r="A5" s="22" t="s">
        <v>206</v>
      </c>
      <c r="B5" s="46">
        <v>3</v>
      </c>
      <c r="M5" s="11" t="s">
        <v>467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V5" s="97" t="s">
        <v>220</v>
      </c>
      <c r="W5" s="11">
        <v>17</v>
      </c>
    </row>
    <row r="6" spans="1:23">
      <c r="A6" s="22" t="s">
        <v>207</v>
      </c>
      <c r="B6" s="46">
        <v>3</v>
      </c>
      <c r="M6" s="11" t="s">
        <v>468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W6" s="11">
        <v>13</v>
      </c>
    </row>
    <row r="7" spans="1:23">
      <c r="A7" s="22" t="s">
        <v>208</v>
      </c>
      <c r="B7" s="46">
        <v>7</v>
      </c>
      <c r="M7" s="11" t="s">
        <v>469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W7" s="11">
        <v>15</v>
      </c>
    </row>
    <row r="8" spans="1:23">
      <c r="A8" s="22" t="s">
        <v>209</v>
      </c>
      <c r="B8" s="46">
        <v>0</v>
      </c>
      <c r="M8" s="11" t="s">
        <v>470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W8" s="11">
        <v>19</v>
      </c>
    </row>
    <row r="9" spans="1:23">
      <c r="A9" s="22" t="s">
        <v>210</v>
      </c>
      <c r="B9" s="46">
        <v>3</v>
      </c>
      <c r="M9" s="11" t="s">
        <v>471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W9" s="11">
        <v>14</v>
      </c>
    </row>
    <row r="10" spans="1:23">
      <c r="A10" s="22" t="s">
        <v>211</v>
      </c>
      <c r="B10" s="46">
        <v>1</v>
      </c>
      <c r="M10" s="11" t="s">
        <v>472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W10" s="11">
        <v>16</v>
      </c>
    </row>
    <row r="11" spans="1:23">
      <c r="M11" s="11" t="s">
        <v>473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W11" s="11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0">SUMPRODUCT($B$4:$B$10,C14:C20)</f>
        <v>13</v>
      </c>
      <c r="D23" s="28">
        <f t="shared" si="0"/>
        <v>16</v>
      </c>
      <c r="E23" s="28">
        <f t="shared" si="0"/>
        <v>20</v>
      </c>
      <c r="F23" s="28">
        <f t="shared" si="0"/>
        <v>19</v>
      </c>
      <c r="G23" s="28">
        <f t="shared" si="0"/>
        <v>16</v>
      </c>
      <c r="H23" s="28">
        <f t="shared" si="0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3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3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3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3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3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3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3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3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3"/>
    </row>
    <row r="11" spans="1:9">
      <c r="A11">
        <v>3</v>
      </c>
      <c r="B11">
        <v>2</v>
      </c>
      <c r="C11" s="35">
        <v>132</v>
      </c>
      <c r="D11" s="53"/>
    </row>
    <row r="12" spans="1:9">
      <c r="A12">
        <v>3</v>
      </c>
      <c r="B12">
        <v>3</v>
      </c>
      <c r="C12" s="35">
        <v>122</v>
      </c>
      <c r="D12" s="53"/>
    </row>
    <row r="13" spans="1:9" ht="15.75" thickBot="1">
      <c r="A13">
        <v>3</v>
      </c>
      <c r="B13">
        <v>4</v>
      </c>
      <c r="C13" s="35">
        <v>180</v>
      </c>
      <c r="D13" s="53"/>
    </row>
    <row r="14" spans="1:9" ht="15.75" thickBot="1">
      <c r="A14" t="s">
        <v>230</v>
      </c>
      <c r="D14" s="52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5"/>
    </row>
    <row r="11" spans="1:17">
      <c r="A11" s="17" t="s">
        <v>242</v>
      </c>
      <c r="I11" s="56"/>
    </row>
    <row r="12" spans="1:17">
      <c r="A12" s="11" t="s">
        <v>243</v>
      </c>
    </row>
    <row r="13" spans="1:17">
      <c r="B13" s="57"/>
      <c r="C13" s="58"/>
      <c r="H13" s="20" t="s">
        <v>244</v>
      </c>
    </row>
    <row r="14" spans="1:17">
      <c r="B14" s="59"/>
      <c r="C14" s="60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1"/>
      <c r="J18" s="62"/>
      <c r="K18" s="63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4"/>
      <c r="H24" s="11" t="s">
        <v>254</v>
      </c>
    </row>
    <row r="25" spans="1:11">
      <c r="I25" s="64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4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workbookViewId="0">
      <selection activeCell="I12" sqref="I12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70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71"/>
      <c r="C13" s="71"/>
    </row>
    <row r="14" spans="1:17">
      <c r="B14" s="71"/>
      <c r="C14" s="71"/>
      <c r="D14" s="40"/>
    </row>
    <row r="15" spans="1:17">
      <c r="A15" s="11" t="s">
        <v>89</v>
      </c>
      <c r="B15" s="40"/>
      <c r="C15" s="71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/>
      <c r="C19" s="40"/>
    </row>
    <row r="20" spans="1:7">
      <c r="B20" s="23"/>
      <c r="C20" s="23"/>
    </row>
    <row r="21" spans="1:7">
      <c r="A21" s="11" t="s">
        <v>89</v>
      </c>
      <c r="B21" s="40"/>
      <c r="C21" s="40"/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2"/>
    </row>
    <row r="25" spans="1:7">
      <c r="A25" s="11" t="s">
        <v>293</v>
      </c>
      <c r="B25" s="72"/>
    </row>
    <row r="26" spans="1:7">
      <c r="A26" s="11" t="s">
        <v>181</v>
      </c>
      <c r="B26" s="72"/>
    </row>
    <row r="28" spans="1:7">
      <c r="A28" s="20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J8" sqref="J8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7"/>
      <c r="H9" s="65"/>
      <c r="I9" s="58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6"/>
      <c r="I10" s="67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9"/>
      <c r="H11" s="68"/>
      <c r="I11" s="60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9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="120" zoomScaleNormal="120" workbookViewId="0">
      <selection activeCell="D7" sqref="D7"/>
    </sheetView>
  </sheetViews>
  <sheetFormatPr defaultRowHeight="15"/>
  <cols>
    <col min="1" max="1" width="31.57031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90" t="s">
        <v>394</v>
      </c>
      <c r="E1" s="90" t="s">
        <v>393</v>
      </c>
    </row>
    <row r="2" spans="1:12" ht="15.75" thickTop="1">
      <c r="A2" t="s">
        <v>395</v>
      </c>
      <c r="B2">
        <v>240000</v>
      </c>
      <c r="F2" t="s">
        <v>371</v>
      </c>
      <c r="G2" s="80">
        <v>0.25</v>
      </c>
    </row>
    <row r="3" spans="1:12">
      <c r="A3" t="s">
        <v>396</v>
      </c>
      <c r="B3">
        <v>15000</v>
      </c>
      <c r="F3" t="s">
        <v>369</v>
      </c>
      <c r="G3" s="80">
        <v>1</v>
      </c>
      <c r="H3" s="80">
        <v>2</v>
      </c>
      <c r="I3" s="80">
        <v>3</v>
      </c>
    </row>
    <row r="4" spans="1:12">
      <c r="A4" t="s">
        <v>397</v>
      </c>
      <c r="B4">
        <v>7.68</v>
      </c>
      <c r="F4" t="s">
        <v>377</v>
      </c>
      <c r="G4" s="80">
        <v>850</v>
      </c>
      <c r="H4" s="80">
        <v>1280</v>
      </c>
      <c r="I4" s="80">
        <v>630</v>
      </c>
    </row>
    <row r="5" spans="1:12">
      <c r="F5" t="s">
        <v>370</v>
      </c>
      <c r="G5" s="80">
        <v>0.28999999999999998</v>
      </c>
      <c r="H5" s="80">
        <v>0.45</v>
      </c>
      <c r="I5" s="80">
        <v>0.25</v>
      </c>
    </row>
    <row r="6" spans="1:12">
      <c r="A6" t="s">
        <v>372</v>
      </c>
      <c r="F6" t="s">
        <v>378</v>
      </c>
      <c r="G6" s="80">
        <v>100</v>
      </c>
      <c r="H6" s="80">
        <v>100</v>
      </c>
      <c r="I6" s="80">
        <v>100</v>
      </c>
    </row>
    <row r="7" spans="1:12">
      <c r="A7" t="s">
        <v>398</v>
      </c>
      <c r="F7" t="s">
        <v>379</v>
      </c>
    </row>
    <row r="8" spans="1:12">
      <c r="A8" t="s">
        <v>399</v>
      </c>
      <c r="F8" t="s">
        <v>380</v>
      </c>
      <c r="G8" s="80">
        <v>0.5</v>
      </c>
      <c r="H8" s="80">
        <v>0.4</v>
      </c>
      <c r="I8" s="80">
        <v>1</v>
      </c>
    </row>
    <row r="9" spans="1:12">
      <c r="A9" t="s">
        <v>401</v>
      </c>
      <c r="F9" t="s">
        <v>372</v>
      </c>
      <c r="G9" s="53"/>
      <c r="H9" s="53"/>
      <c r="I9" s="53"/>
    </row>
    <row r="10" spans="1:12">
      <c r="A10" t="s">
        <v>400</v>
      </c>
    </row>
    <row r="11" spans="1:12">
      <c r="A11" t="s">
        <v>402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2"/>
    </row>
    <row r="15" spans="1:12">
      <c r="F15" t="s">
        <v>373</v>
      </c>
      <c r="K15" s="74" t="s">
        <v>278</v>
      </c>
      <c r="L15">
        <v>1000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7" t="s">
        <v>386</v>
      </c>
      <c r="C1" s="87" t="s">
        <v>387</v>
      </c>
      <c r="D1" s="87" t="s">
        <v>388</v>
      </c>
      <c r="F1" t="s">
        <v>381</v>
      </c>
    </row>
    <row r="2" spans="1:9">
      <c r="B2" s="53">
        <v>-6</v>
      </c>
      <c r="C2" s="53">
        <v>0.9</v>
      </c>
      <c r="D2" s="53">
        <v>0.4</v>
      </c>
      <c r="F2" s="53">
        <v>1.6</v>
      </c>
    </row>
    <row r="4" spans="1:9" s="82" customFormat="1" ht="18.75">
      <c r="A4" s="82" t="s">
        <v>382</v>
      </c>
      <c r="B4" s="82" t="s">
        <v>383</v>
      </c>
      <c r="C4" s="85" t="s">
        <v>389</v>
      </c>
      <c r="D4" s="85" t="s">
        <v>390</v>
      </c>
      <c r="E4" s="88" t="s">
        <v>391</v>
      </c>
      <c r="F4" s="85" t="s">
        <v>384</v>
      </c>
      <c r="G4" s="89" t="s">
        <v>392</v>
      </c>
      <c r="I4" s="82" t="s">
        <v>381</v>
      </c>
    </row>
    <row r="5" spans="1:9" s="82" customFormat="1">
      <c r="A5" s="83">
        <v>1</v>
      </c>
      <c r="B5" s="83">
        <v>1</v>
      </c>
      <c r="C5" s="86">
        <v>2.7</v>
      </c>
      <c r="D5" s="86">
        <v>5.5</v>
      </c>
      <c r="E5" s="83">
        <f>SUMPRODUCT(B5:D5,$B$2:$D$2)</f>
        <v>-1.3699999999999997</v>
      </c>
      <c r="F5" s="86">
        <v>-1</v>
      </c>
      <c r="G5" s="83">
        <f>F5*E5</f>
        <v>1.3699999999999997</v>
      </c>
      <c r="H5" s="84" t="s">
        <v>220</v>
      </c>
      <c r="I5" s="82">
        <f>$F$2</f>
        <v>1.6</v>
      </c>
    </row>
    <row r="6" spans="1:9" s="82" customFormat="1">
      <c r="A6" s="83">
        <v>2</v>
      </c>
      <c r="B6" s="83">
        <v>1</v>
      </c>
      <c r="C6" s="86">
        <v>8</v>
      </c>
      <c r="D6" s="86">
        <v>9.1</v>
      </c>
      <c r="E6" s="83">
        <f t="shared" ref="E6:E14" si="0">SUMPRODUCT(B6:D6,$B$2:$D$2)</f>
        <v>4.84</v>
      </c>
      <c r="F6" s="86">
        <v>1</v>
      </c>
      <c r="G6" s="83">
        <f t="shared" ref="G6:G14" si="1">F6*E6</f>
        <v>4.84</v>
      </c>
      <c r="I6" s="82">
        <f t="shared" ref="I6:I14" si="2">$F$2</f>
        <v>1.6</v>
      </c>
    </row>
    <row r="7" spans="1:9" s="82" customFormat="1">
      <c r="A7" s="83">
        <v>3</v>
      </c>
      <c r="B7" s="83">
        <v>1</v>
      </c>
      <c r="C7" s="86">
        <v>0.9</v>
      </c>
      <c r="D7" s="86">
        <v>4.7</v>
      </c>
      <c r="E7" s="83">
        <f t="shared" si="0"/>
        <v>-3.3099999999999996</v>
      </c>
      <c r="F7" s="86">
        <v>-1</v>
      </c>
      <c r="G7" s="83">
        <f t="shared" si="1"/>
        <v>3.3099999999999996</v>
      </c>
      <c r="I7" s="82">
        <f t="shared" si="2"/>
        <v>1.6</v>
      </c>
    </row>
    <row r="8" spans="1:9" s="82" customFormat="1">
      <c r="A8" s="83">
        <v>4</v>
      </c>
      <c r="B8" s="83">
        <v>1</v>
      </c>
      <c r="C8" s="86">
        <v>1.1000000000000001</v>
      </c>
      <c r="D8" s="86">
        <v>3.1</v>
      </c>
      <c r="E8" s="83">
        <f t="shared" si="0"/>
        <v>-3.7699999999999996</v>
      </c>
      <c r="F8" s="86">
        <v>-1</v>
      </c>
      <c r="G8" s="83">
        <f t="shared" si="1"/>
        <v>3.7699999999999996</v>
      </c>
      <c r="I8" s="82">
        <f t="shared" si="2"/>
        <v>1.6</v>
      </c>
    </row>
    <row r="9" spans="1:9" s="82" customFormat="1">
      <c r="A9" s="83">
        <v>5</v>
      </c>
      <c r="B9" s="83">
        <v>1</v>
      </c>
      <c r="C9" s="86">
        <v>5.4</v>
      </c>
      <c r="D9" s="86">
        <v>8.5</v>
      </c>
      <c r="E9" s="83">
        <f t="shared" si="0"/>
        <v>2.2600000000000007</v>
      </c>
      <c r="F9" s="86">
        <v>1</v>
      </c>
      <c r="G9" s="83">
        <f t="shared" si="1"/>
        <v>2.2600000000000007</v>
      </c>
      <c r="I9" s="82">
        <f t="shared" si="2"/>
        <v>1.6</v>
      </c>
    </row>
    <row r="10" spans="1:9" s="82" customFormat="1">
      <c r="A10" s="83">
        <v>6</v>
      </c>
      <c r="B10" s="83">
        <v>1</v>
      </c>
      <c r="C10" s="86">
        <v>2.9</v>
      </c>
      <c r="D10" s="86">
        <v>1.9</v>
      </c>
      <c r="E10" s="83">
        <f t="shared" si="0"/>
        <v>-2.63</v>
      </c>
      <c r="F10" s="86">
        <v>-1</v>
      </c>
      <c r="G10" s="83">
        <f t="shared" si="1"/>
        <v>2.63</v>
      </c>
      <c r="I10" s="82">
        <f t="shared" si="2"/>
        <v>1.6</v>
      </c>
    </row>
    <row r="11" spans="1:9" s="82" customFormat="1">
      <c r="A11" s="83">
        <v>7</v>
      </c>
      <c r="B11" s="83">
        <v>1</v>
      </c>
      <c r="C11" s="86">
        <v>6.1</v>
      </c>
      <c r="D11" s="86">
        <v>6.6</v>
      </c>
      <c r="E11" s="83">
        <f t="shared" si="0"/>
        <v>2.1300000000000003</v>
      </c>
      <c r="F11" s="86">
        <v>1</v>
      </c>
      <c r="G11" s="83">
        <f t="shared" si="1"/>
        <v>2.1300000000000003</v>
      </c>
      <c r="I11" s="82">
        <f t="shared" si="2"/>
        <v>1.6</v>
      </c>
    </row>
    <row r="12" spans="1:9" s="82" customFormat="1">
      <c r="A12" s="83">
        <v>8</v>
      </c>
      <c r="B12" s="83">
        <v>1</v>
      </c>
      <c r="C12" s="86">
        <v>0.5</v>
      </c>
      <c r="D12" s="86">
        <v>1</v>
      </c>
      <c r="E12" s="83">
        <f t="shared" si="0"/>
        <v>-5.1499999999999995</v>
      </c>
      <c r="F12" s="86">
        <v>-1</v>
      </c>
      <c r="G12" s="83">
        <f t="shared" si="1"/>
        <v>5.1499999999999995</v>
      </c>
      <c r="I12" s="82">
        <f t="shared" si="2"/>
        <v>1.6</v>
      </c>
    </row>
    <row r="13" spans="1:9" s="82" customFormat="1">
      <c r="A13" s="83">
        <v>9</v>
      </c>
      <c r="B13" s="83">
        <v>1</v>
      </c>
      <c r="C13" s="86">
        <v>8.3000000000000007</v>
      </c>
      <c r="D13" s="86">
        <v>6.6</v>
      </c>
      <c r="E13" s="83">
        <f t="shared" si="0"/>
        <v>4.1100000000000012</v>
      </c>
      <c r="F13" s="86">
        <v>1</v>
      </c>
      <c r="G13" s="83">
        <f t="shared" si="1"/>
        <v>4.1100000000000012</v>
      </c>
      <c r="I13" s="82">
        <f t="shared" si="2"/>
        <v>1.6</v>
      </c>
    </row>
    <row r="14" spans="1:9" s="82" customFormat="1">
      <c r="A14" s="83">
        <v>10</v>
      </c>
      <c r="B14" s="83">
        <v>1</v>
      </c>
      <c r="C14" s="86">
        <v>8.1</v>
      </c>
      <c r="D14" s="86">
        <v>4.7</v>
      </c>
      <c r="E14" s="83">
        <f t="shared" si="0"/>
        <v>3.17</v>
      </c>
      <c r="F14" s="86">
        <v>1</v>
      </c>
      <c r="G14" s="83">
        <f t="shared" si="1"/>
        <v>3.17</v>
      </c>
      <c r="I14" s="82">
        <f t="shared" si="2"/>
        <v>1.6</v>
      </c>
    </row>
    <row r="16" spans="1:9" ht="18.75">
      <c r="C16" s="87" t="s">
        <v>385</v>
      </c>
      <c r="D16">
        <f>C2^2 + D2^2</f>
        <v>0.97000000000000008</v>
      </c>
      <c r="E16" s="74" t="s">
        <v>354</v>
      </c>
      <c r="F16" s="81">
        <v>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403</v>
      </c>
      <c r="G2" t="s">
        <v>411</v>
      </c>
      <c r="H2" t="s">
        <v>412</v>
      </c>
      <c r="J2" t="s">
        <v>415</v>
      </c>
    </row>
    <row r="3" spans="1:10">
      <c r="A3">
        <v>22</v>
      </c>
      <c r="G3" s="53">
        <v>15</v>
      </c>
      <c r="H3" s="53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416</v>
      </c>
      <c r="G5" t="s">
        <v>290</v>
      </c>
      <c r="H5" t="s">
        <v>54</v>
      </c>
      <c r="I5" t="s">
        <v>413</v>
      </c>
      <c r="J5" t="s">
        <v>414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445</v>
      </c>
      <c r="B1" t="s">
        <v>7</v>
      </c>
      <c r="C1" t="s">
        <v>446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8"/>
  <sheetViews>
    <sheetView zoomScale="140" zoomScaleNormal="140" workbookViewId="0">
      <selection activeCell="F9" sqref="F9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4" t="s">
        <v>441</v>
      </c>
      <c r="B1" t="s">
        <v>439</v>
      </c>
      <c r="C1" t="s">
        <v>440</v>
      </c>
      <c r="D1" t="s">
        <v>474</v>
      </c>
      <c r="E1" t="s">
        <v>475</v>
      </c>
      <c r="F1" t="s">
        <v>443</v>
      </c>
    </row>
    <row r="2" spans="1:7">
      <c r="A2">
        <v>1</v>
      </c>
      <c r="B2">
        <v>5</v>
      </c>
      <c r="C2">
        <v>10</v>
      </c>
      <c r="D2" s="92">
        <f>SQRT(($B$6-B2)^2+($C$6-C2)^2)</f>
        <v>5.8309518948453007</v>
      </c>
      <c r="E2" s="92">
        <f>SQRT(SUMSQ(B2-$B$6,C2-$C$6))</f>
        <v>5.8309518948453007</v>
      </c>
      <c r="F2">
        <v>200</v>
      </c>
      <c r="G2" s="93"/>
    </row>
    <row r="3" spans="1:7">
      <c r="A3">
        <v>2</v>
      </c>
      <c r="B3">
        <v>10</v>
      </c>
      <c r="C3">
        <v>5</v>
      </c>
      <c r="D3" s="92">
        <f t="shared" ref="D3:D5" si="0">SQRT(($B$6-B3)^2+($C$6-C3)^2)</f>
        <v>2</v>
      </c>
      <c r="E3" s="92">
        <f t="shared" ref="E3:E5" si="1">SQRT(SUMSQ(B3-$B$6,C3-$C$6))</f>
        <v>2</v>
      </c>
      <c r="F3">
        <v>150</v>
      </c>
      <c r="G3" s="93"/>
    </row>
    <row r="4" spans="1:7">
      <c r="A4">
        <v>3</v>
      </c>
      <c r="B4">
        <v>0</v>
      </c>
      <c r="C4">
        <v>12</v>
      </c>
      <c r="D4" s="92">
        <f t="shared" si="0"/>
        <v>10.63014581273465</v>
      </c>
      <c r="E4" s="92">
        <f t="shared" si="1"/>
        <v>10.63014581273465</v>
      </c>
      <c r="F4">
        <v>200</v>
      </c>
      <c r="G4" s="93"/>
    </row>
    <row r="5" spans="1:7">
      <c r="A5">
        <v>4</v>
      </c>
      <c r="B5">
        <v>12</v>
      </c>
      <c r="C5">
        <v>0</v>
      </c>
      <c r="D5" s="92">
        <f t="shared" si="0"/>
        <v>6.4031242374328485</v>
      </c>
      <c r="E5" s="92">
        <f t="shared" si="1"/>
        <v>6.4031242374328485</v>
      </c>
      <c r="F5">
        <v>300</v>
      </c>
      <c r="G5" s="93"/>
    </row>
    <row r="6" spans="1:7">
      <c r="A6" t="s">
        <v>442</v>
      </c>
      <c r="B6" s="53">
        <v>8</v>
      </c>
      <c r="C6" s="53">
        <v>5</v>
      </c>
    </row>
    <row r="7" spans="1:7">
      <c r="A7" s="108" t="s">
        <v>444</v>
      </c>
      <c r="B7" s="108"/>
      <c r="C7" s="108"/>
      <c r="D7" s="108"/>
      <c r="E7" s="108"/>
      <c r="F7" s="92">
        <f>SUMPRODUCT(F2:F5,E2:E5)</f>
        <v>5513.1568127458449</v>
      </c>
      <c r="G7" s="93"/>
    </row>
    <row r="8" spans="1:7">
      <c r="D8" s="92"/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30</vt:i4>
      </vt:variant>
    </vt:vector>
  </HeadingPairs>
  <TitlesOfParts>
    <vt:vector size="63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 Janpitak</cp:lastModifiedBy>
  <cp:lastPrinted>2009-11-17T17:04:20Z</cp:lastPrinted>
  <dcterms:created xsi:type="dcterms:W3CDTF">2009-09-28T15:17:58Z</dcterms:created>
  <dcterms:modified xsi:type="dcterms:W3CDTF">2026-08-25T16:51:00Z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