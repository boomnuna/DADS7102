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DADS7102\class_excel\"/>
    </mc:Choice>
  </mc:AlternateContent>
  <xr:revisionPtr revIDLastSave="0" documentId="13_ncr:1_{7295D138-A250-4C08-8878-2CB574E241B9}" xr6:coauthVersionLast="47" xr6:coauthVersionMax="47" xr10:uidLastSave="{00000000-0000-0000-0000-000000000000}"/>
  <bookViews>
    <workbookView xWindow="-98" yWindow="-98" windowWidth="21795" windowHeight="12975" tabRatio="805" firstSheet="4" activeTab="10" xr2:uid="{00000000-000D-0000-FFFF-FFFF00000000}"/>
  </bookViews>
  <sheets>
    <sheet name="Variability" sheetId="14" r:id="rId1"/>
    <sheet name="Normal" sheetId="15" r:id="rId2"/>
    <sheet name="LinearComb" sheetId="17" r:id="rId3"/>
    <sheet name="portfolio" sheetId="18" r:id="rId4"/>
    <sheet name="chanceCon" sheetId="21" r:id="rId5"/>
    <sheet name="goferbroke" sheetId="2" r:id="rId6"/>
    <sheet name="EMV" sheetId="8" r:id="rId7"/>
    <sheet name="Lottery" sheetId="20" r:id="rId8"/>
    <sheet name="NewProduct" sheetId="1" r:id="rId9"/>
    <sheet name="NewProductUtil" sheetId="3" r:id="rId10"/>
    <sheet name="farmer0" sheetId="6" r:id="rId11"/>
    <sheet name="farmerSP" sheetId="9" r:id="rId12"/>
    <sheet name="Drug" sheetId="11" r:id="rId13"/>
    <sheet name="DrugBall" sheetId="12" r:id="rId14"/>
    <sheet name="2prod" sheetId="19" r:id="rId15"/>
  </sheets>
  <definedNames>
    <definedName name="solver_adj" localSheetId="4" hidden="1">chanceCon!$B$2:$C$2</definedName>
    <definedName name="solver_adj" localSheetId="12" hidden="1">Drug!$B$2:$E$2</definedName>
    <definedName name="solver_adj" localSheetId="10" hidden="1">farmer0!$K$2:$S$2</definedName>
    <definedName name="solver_adj" localSheetId="11" hidden="1">farmerSP!$K$5:$AE$5</definedName>
    <definedName name="solver_cvg" localSheetId="4" hidden="1">0.0001</definedName>
    <definedName name="solver_cvg" localSheetId="12" hidden="1">0.0001</definedName>
    <definedName name="solver_cvg" localSheetId="10" hidden="1">0.0001</definedName>
    <definedName name="solver_cvg" localSheetId="11" hidden="1">0.0001</definedName>
    <definedName name="solver_drv" localSheetId="4" hidden="1">1</definedName>
    <definedName name="solver_drv" localSheetId="12" hidden="1">1</definedName>
    <definedName name="solver_drv" localSheetId="10" hidden="1">1</definedName>
    <definedName name="solver_drv" localSheetId="11" hidden="1">1</definedName>
    <definedName name="solver_eng" localSheetId="14" hidden="1">1</definedName>
    <definedName name="solver_eng" localSheetId="4" hidden="1">1</definedName>
    <definedName name="solver_eng" localSheetId="12" hidden="1">2</definedName>
    <definedName name="solver_eng" localSheetId="10" hidden="1">2</definedName>
    <definedName name="solver_eng" localSheetId="11" hidden="1">2</definedName>
    <definedName name="solver_est" localSheetId="4" hidden="1">1</definedName>
    <definedName name="solver_est" localSheetId="12" hidden="1">1</definedName>
    <definedName name="solver_est" localSheetId="10" hidden="1">1</definedName>
    <definedName name="solver_est" localSheetId="11" hidden="1">1</definedName>
    <definedName name="solver_itr" localSheetId="4" hidden="1">2147483647</definedName>
    <definedName name="solver_itr" localSheetId="12" hidden="1">2147483647</definedName>
    <definedName name="solver_itr" localSheetId="10" hidden="1">2147483647</definedName>
    <definedName name="solver_itr" localSheetId="11" hidden="1">2147483647</definedName>
    <definedName name="solver_lhs1" localSheetId="4" hidden="1">chanceCon!$B$2:$C$2</definedName>
    <definedName name="solver_lhs1" localSheetId="12" hidden="1">Drug!$F$4:$F$8</definedName>
    <definedName name="solver_lhs1" localSheetId="10" hidden="1">farmer0!$T$4</definedName>
    <definedName name="solver_lhs1" localSheetId="11" hidden="1">farmerSP!$AF$7</definedName>
    <definedName name="solver_lhs2" localSheetId="4" hidden="1">chanceCon!$F$4:$F$5</definedName>
    <definedName name="solver_lhs2" localSheetId="10" hidden="1">farmer0!$T$5:$T$8</definedName>
    <definedName name="solver_lhs2" localSheetId="11" hidden="1">farmerSP!$AF$8:$AF$19</definedName>
    <definedName name="solver_lhs3" localSheetId="10" hidden="1">farmer0!#REF!</definedName>
    <definedName name="solver_lhs3" localSheetId="11" hidden="1">farmerSP!#REF!</definedName>
    <definedName name="solver_lhs4" localSheetId="10" hidden="1">farmer0!#REF!</definedName>
    <definedName name="solver_lhs4" localSheetId="11" hidden="1">farmerSP!#REF!</definedName>
    <definedName name="solver_lhs5" localSheetId="10" hidden="1">farmer0!#REF!</definedName>
    <definedName name="solver_lhs5" localSheetId="11" hidden="1">farmerSP!#REF!</definedName>
    <definedName name="solver_mip" localSheetId="4" hidden="1">2147483647</definedName>
    <definedName name="solver_mip" localSheetId="12" hidden="1">2147483647</definedName>
    <definedName name="solver_mip" localSheetId="10" hidden="1">2147483647</definedName>
    <definedName name="solver_mip" localSheetId="11" hidden="1">2147483647</definedName>
    <definedName name="solver_mni" localSheetId="4" hidden="1">30</definedName>
    <definedName name="solver_mni" localSheetId="12" hidden="1">30</definedName>
    <definedName name="solver_mni" localSheetId="10" hidden="1">30</definedName>
    <definedName name="solver_mni" localSheetId="11" hidden="1">30</definedName>
    <definedName name="solver_mrt" localSheetId="4" hidden="1">0.075</definedName>
    <definedName name="solver_mrt" localSheetId="12" hidden="1">0.075</definedName>
    <definedName name="solver_mrt" localSheetId="10" hidden="1">0.075</definedName>
    <definedName name="solver_mrt" localSheetId="11" hidden="1">0.075</definedName>
    <definedName name="solver_msl" localSheetId="4" hidden="1">2</definedName>
    <definedName name="solver_msl" localSheetId="12" hidden="1">2</definedName>
    <definedName name="solver_msl" localSheetId="10" hidden="1">2</definedName>
    <definedName name="solver_msl" localSheetId="11" hidden="1">2</definedName>
    <definedName name="solver_neg" localSheetId="14" hidden="1">1</definedName>
    <definedName name="solver_neg" localSheetId="4" hidden="1">1</definedName>
    <definedName name="solver_neg" localSheetId="12" hidden="1">1</definedName>
    <definedName name="solver_neg" localSheetId="10" hidden="1">1</definedName>
    <definedName name="solver_neg" localSheetId="11" hidden="1">1</definedName>
    <definedName name="solver_nod" localSheetId="4" hidden="1">2147483647</definedName>
    <definedName name="solver_nod" localSheetId="12" hidden="1">2147483647</definedName>
    <definedName name="solver_nod" localSheetId="10" hidden="1">2147483647</definedName>
    <definedName name="solver_nod" localSheetId="11" hidden="1">2147483647</definedName>
    <definedName name="solver_num" localSheetId="14" hidden="1">0</definedName>
    <definedName name="solver_num" localSheetId="4" hidden="1">2</definedName>
    <definedName name="solver_num" localSheetId="12" hidden="1">1</definedName>
    <definedName name="solver_num" localSheetId="10" hidden="1">2</definedName>
    <definedName name="solver_num" localSheetId="11" hidden="1">2</definedName>
    <definedName name="solver_nwt" localSheetId="4" hidden="1">1</definedName>
    <definedName name="solver_nwt" localSheetId="12" hidden="1">1</definedName>
    <definedName name="solver_nwt" localSheetId="10" hidden="1">1</definedName>
    <definedName name="solver_nwt" localSheetId="11" hidden="1">1</definedName>
    <definedName name="solver_opt" localSheetId="14" hidden="1">'2prod'!$O$10</definedName>
    <definedName name="solver_opt" localSheetId="4" hidden="1">chanceCon!$D$3</definedName>
    <definedName name="solver_opt" localSheetId="12" hidden="1">Drug!$F$3</definedName>
    <definedName name="solver_opt" localSheetId="10" hidden="1">farmer0!$T$3</definedName>
    <definedName name="solver_opt" localSheetId="11" hidden="1">farmerSP!$AF$6</definedName>
    <definedName name="solver_pre" localSheetId="4" hidden="1">0.000001</definedName>
    <definedName name="solver_pre" localSheetId="12" hidden="1">0.000001</definedName>
    <definedName name="solver_pre" localSheetId="10" hidden="1">0.000001</definedName>
    <definedName name="solver_pre" localSheetId="11" hidden="1">0.000001</definedName>
    <definedName name="solver_rbv" localSheetId="4" hidden="1">1</definedName>
    <definedName name="solver_rbv" localSheetId="12" hidden="1">1</definedName>
    <definedName name="solver_rbv" localSheetId="10" hidden="1">1</definedName>
    <definedName name="solver_rbv" localSheetId="11" hidden="1">1</definedName>
    <definedName name="solver_rel1" localSheetId="4" hidden="1">1</definedName>
    <definedName name="solver_rel1" localSheetId="12" hidden="1">1</definedName>
    <definedName name="solver_rel1" localSheetId="10" hidden="1">2</definedName>
    <definedName name="solver_rel1" localSheetId="11" hidden="1">2</definedName>
    <definedName name="solver_rel2" localSheetId="4" hidden="1">1</definedName>
    <definedName name="solver_rel2" localSheetId="10" hidden="1">3</definedName>
    <definedName name="solver_rel2" localSheetId="11" hidden="1">3</definedName>
    <definedName name="solver_rel3" localSheetId="10" hidden="1">3</definedName>
    <definedName name="solver_rel3" localSheetId="11" hidden="1">3</definedName>
    <definedName name="solver_rel4" localSheetId="10" hidden="1">2</definedName>
    <definedName name="solver_rel4" localSheetId="11" hidden="1">2</definedName>
    <definedName name="solver_rel5" localSheetId="10" hidden="1">3</definedName>
    <definedName name="solver_rel5" localSheetId="11" hidden="1">3</definedName>
    <definedName name="solver_rhs1" localSheetId="4" hidden="1">chanceCon!$B$7:$C$7</definedName>
    <definedName name="solver_rhs1" localSheetId="12" hidden="1">Drug!$H$4:$H$8</definedName>
    <definedName name="solver_rhs1" localSheetId="10" hidden="1">farmer0!$V$4</definedName>
    <definedName name="solver_rhs1" localSheetId="11" hidden="1">farmerSP!$AH$7</definedName>
    <definedName name="solver_rhs2" localSheetId="4" hidden="1">chanceCon!$H$4:$H$5</definedName>
    <definedName name="solver_rhs2" localSheetId="10" hidden="1">farmer0!$V$5:$V$8</definedName>
    <definedName name="solver_rhs2" localSheetId="11" hidden="1">farmerSP!$AH$8:$AH$19</definedName>
    <definedName name="solver_rhs3" localSheetId="10" hidden="1">farmer0!#REF!</definedName>
    <definedName name="solver_rhs3" localSheetId="11" hidden="1">farmerSP!#REF!</definedName>
    <definedName name="solver_rhs4" localSheetId="10" hidden="1">farmer0!#REF!</definedName>
    <definedName name="solver_rhs4" localSheetId="11" hidden="1">farmerSP!#REF!</definedName>
    <definedName name="solver_rhs5" localSheetId="10" hidden="1">farmer0!#REF!</definedName>
    <definedName name="solver_rhs5" localSheetId="11" hidden="1">farmerSP!#REF!</definedName>
    <definedName name="solver_rlx" localSheetId="4" hidden="1">2</definedName>
    <definedName name="solver_rlx" localSheetId="12" hidden="1">2</definedName>
    <definedName name="solver_rlx" localSheetId="10" hidden="1">2</definedName>
    <definedName name="solver_rlx" localSheetId="11" hidden="1">2</definedName>
    <definedName name="solver_rsd" localSheetId="4" hidden="1">0</definedName>
    <definedName name="solver_rsd" localSheetId="12" hidden="1">0</definedName>
    <definedName name="solver_rsd" localSheetId="10" hidden="1">0</definedName>
    <definedName name="solver_rsd" localSheetId="11" hidden="1">0</definedName>
    <definedName name="solver_scl" localSheetId="4" hidden="1">1</definedName>
    <definedName name="solver_scl" localSheetId="12" hidden="1">1</definedName>
    <definedName name="solver_scl" localSheetId="10" hidden="1">1</definedName>
    <definedName name="solver_scl" localSheetId="11" hidden="1">1</definedName>
    <definedName name="solver_sho" localSheetId="4" hidden="1">2</definedName>
    <definedName name="solver_sho" localSheetId="12" hidden="1">2</definedName>
    <definedName name="solver_sho" localSheetId="10" hidden="1">2</definedName>
    <definedName name="solver_sho" localSheetId="11" hidden="1">2</definedName>
    <definedName name="solver_ssz" localSheetId="4" hidden="1">100</definedName>
    <definedName name="solver_ssz" localSheetId="12" hidden="1">100</definedName>
    <definedName name="solver_ssz" localSheetId="10" hidden="1">100</definedName>
    <definedName name="solver_ssz" localSheetId="11" hidden="1">100</definedName>
    <definedName name="solver_tim" localSheetId="4" hidden="1">2147483647</definedName>
    <definedName name="solver_tim" localSheetId="12" hidden="1">2147483647</definedName>
    <definedName name="solver_tim" localSheetId="10" hidden="1">2147483647</definedName>
    <definedName name="solver_tim" localSheetId="11" hidden="1">2147483647</definedName>
    <definedName name="solver_tol" localSheetId="4" hidden="1">0.01</definedName>
    <definedName name="solver_tol" localSheetId="12" hidden="1">0.01</definedName>
    <definedName name="solver_tol" localSheetId="10" hidden="1">0.01</definedName>
    <definedName name="solver_tol" localSheetId="11" hidden="1">0.01</definedName>
    <definedName name="solver_typ" localSheetId="14" hidden="1">1</definedName>
    <definedName name="solver_typ" localSheetId="4" hidden="1">1</definedName>
    <definedName name="solver_typ" localSheetId="12" hidden="1">2</definedName>
    <definedName name="solver_typ" localSheetId="10" hidden="1">2</definedName>
    <definedName name="solver_typ" localSheetId="11" hidden="1">2</definedName>
    <definedName name="solver_val" localSheetId="14" hidden="1">0</definedName>
    <definedName name="solver_val" localSheetId="4" hidden="1">0</definedName>
    <definedName name="solver_val" localSheetId="12" hidden="1">0</definedName>
    <definedName name="solver_val" localSheetId="10" hidden="1">0</definedName>
    <definedName name="solver_val" localSheetId="11" hidden="1">0</definedName>
    <definedName name="solver_ver" localSheetId="14" hidden="1">3</definedName>
    <definedName name="solver_ver" localSheetId="4" hidden="1">3</definedName>
    <definedName name="solver_ver" localSheetId="12" hidden="1">3</definedName>
    <definedName name="solver_ver" localSheetId="10" hidden="1">3</definedName>
    <definedName name="solver_ver" localSheetId="1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1" l="1"/>
  <c r="K2" i="21"/>
  <c r="T17" i="17"/>
  <c r="T16" i="17" a="1"/>
  <c r="T8" i="17" a="1"/>
  <c r="P14" i="17"/>
  <c r="O13" i="17"/>
  <c r="N12" i="17"/>
  <c r="D40" i="15"/>
  <c r="B39" i="15"/>
  <c r="B31" i="15"/>
  <c r="B30" i="15"/>
  <c r="B23" i="15"/>
  <c r="M10" i="17"/>
  <c r="M9" i="17"/>
  <c r="M8" i="17"/>
  <c r="O6" i="17"/>
  <c r="P6" i="17"/>
  <c r="N6" i="17"/>
  <c r="F2" i="15"/>
  <c r="F1" i="15"/>
  <c r="U6" i="17"/>
  <c r="T6" i="17"/>
  <c r="T5" i="17"/>
  <c r="C11" i="21"/>
  <c r="B11" i="21"/>
  <c r="C10" i="21"/>
  <c r="B10" i="21"/>
  <c r="D4" i="21"/>
  <c r="D5" i="21"/>
  <c r="F5" i="21" s="1"/>
  <c r="D3" i="21"/>
  <c r="B13" i="19"/>
  <c r="B14" i="19"/>
  <c r="B15" i="19"/>
  <c r="B16" i="19"/>
  <c r="B12" i="19"/>
  <c r="B8" i="19"/>
  <c r="B9" i="19"/>
  <c r="B10" i="19"/>
  <c r="B11" i="19"/>
  <c r="D11" i="19" s="1"/>
  <c r="B7" i="19"/>
  <c r="B3" i="19"/>
  <c r="B4" i="19"/>
  <c r="B5" i="19"/>
  <c r="B6" i="19"/>
  <c r="B2" i="19"/>
  <c r="C13" i="19"/>
  <c r="C14" i="19"/>
  <c r="C15" i="19"/>
  <c r="C16" i="19"/>
  <c r="C12" i="19"/>
  <c r="C8" i="19"/>
  <c r="C9" i="19"/>
  <c r="D9" i="19" s="1"/>
  <c r="C10" i="19"/>
  <c r="C11" i="19"/>
  <c r="C7" i="19"/>
  <c r="C3" i="19"/>
  <c r="C4" i="19"/>
  <c r="C5" i="19"/>
  <c r="C6" i="19"/>
  <c r="C2" i="19"/>
  <c r="D8" i="19"/>
  <c r="J5" i="19"/>
  <c r="G7" i="19"/>
  <c r="E4" i="21" l="1"/>
  <c r="F4" i="21" s="1"/>
  <c r="D14" i="19"/>
  <c r="D13" i="19"/>
  <c r="D10" i="19"/>
  <c r="D5" i="19"/>
  <c r="D16" i="19"/>
  <c r="D15" i="19"/>
  <c r="D4" i="19"/>
  <c r="D3" i="19"/>
  <c r="D6" i="19"/>
  <c r="D12" i="19"/>
  <c r="D7" i="19"/>
  <c r="D2" i="19"/>
  <c r="H5" i="17"/>
  <c r="G4" i="17"/>
  <c r="D17" i="19" l="1"/>
  <c r="C6" i="14"/>
  <c r="C7" i="14"/>
  <c r="C8" i="14"/>
  <c r="C9" i="14"/>
  <c r="C4" i="14"/>
  <c r="C28" i="14"/>
  <c r="C25" i="14"/>
  <c r="C22" i="14"/>
  <c r="C19" i="14"/>
  <c r="B16" i="14"/>
  <c r="C10" i="14" s="1"/>
  <c r="I28" i="14"/>
  <c r="I29" i="14" s="1"/>
  <c r="F28" i="14"/>
  <c r="F29" i="14" s="1"/>
  <c r="I25" i="14"/>
  <c r="F25" i="14"/>
  <c r="I22" i="14"/>
  <c r="F22" i="14"/>
  <c r="I19" i="14"/>
  <c r="F19" i="14"/>
  <c r="H16" i="14"/>
  <c r="I9" i="14" s="1"/>
  <c r="E16" i="14"/>
  <c r="F13" i="14" s="1"/>
  <c r="C13" i="14" l="1"/>
  <c r="C5" i="14"/>
  <c r="B22" i="14" s="1"/>
  <c r="B28" i="14" s="1"/>
  <c r="C12" i="14"/>
  <c r="C11" i="14"/>
  <c r="B19" i="14"/>
  <c r="B25" i="14" s="1"/>
  <c r="F4" i="14"/>
  <c r="F6" i="14"/>
  <c r="F7" i="14"/>
  <c r="F8" i="14"/>
  <c r="F10" i="14"/>
  <c r="F11" i="14"/>
  <c r="F12" i="14"/>
  <c r="I6" i="14"/>
  <c r="I11" i="14"/>
  <c r="I7" i="14"/>
  <c r="I5" i="14"/>
  <c r="I10" i="14"/>
  <c r="I12" i="14"/>
  <c r="I8" i="14"/>
  <c r="I13" i="14"/>
  <c r="I4" i="14"/>
  <c r="F5" i="14"/>
  <c r="F9" i="14"/>
  <c r="H22" i="14" l="1"/>
  <c r="H28" i="14" s="1"/>
  <c r="H19" i="14"/>
  <c r="H25" i="14" s="1"/>
  <c r="E19" i="14"/>
  <c r="E25" i="14" s="1"/>
  <c r="E22" i="14"/>
  <c r="E28" i="14" s="1"/>
  <c r="F12" i="12" l="1"/>
  <c r="F11" i="12"/>
  <c r="F10" i="12"/>
  <c r="F9" i="12"/>
  <c r="F8" i="12"/>
  <c r="F7" i="12"/>
  <c r="E3" i="12"/>
  <c r="D3" i="12"/>
  <c r="C3" i="12"/>
  <c r="B3" i="12"/>
  <c r="F4" i="11" l="1"/>
  <c r="F5" i="11"/>
  <c r="F6" i="11"/>
  <c r="F7" i="11"/>
  <c r="F8" i="11"/>
  <c r="F3" i="11"/>
  <c r="M10" i="9" l="1"/>
  <c r="L9" i="9"/>
  <c r="AF9" i="9" s="1"/>
  <c r="K8" i="9"/>
  <c r="AF19" i="9"/>
  <c r="M18" i="9"/>
  <c r="AF18" i="9" s="1"/>
  <c r="L17" i="9"/>
  <c r="AF17" i="9" s="1"/>
  <c r="K16" i="9"/>
  <c r="AF16" i="9" s="1"/>
  <c r="AF15" i="9"/>
  <c r="AF14" i="9"/>
  <c r="AF13" i="9"/>
  <c r="AF12" i="9"/>
  <c r="AF11" i="9"/>
  <c r="AF10" i="9"/>
  <c r="AF8" i="9"/>
  <c r="E8" i="9"/>
  <c r="D8" i="9"/>
  <c r="C8" i="9"/>
  <c r="B8" i="9"/>
  <c r="AF7" i="9"/>
  <c r="AE6" i="9"/>
  <c r="AD6" i="9"/>
  <c r="T6" i="9"/>
  <c r="P6" i="9"/>
  <c r="M6" i="9"/>
  <c r="L6" i="9"/>
  <c r="K6" i="9"/>
  <c r="AE2" i="9"/>
  <c r="AD2" i="9"/>
  <c r="AC2" i="9"/>
  <c r="AC6" i="9" s="1"/>
  <c r="AB2" i="9"/>
  <c r="AB6" i="9" s="1"/>
  <c r="AA2" i="9"/>
  <c r="AA6" i="9" s="1"/>
  <c r="Z2" i="9"/>
  <c r="Z6" i="9" s="1"/>
  <c r="Y2" i="9"/>
  <c r="Y6" i="9" s="1"/>
  <c r="X2" i="9"/>
  <c r="X6" i="9" s="1"/>
  <c r="W2" i="9"/>
  <c r="W6" i="9" s="1"/>
  <c r="V2" i="9"/>
  <c r="V6" i="9" s="1"/>
  <c r="U2" i="9"/>
  <c r="U6" i="9" s="1"/>
  <c r="T2" i="9"/>
  <c r="S2" i="9"/>
  <c r="S6" i="9" s="1"/>
  <c r="R2" i="9"/>
  <c r="R6" i="9" s="1"/>
  <c r="Q2" i="9"/>
  <c r="Q6" i="9" s="1"/>
  <c r="P2" i="9"/>
  <c r="O2" i="9"/>
  <c r="O6" i="9" s="1"/>
  <c r="N2" i="9"/>
  <c r="N6" i="9" s="1"/>
  <c r="AF6" i="9" l="1"/>
  <c r="T4" i="6"/>
  <c r="T5" i="6"/>
  <c r="T6" i="6"/>
  <c r="T7" i="6"/>
  <c r="T8" i="6"/>
  <c r="T3" i="6"/>
  <c r="E8" i="6" l="1"/>
  <c r="D8" i="6"/>
  <c r="C8" i="6"/>
  <c r="B8" i="6"/>
  <c r="B8" i="2" l="1"/>
  <c r="A10" i="2" s="1"/>
  <c r="D8" i="3" l="1"/>
  <c r="D7" i="3"/>
  <c r="E7" i="3" s="1"/>
  <c r="F7" i="3" s="1"/>
  <c r="D6" i="3"/>
  <c r="B14" i="3" s="1"/>
  <c r="B15" i="3" s="1"/>
  <c r="E6" i="3" l="1"/>
  <c r="F6" i="3" s="1"/>
  <c r="E8" i="3"/>
  <c r="F8" i="3" s="1"/>
  <c r="B1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<sst xmlns="http://schemas.openxmlformats.org/spreadsheetml/2006/main" count="375" uniqueCount="228">
  <si>
    <t>Inputs</t>
  </si>
  <si>
    <t>Fixed cost</t>
  </si>
  <si>
    <t>Unit margin</t>
  </si>
  <si>
    <t>Market</t>
  </si>
  <si>
    <t>Probability</t>
  </si>
  <si>
    <t>Great</t>
  </si>
  <si>
    <t>Fair</t>
  </si>
  <si>
    <t>Awful</t>
  </si>
  <si>
    <t>Sales volume</t>
  </si>
  <si>
    <t>Revenue (excluding FC)</t>
  </si>
  <si>
    <t>Expected utility</t>
  </si>
  <si>
    <t>Revenue after FC</t>
  </si>
  <si>
    <t>Utility</t>
  </si>
  <si>
    <t>Risk tolerance</t>
  </si>
  <si>
    <t>New product decision</t>
  </si>
  <si>
    <t>Yes</t>
  </si>
  <si>
    <t>No</t>
  </si>
  <si>
    <t>E[Util(Rev excluding FC)]</t>
  </si>
  <si>
    <t>Certainty equivalent</t>
  </si>
  <si>
    <t>Decision 1: Continue development and market the new product</t>
  </si>
  <si>
    <t>Fixed cost (USD)</t>
  </si>
  <si>
    <t>Unit margin (UDS/unit)</t>
  </si>
  <si>
    <t>Sales volume  (unit)</t>
  </si>
  <si>
    <t>Decision 2: Stop development and abandon product</t>
  </si>
  <si>
    <t>No payoffs, no costs, no uncertainty</t>
  </si>
  <si>
    <t>EMV (USD)</t>
  </si>
  <si>
    <t>Bayes' Decision Rule for the Goferbroke Co. Problem</t>
  </si>
  <si>
    <t>Alternative</t>
  </si>
  <si>
    <t>Drill</t>
  </si>
  <si>
    <t>Sell</t>
  </si>
  <si>
    <t>Oil</t>
  </si>
  <si>
    <t>Dry</t>
  </si>
  <si>
    <t>Prior probability</t>
  </si>
  <si>
    <t>Expected payoff</t>
  </si>
  <si>
    <t>Optimal decision</t>
  </si>
  <si>
    <t>=</t>
  </si>
  <si>
    <t>Yield (T/acre)</t>
  </si>
  <si>
    <t>Wheat</t>
  </si>
  <si>
    <t>Corn</t>
  </si>
  <si>
    <t>Planting cost ($/acre)</t>
  </si>
  <si>
    <t>Selling price ($/T)</t>
  </si>
  <si>
    <t>under 6000 T</t>
  </si>
  <si>
    <t>above 6000 T</t>
  </si>
  <si>
    <t>Profit per acrea ($/acre)</t>
  </si>
  <si>
    <t>Sugar Beets</t>
  </si>
  <si>
    <t>Ranking of profit per acre</t>
  </si>
  <si>
    <t>Rank #1</t>
  </si>
  <si>
    <t>Rank #2</t>
  </si>
  <si>
    <t>Rank #3</t>
  </si>
  <si>
    <t>Minimum req (T)</t>
  </si>
  <si>
    <t>Purchase price ($/T)</t>
  </si>
  <si>
    <t>Rank #4</t>
  </si>
  <si>
    <t>x1</t>
  </si>
  <si>
    <t>x2</t>
  </si>
  <si>
    <t>x3</t>
  </si>
  <si>
    <t>y1</t>
  </si>
  <si>
    <t>y2</t>
  </si>
  <si>
    <t>w1</t>
  </si>
  <si>
    <t>w2</t>
  </si>
  <si>
    <t>w3</t>
  </si>
  <si>
    <t>w4</t>
  </si>
  <si>
    <t>Land</t>
  </si>
  <si>
    <t>BeetSold</t>
  </si>
  <si>
    <t>BeetFavPrice</t>
  </si>
  <si>
    <t>Obj</t>
  </si>
  <si>
    <t>&gt;=</t>
  </si>
  <si>
    <t>w11</t>
  </si>
  <si>
    <t>y11</t>
  </si>
  <si>
    <t>y21</t>
  </si>
  <si>
    <t>w21</t>
  </si>
  <si>
    <t>w31</t>
  </si>
  <si>
    <t>w41</t>
  </si>
  <si>
    <t>y12</t>
  </si>
  <si>
    <t>y22</t>
  </si>
  <si>
    <t>w12</t>
  </si>
  <si>
    <t>w232</t>
  </si>
  <si>
    <t>w32</t>
  </si>
  <si>
    <t>w42</t>
  </si>
  <si>
    <t>y13</t>
  </si>
  <si>
    <t>y23</t>
  </si>
  <si>
    <t>w13</t>
  </si>
  <si>
    <t>w23</t>
  </si>
  <si>
    <t>w33</t>
  </si>
  <si>
    <t>w43</t>
  </si>
  <si>
    <t>Obj-Sc</t>
  </si>
  <si>
    <t>Avg</t>
  </si>
  <si>
    <t>Prob</t>
  </si>
  <si>
    <t>Variables</t>
  </si>
  <si>
    <t>Below 
Avg</t>
  </si>
  <si>
    <t xml:space="preserve">Outcome </t>
  </si>
  <si>
    <t>(Weather)</t>
  </si>
  <si>
    <t xml:space="preserve">O1 </t>
  </si>
  <si>
    <t>(Dry)</t>
  </si>
  <si>
    <t>(Moderate)</t>
  </si>
  <si>
    <t>(Damp)</t>
  </si>
  <si>
    <r>
      <t>O2</t>
    </r>
    <r>
      <rPr>
        <sz val="11"/>
        <color rgb="FF000000"/>
        <rFont val="Tahoma"/>
        <family val="2"/>
        <scheme val="minor"/>
      </rPr>
      <t xml:space="preserve">  </t>
    </r>
  </si>
  <si>
    <r>
      <t>O3</t>
    </r>
    <r>
      <rPr>
        <sz val="11"/>
        <color rgb="FF000000"/>
        <rFont val="Tahoma"/>
        <family val="2"/>
        <scheme val="minor"/>
      </rPr>
      <t xml:space="preserve"> </t>
    </r>
  </si>
  <si>
    <r>
      <t xml:space="preserve">D1 </t>
    </r>
    <r>
      <rPr>
        <sz val="11"/>
        <color rgb="FF000000"/>
        <rFont val="Tahoma"/>
        <family val="2"/>
        <scheme val="minor"/>
      </rPr>
      <t xml:space="preserve"> (Crop1)</t>
    </r>
  </si>
  <si>
    <r>
      <t>D2</t>
    </r>
    <r>
      <rPr>
        <sz val="11"/>
        <color rgb="FF000000"/>
        <rFont val="Tahoma"/>
        <family val="2"/>
        <scheme val="minor"/>
      </rPr>
      <t xml:space="preserve"> (Crop2)</t>
    </r>
  </si>
  <si>
    <r>
      <t>D3</t>
    </r>
    <r>
      <rPr>
        <sz val="11"/>
        <color rgb="FF000000"/>
        <rFont val="Tahoma"/>
        <family val="2"/>
        <scheme val="minor"/>
      </rPr>
      <t xml:space="preserve"> (Crop3)</t>
    </r>
  </si>
  <si>
    <t>Above Avg</t>
  </si>
  <si>
    <t>Decision 1: Develop</t>
  </si>
  <si>
    <t>Decision 2: Stop</t>
  </si>
  <si>
    <t>EMV</t>
  </si>
  <si>
    <t>Shift</t>
  </si>
  <si>
    <t>Decision variables</t>
  </si>
  <si>
    <t>Obj Coef</t>
  </si>
  <si>
    <t>RawI</t>
  </si>
  <si>
    <t>RawII</t>
  </si>
  <si>
    <t>DrugI</t>
  </si>
  <si>
    <t>DrugII</t>
  </si>
  <si>
    <t>Balance of active agent</t>
  </si>
  <si>
    <t>storage constr.</t>
  </si>
  <si>
    <t>manpower constr.</t>
  </si>
  <si>
    <t>equipment constr.</t>
  </si>
  <si>
    <t>budget constr.</t>
  </si>
  <si>
    <t>&lt;=</t>
  </si>
  <si>
    <t>Nomial value</t>
  </si>
  <si>
    <t>RC</t>
  </si>
  <si>
    <t>Sample variance</t>
  </si>
  <si>
    <t>Population variance</t>
  </si>
  <si>
    <t>Population standard deviation</t>
  </si>
  <si>
    <t>Sq dev from mean</t>
  </si>
  <si>
    <t>Mean</t>
  </si>
  <si>
    <t>Sample standard deviation</t>
  </si>
  <si>
    <t>Low variability demand</t>
  </si>
  <si>
    <t>High variability demand</t>
  </si>
  <si>
    <t>Demand1</t>
  </si>
  <si>
    <t>Demand2</t>
  </si>
  <si>
    <t>No variability demand</t>
  </si>
  <si>
    <t>Demand0</t>
  </si>
  <si>
    <t>#</t>
  </si>
  <si>
    <t>Normal probability calculations</t>
  </si>
  <si>
    <t>Examples with standard normal</t>
  </si>
  <si>
    <t>Probability calculations</t>
  </si>
  <si>
    <t>Range</t>
  </si>
  <si>
    <t>Formula</t>
  </si>
  <si>
    <t>Less than -2</t>
  </si>
  <si>
    <t>Greater than 1</t>
  </si>
  <si>
    <t>Between -.4 and 1.6</t>
  </si>
  <si>
    <t>Percentiles</t>
  </si>
  <si>
    <t>5th</t>
  </si>
  <si>
    <t>75th</t>
  </si>
  <si>
    <t>99th</t>
  </si>
  <si>
    <t>Examples with nonstandard normal</t>
  </si>
  <si>
    <t>Stdev</t>
  </si>
  <si>
    <t>Less than 70</t>
  </si>
  <si>
    <t>Greater than 73</t>
  </si>
  <si>
    <t>Between 75 and 85</t>
  </si>
  <si>
    <t>60th</t>
  </si>
  <si>
    <t>97th</t>
  </si>
  <si>
    <t>D1</t>
  </si>
  <si>
    <t>D2</t>
  </si>
  <si>
    <t>D3</t>
  </si>
  <si>
    <t>correlation</t>
  </si>
  <si>
    <t>mean</t>
  </si>
  <si>
    <t>stdev</t>
  </si>
  <si>
    <t>Portfolio selection model</t>
  </si>
  <si>
    <t>Stock input data</t>
  </si>
  <si>
    <t>Stock 1</t>
  </si>
  <si>
    <t>Stock 2</t>
  </si>
  <si>
    <t>Stock 3</t>
  </si>
  <si>
    <t>Mean return</t>
  </si>
  <si>
    <t>StDev of return</t>
  </si>
  <si>
    <t>Correlations</t>
  </si>
  <si>
    <t>Covariances</t>
  </si>
  <si>
    <t>Investment decisions</t>
  </si>
  <si>
    <t>Fractions to invest</t>
  </si>
  <si>
    <t>Constraint on investing everything</t>
  </si>
  <si>
    <t>Total invested</t>
  </si>
  <si>
    <t>Required value</t>
  </si>
  <si>
    <t>Constraint on expected portfolio return</t>
  </si>
  <si>
    <t>Actual return</t>
  </si>
  <si>
    <t>Required return</t>
  </si>
  <si>
    <t>Portfolio variance</t>
  </si>
  <si>
    <t>Portfolio stdev</t>
  </si>
  <si>
    <t>k</t>
  </si>
  <si>
    <t>P(D1 = k)</t>
  </si>
  <si>
    <t>P(D2 = k)</t>
  </si>
  <si>
    <t>SUM</t>
  </si>
  <si>
    <t>Sc</t>
  </si>
  <si>
    <t>Demand Basic, D1</t>
  </si>
  <si>
    <t>Demand XP, D2</t>
  </si>
  <si>
    <t>รางวัลที่ 1</t>
  </si>
  <si>
    <t>รางวัลข้างเคียงรางวัลที่ 1</t>
  </si>
  <si>
    <t>รางวัลที่ 2</t>
  </si>
  <si>
    <t>รางวัลที่ 3</t>
  </si>
  <si>
    <t>รางวัลที่ 4</t>
  </si>
  <si>
    <t>รางวัลที่ 5</t>
  </si>
  <si>
    <t>รางวัลเลขหน้า 3 ตัว (เสี่ยง 2 ครั้ง)</t>
  </si>
  <si>
    <t>รางวัลเลขท้าย 3 ตัว (เสี่ยง 2 ครั้ง)</t>
  </si>
  <si>
    <t>รางวัลเลขท้าย 2 ตัว (เสี่ยง 1 ครั้ง)</t>
  </si>
  <si>
    <t>ประเภทรางวัล</t>
  </si>
  <si>
    <t>จำนวนครั้งที่เสี่ยง</t>
  </si>
  <si>
    <t>จำนวนฉบับที่ถูกรางวัล</t>
  </si>
  <si>
    <t>รางวัลละ (บาท)</t>
  </si>
  <si>
    <t>Var</t>
  </si>
  <si>
    <t>Obj coef</t>
  </si>
  <si>
    <t>Con1 coef</t>
  </si>
  <si>
    <t>Con2 coef</t>
  </si>
  <si>
    <t>UB</t>
  </si>
  <si>
    <t>xi^2</t>
  </si>
  <si>
    <t>Payoff table</t>
  </si>
  <si>
    <t>Lead time</t>
  </si>
  <si>
    <t xml:space="preserve">Mean </t>
  </si>
  <si>
    <t>Correlation</t>
  </si>
  <si>
    <t>T1</t>
  </si>
  <si>
    <t>T2</t>
  </si>
  <si>
    <t>T3</t>
  </si>
  <si>
    <t>Ti</t>
  </si>
  <si>
    <t xml:space="preserve">Var </t>
  </si>
  <si>
    <t>E[T]</t>
  </si>
  <si>
    <t>var(T)</t>
  </si>
  <si>
    <t>sd(T)</t>
  </si>
  <si>
    <t>covariance</t>
  </si>
  <si>
    <t>V^0.5</t>
  </si>
  <si>
    <t>mu</t>
  </si>
  <si>
    <t>sigma</t>
  </si>
  <si>
    <t>P(D&lt;=70) = F(70;mu;sigma)</t>
  </si>
  <si>
    <t>in-class exercise</t>
  </si>
  <si>
    <t>in-class exercise 2</t>
  </si>
  <si>
    <t>std of demand/week</t>
  </si>
  <si>
    <t xml:space="preserve">demand/week </t>
  </si>
  <si>
    <t xml:space="preserve">reorder point </t>
  </si>
  <si>
    <t xml:space="preserve">service level </t>
  </si>
  <si>
    <t>X</t>
  </si>
  <si>
    <t>b</t>
  </si>
  <si>
    <t>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</si>
</sst>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7" formatCode="_(* #,##0.00_);_(* \(#,##0.00\);_(* &quot;-&quot;??_);_(@_)"/>
    <numFmt numFmtId="188" formatCode="_(* #,##0_);_(* \(#,##0\);_(* &quot;-&quot;??_);_(@_)"/>
    <numFmt numFmtId="189" formatCode="0.000"/>
    <numFmt numFmtId="190" formatCode="_(* #,##0.000_);_(* \(#,##0.000\);_(* &quot;-&quot;??_);_(@_)"/>
    <numFmt numFmtId="191" formatCode="0.0000"/>
    <numFmt numFmtId="192" formatCode="0.000000"/>
    <numFmt numFmtId="193" formatCode="0.00000"/>
  </numFmts>
  <fonts count="12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000000"/>
      <name val="Tahoma"/>
      <family val="2"/>
      <scheme val="minor"/>
    </font>
    <font>
      <sz val="10"/>
      <name val="MS Sans Serif"/>
      <family val="2"/>
    </font>
    <font>
      <b/>
      <sz val="13"/>
      <color theme="3"/>
      <name val="Tahoma"/>
      <family val="2"/>
      <scheme val="minor"/>
    </font>
    <font>
      <b/>
      <sz val="10"/>
      <name val="Arial"/>
      <family val="2"/>
    </font>
    <font>
      <b/>
      <sz val="11"/>
      <name val="Tahoma"/>
      <family val="2"/>
      <scheme val="minor"/>
    </font>
    <font>
      <sz val="11"/>
      <name val="Tahoma"/>
      <family val="2"/>
      <scheme val="minor"/>
    </font>
    <font>
      <u/>
      <sz val="10"/>
      <color indexed="12"/>
      <name val="Arial"/>
      <family val="2"/>
    </font>
    <font>
      <u/>
      <sz val="11"/>
      <color indexed="12"/>
      <name val="Tahoma"/>
      <family val="2"/>
      <scheme val="minor"/>
    </font>
    <font>
      <sz val="11"/>
      <color rgb="FFC00000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187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4" fillId="0" borderId="0"/>
    <xf numFmtId="0" fontId="5" fillId="0" borderId="16" applyNumberFormat="0" applyFill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188" fontId="0" fillId="0" borderId="0" xfId="1" applyNumberFormat="1" applyFont="1"/>
    <xf numFmtId="3" fontId="0" fillId="0" borderId="0" xfId="1" applyNumberFormat="1" applyFont="1"/>
    <xf numFmtId="189" fontId="0" fillId="0" borderId="0" xfId="0" applyNumberFormat="1"/>
    <xf numFmtId="3" fontId="1" fillId="2" borderId="0" xfId="2" applyNumberFormat="1"/>
    <xf numFmtId="1" fontId="1" fillId="2" borderId="0" xfId="2" applyNumberFormat="1"/>
    <xf numFmtId="0" fontId="1" fillId="2" borderId="0" xfId="2"/>
    <xf numFmtId="0" fontId="2" fillId="0" borderId="0" xfId="0" applyFont="1"/>
    <xf numFmtId="0" fontId="0" fillId="4" borderId="0" xfId="0" applyFill="1"/>
    <xf numFmtId="0" fontId="0" fillId="5" borderId="0" xfId="0" applyFill="1"/>
    <xf numFmtId="2" fontId="0" fillId="5" borderId="0" xfId="0" applyNumberFormat="1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87" fontId="0" fillId="0" borderId="0" xfId="1" applyFont="1"/>
    <xf numFmtId="0" fontId="0" fillId="0" borderId="0" xfId="0" quotePrefix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4" xfId="0" applyBorder="1"/>
    <xf numFmtId="0" fontId="0" fillId="0" borderId="9" xfId="0" quotePrefix="1" applyBorder="1"/>
    <xf numFmtId="0" fontId="0" fillId="0" borderId="14" xfId="0" quotePrefix="1" applyBorder="1"/>
    <xf numFmtId="0" fontId="0" fillId="0" borderId="6" xfId="0" quotePrefix="1" applyBorder="1"/>
    <xf numFmtId="2" fontId="0" fillId="0" borderId="0" xfId="0" applyNumberFormat="1"/>
    <xf numFmtId="3" fontId="0" fillId="0" borderId="0" xfId="0" applyNumberFormat="1"/>
    <xf numFmtId="0" fontId="0" fillId="3" borderId="2" xfId="0" applyFill="1" applyBorder="1"/>
    <xf numFmtId="1" fontId="0" fillId="0" borderId="0" xfId="1" applyNumberFormat="1" applyFont="1"/>
    <xf numFmtId="0" fontId="0" fillId="3" borderId="0" xfId="0" applyFill="1"/>
    <xf numFmtId="190" fontId="0" fillId="3" borderId="0" xfId="1" applyNumberFormat="1" applyFont="1" applyFill="1"/>
    <xf numFmtId="189" fontId="0" fillId="0" borderId="1" xfId="0" applyNumberFormat="1" applyBorder="1"/>
    <xf numFmtId="2" fontId="0" fillId="0" borderId="1" xfId="1" applyNumberFormat="1" applyFont="1" applyBorder="1"/>
    <xf numFmtId="187" fontId="0" fillId="0" borderId="0" xfId="1" quotePrefix="1" applyFont="1"/>
    <xf numFmtId="187" fontId="0" fillId="0" borderId="0" xfId="1" applyFont="1" applyFill="1" applyBorder="1"/>
    <xf numFmtId="187" fontId="0" fillId="0" borderId="0" xfId="1" quotePrefix="1" applyFont="1" applyFill="1" applyBorder="1"/>
    <xf numFmtId="191" fontId="0" fillId="0" borderId="0" xfId="0" applyNumberFormat="1"/>
    <xf numFmtId="0" fontId="6" fillId="0" borderId="0" xfId="0" applyFont="1"/>
    <xf numFmtId="191" fontId="0" fillId="0" borderId="0" xfId="0" quotePrefix="1" applyNumberFormat="1" applyAlignment="1">
      <alignment horizontal="left"/>
    </xf>
    <xf numFmtId="189" fontId="0" fillId="0" borderId="0" xfId="0" quotePrefix="1" applyNumberFormat="1" applyAlignment="1">
      <alignment horizontal="left"/>
    </xf>
    <xf numFmtId="0" fontId="0" fillId="6" borderId="0" xfId="0" applyFill="1"/>
    <xf numFmtId="0" fontId="0" fillId="0" borderId="0" xfId="0" quotePrefix="1" applyAlignment="1">
      <alignment horizontal="left"/>
    </xf>
    <xf numFmtId="2" fontId="0" fillId="0" borderId="0" xfId="1" applyNumberFormat="1" applyFont="1"/>
    <xf numFmtId="192" fontId="0" fillId="0" borderId="0" xfId="1" applyNumberFormat="1" applyFont="1"/>
    <xf numFmtId="0" fontId="5" fillId="0" borderId="16" xfId="4"/>
    <xf numFmtId="0" fontId="7" fillId="0" borderId="0" xfId="3" applyFont="1" applyAlignment="1">
      <alignment horizontal="left"/>
    </xf>
    <xf numFmtId="0" fontId="8" fillId="0" borderId="0" xfId="3" applyFont="1"/>
    <xf numFmtId="0" fontId="10" fillId="0" borderId="0" xfId="5" applyFont="1" applyAlignment="1" applyProtection="1"/>
    <xf numFmtId="0" fontId="7" fillId="0" borderId="0" xfId="3" quotePrefix="1" applyFont="1" applyAlignment="1">
      <alignment horizontal="left"/>
    </xf>
    <xf numFmtId="0" fontId="8" fillId="0" borderId="0" xfId="3" quotePrefix="1" applyFont="1" applyAlignment="1">
      <alignment horizontal="right"/>
    </xf>
    <xf numFmtId="0" fontId="8" fillId="6" borderId="0" xfId="3" applyFont="1" applyFill="1"/>
    <xf numFmtId="0" fontId="8" fillId="0" borderId="8" xfId="3" applyFont="1" applyBorder="1"/>
    <xf numFmtId="0" fontId="8" fillId="0" borderId="9" xfId="3" applyFont="1" applyBorder="1"/>
    <xf numFmtId="0" fontId="8" fillId="0" borderId="10" xfId="3" applyFont="1" applyBorder="1"/>
    <xf numFmtId="0" fontId="8" fillId="0" borderId="11" xfId="3" applyFont="1" applyBorder="1"/>
    <xf numFmtId="0" fontId="8" fillId="0" borderId="12" xfId="3" applyFont="1" applyBorder="1"/>
    <xf numFmtId="0" fontId="8" fillId="0" borderId="13" xfId="3" applyFont="1" applyBorder="1"/>
    <xf numFmtId="0" fontId="8" fillId="0" borderId="14" xfId="3" applyFont="1" applyBorder="1"/>
    <xf numFmtId="0" fontId="8" fillId="0" borderId="15" xfId="3" applyFont="1" applyBorder="1"/>
    <xf numFmtId="0" fontId="7" fillId="0" borderId="0" xfId="3" applyFont="1"/>
    <xf numFmtId="0" fontId="8" fillId="0" borderId="0" xfId="3" applyFont="1" applyAlignment="1">
      <alignment horizontal="right"/>
    </xf>
    <xf numFmtId="0" fontId="8" fillId="0" borderId="0" xfId="3" quotePrefix="1" applyFont="1" applyAlignment="1">
      <alignment horizontal="left"/>
    </xf>
    <xf numFmtId="189" fontId="8" fillId="0" borderId="0" xfId="3" applyNumberFormat="1" applyFont="1"/>
    <xf numFmtId="0" fontId="8" fillId="0" borderId="0" xfId="3" applyFont="1" applyAlignment="1">
      <alignment horizontal="left"/>
    </xf>
    <xf numFmtId="2" fontId="8" fillId="0" borderId="0" xfId="3" applyNumberFormat="1" applyFont="1"/>
    <xf numFmtId="0" fontId="8" fillId="0" borderId="0" xfId="3" applyFont="1" applyAlignment="1">
      <alignment horizontal="center"/>
    </xf>
    <xf numFmtId="1" fontId="8" fillId="0" borderId="0" xfId="3" applyNumberFormat="1" applyFont="1"/>
    <xf numFmtId="0" fontId="8" fillId="0" borderId="0" xfId="3" quotePrefix="1" applyFont="1" applyAlignment="1">
      <alignment horizontal="center"/>
    </xf>
    <xf numFmtId="2" fontId="8" fillId="6" borderId="0" xfId="3" applyNumberFormat="1" applyFont="1" applyFill="1"/>
    <xf numFmtId="191" fontId="8" fillId="0" borderId="0" xfId="3" applyNumberFormat="1" applyFont="1"/>
    <xf numFmtId="193" fontId="0" fillId="0" borderId="0" xfId="0" applyNumberFormat="1"/>
    <xf numFmtId="1" fontId="0" fillId="0" borderId="0" xfId="0" applyNumberFormat="1"/>
    <xf numFmtId="0" fontId="0" fillId="3" borderId="11" xfId="0" applyFill="1" applyBorder="1"/>
    <xf numFmtId="0" fontId="0" fillId="3" borderId="12" xfId="0" applyFill="1" applyBorder="1"/>
    <xf numFmtId="0" fontId="0" fillId="7" borderId="0" xfId="0" applyFill="1"/>
    <xf numFmtId="0" fontId="11" fillId="0" borderId="0" xfId="0" applyFont="1"/>
    <xf numFmtId="0" fontId="0" fillId="8" borderId="0" xfId="0" applyFill="1"/>
    <xf numFmtId="1" fontId="0" fillId="4" borderId="1" xfId="0" applyNumberFormat="1" applyFill="1" applyBorder="1"/>
    <xf numFmtId="0" fontId="0" fillId="0" borderId="0" xfId="0"/>
    <xf numFmtId="0" fontId="0" fillId="0" borderId="8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</cellXfs>
  <cellStyles count="6">
    <cellStyle name="20% - Accent1" xfId="2" builtinId="30"/>
    <cellStyle name="Comma" xfId="1" builtinId="3"/>
    <cellStyle name="Heading 2" xfId="4" builtinId="17"/>
    <cellStyle name="Hyperlink" xfId="5" builtinId="8"/>
    <cellStyle name="Normal" xfId="0" builtinId="0"/>
    <cellStyle name="Normal 2" xfId="3" xr:uid="{B1A74790-5408-4797-B231-1A321A907D87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</xdr:row>
      <xdr:rowOff>182879</xdr:rowOff>
    </xdr:from>
    <xdr:to>
      <xdr:col>17</xdr:col>
      <xdr:colOff>259080</xdr:colOff>
      <xdr:row>23</xdr:row>
      <xdr:rowOff>34588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F71BB4-9C4F-4A01-A524-4FA3FBC6D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2780" y="1668779"/>
          <a:ext cx="5318760" cy="2594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A870-1A44-4015-97BD-4BB6762B51B9}">
  <dimension ref="A1:I29"/>
  <sheetViews>
    <sheetView zoomScale="90" zoomScaleNormal="90" workbookViewId="0">
      <selection activeCell="I29" sqref="I29"/>
    </sheetView>
  </sheetViews>
  <sheetFormatPr defaultColWidth="8.875" defaultRowHeight="14.45" customHeight="1" x14ac:dyDescent="0.35"/>
  <cols>
    <col min="1" max="1" width="3.4375" bestFit="1" customWidth="1"/>
    <col min="2" max="2" width="20.4375" bestFit="1" customWidth="1"/>
    <col min="3" max="3" width="16" customWidth="1"/>
    <col min="4" max="4" width="6.125" customWidth="1"/>
    <col min="5" max="5" width="10.875" customWidth="1"/>
    <col min="6" max="6" width="17.4375" bestFit="1" customWidth="1"/>
    <col min="7" max="7" width="6.125" customWidth="1"/>
    <col min="8" max="8" width="11.125" customWidth="1"/>
    <col min="9" max="9" width="17.4375" bestFit="1" customWidth="1"/>
  </cols>
  <sheetData>
    <row r="1" spans="1:9" ht="14.45" customHeight="1" x14ac:dyDescent="0.35">
      <c r="B1" s="7" t="s">
        <v>129</v>
      </c>
      <c r="E1" s="7" t="s">
        <v>125</v>
      </c>
      <c r="H1" s="7" t="s">
        <v>126</v>
      </c>
    </row>
    <row r="3" spans="1:9" ht="14.45" customHeight="1" x14ac:dyDescent="0.35">
      <c r="A3" s="12" t="s">
        <v>131</v>
      </c>
      <c r="B3" t="s">
        <v>130</v>
      </c>
      <c r="C3" s="11" t="s">
        <v>122</v>
      </c>
      <c r="E3" s="11" t="s">
        <v>127</v>
      </c>
      <c r="F3" s="11" t="s">
        <v>122</v>
      </c>
      <c r="G3" s="11"/>
      <c r="H3" s="11" t="s">
        <v>128</v>
      </c>
      <c r="I3" s="11" t="s">
        <v>122</v>
      </c>
    </row>
    <row r="4" spans="1:9" ht="14.45" customHeight="1" x14ac:dyDescent="0.35">
      <c r="A4">
        <v>1</v>
      </c>
      <c r="B4">
        <v>100</v>
      </c>
      <c r="C4" s="52">
        <f>(B4-$B$16)^2</f>
        <v>0</v>
      </c>
      <c r="E4">
        <v>102.61</v>
      </c>
      <c r="F4" s="53">
        <f t="shared" ref="F4:F13" si="0">(E4-$E$16)^2</f>
        <v>6.3857290000000049</v>
      </c>
      <c r="H4">
        <v>103.21</v>
      </c>
      <c r="I4" s="53">
        <f t="shared" ref="I4:I13" si="1">(H4-$H$16)^2</f>
        <v>9.8344960000000619</v>
      </c>
    </row>
    <row r="5" spans="1:9" ht="14.45" customHeight="1" x14ac:dyDescent="0.35">
      <c r="A5">
        <v>2</v>
      </c>
      <c r="B5">
        <v>100</v>
      </c>
      <c r="C5" s="52">
        <f t="shared" ref="C5:C13" si="2">(B5-$B$16)^2</f>
        <v>0</v>
      </c>
      <c r="E5">
        <v>103.25</v>
      </c>
      <c r="F5" s="53">
        <f t="shared" si="0"/>
        <v>10.02988900000001</v>
      </c>
      <c r="H5">
        <v>93.66</v>
      </c>
      <c r="I5" s="53">
        <f t="shared" si="1"/>
        <v>41.139395999999834</v>
      </c>
    </row>
    <row r="6" spans="1:9" ht="14.45" customHeight="1" x14ac:dyDescent="0.35">
      <c r="A6">
        <v>3</v>
      </c>
      <c r="B6">
        <v>100</v>
      </c>
      <c r="C6" s="52">
        <f t="shared" si="2"/>
        <v>0</v>
      </c>
      <c r="E6">
        <v>96.34</v>
      </c>
      <c r="F6" s="53">
        <f t="shared" si="0"/>
        <v>14.010048999999963</v>
      </c>
      <c r="H6">
        <v>120.87</v>
      </c>
      <c r="I6" s="53">
        <f t="shared" si="1"/>
        <v>432.47361600000085</v>
      </c>
    </row>
    <row r="7" spans="1:9" ht="14.45" customHeight="1" x14ac:dyDescent="0.35">
      <c r="A7">
        <v>4</v>
      </c>
      <c r="B7">
        <v>100</v>
      </c>
      <c r="C7" s="52">
        <f t="shared" si="2"/>
        <v>0</v>
      </c>
      <c r="E7">
        <v>96.27</v>
      </c>
      <c r="F7" s="53">
        <f t="shared" si="0"/>
        <v>14.538969000000018</v>
      </c>
      <c r="H7">
        <v>110.26</v>
      </c>
      <c r="I7" s="53">
        <f t="shared" si="1"/>
        <v>103.75459600000043</v>
      </c>
    </row>
    <row r="8" spans="1:9" ht="14.45" customHeight="1" x14ac:dyDescent="0.35">
      <c r="A8">
        <v>5</v>
      </c>
      <c r="B8">
        <v>100</v>
      </c>
      <c r="C8" s="52">
        <f t="shared" si="2"/>
        <v>0</v>
      </c>
      <c r="E8">
        <v>103.77</v>
      </c>
      <c r="F8" s="53">
        <f t="shared" si="0"/>
        <v>13.593968999999982</v>
      </c>
      <c r="H8">
        <v>117.31</v>
      </c>
      <c r="I8" s="53">
        <f t="shared" si="1"/>
        <v>297.07969600000064</v>
      </c>
    </row>
    <row r="9" spans="1:9" ht="14.45" customHeight="1" x14ac:dyDescent="0.35">
      <c r="A9">
        <v>6</v>
      </c>
      <c r="B9">
        <v>100</v>
      </c>
      <c r="C9" s="52">
        <f t="shared" si="2"/>
        <v>0</v>
      </c>
      <c r="E9">
        <v>97.45</v>
      </c>
      <c r="F9" s="53">
        <f t="shared" si="0"/>
        <v>6.9326889999999768</v>
      </c>
      <c r="H9">
        <v>110.23</v>
      </c>
      <c r="I9" s="53">
        <f t="shared" si="1"/>
        <v>103.14433600000041</v>
      </c>
    </row>
    <row r="10" spans="1:9" ht="14.45" customHeight="1" x14ac:dyDescent="0.35">
      <c r="A10">
        <v>7</v>
      </c>
      <c r="B10">
        <v>100</v>
      </c>
      <c r="C10" s="52">
        <f t="shared" si="2"/>
        <v>0</v>
      </c>
      <c r="E10">
        <v>98.22</v>
      </c>
      <c r="F10" s="53">
        <f t="shared" si="0"/>
        <v>3.4707689999999984</v>
      </c>
      <c r="H10">
        <v>70.540000000000006</v>
      </c>
      <c r="I10" s="53">
        <f t="shared" si="1"/>
        <v>872.25715599999864</v>
      </c>
    </row>
    <row r="11" spans="1:9" ht="14.45" customHeight="1" x14ac:dyDescent="0.35">
      <c r="A11">
        <v>8</v>
      </c>
      <c r="B11">
        <v>100</v>
      </c>
      <c r="C11" s="52">
        <f t="shared" si="2"/>
        <v>0</v>
      </c>
      <c r="E11">
        <v>102.76</v>
      </c>
      <c r="F11" s="53">
        <f t="shared" si="0"/>
        <v>7.1663290000000357</v>
      </c>
      <c r="H11">
        <v>39.53</v>
      </c>
      <c r="I11" s="53">
        <f t="shared" si="1"/>
        <v>3665.5759359999979</v>
      </c>
    </row>
    <row r="12" spans="1:9" ht="14.45" customHeight="1" x14ac:dyDescent="0.35">
      <c r="A12">
        <v>9</v>
      </c>
      <c r="B12">
        <v>100</v>
      </c>
      <c r="C12" s="52">
        <f t="shared" si="2"/>
        <v>0</v>
      </c>
      <c r="E12">
        <v>101.56</v>
      </c>
      <c r="F12" s="53">
        <f t="shared" si="0"/>
        <v>2.1815290000000114</v>
      </c>
      <c r="H12">
        <v>133.22</v>
      </c>
      <c r="I12" s="53">
        <f t="shared" si="1"/>
        <v>1098.6573160000009</v>
      </c>
    </row>
    <row r="13" spans="1:9" ht="14.45" customHeight="1" x14ac:dyDescent="0.35">
      <c r="A13">
        <v>10</v>
      </c>
      <c r="B13">
        <v>100</v>
      </c>
      <c r="C13" s="52">
        <f t="shared" si="2"/>
        <v>0</v>
      </c>
      <c r="E13">
        <v>98.6</v>
      </c>
      <c r="F13" s="53">
        <f t="shared" si="0"/>
        <v>2.1992890000000123</v>
      </c>
      <c r="H13">
        <v>101.91</v>
      </c>
      <c r="I13" s="53">
        <f t="shared" si="1"/>
        <v>3.3708960000000467</v>
      </c>
    </row>
    <row r="15" spans="1:9" ht="14.45" customHeight="1" x14ac:dyDescent="0.35">
      <c r="B15" t="s">
        <v>123</v>
      </c>
      <c r="E15" t="s">
        <v>123</v>
      </c>
      <c r="H15" t="s">
        <v>123</v>
      </c>
    </row>
    <row r="16" spans="1:9" ht="14.45" customHeight="1" x14ac:dyDescent="0.35">
      <c r="B16">
        <f>AVERAGE(B4:B13)</f>
        <v>100</v>
      </c>
      <c r="E16">
        <f>AVERAGE(E4:E13)</f>
        <v>100.083</v>
      </c>
      <c r="H16">
        <f>AVERAGE(H4:H13)</f>
        <v>100.07399999999998</v>
      </c>
    </row>
    <row r="18" spans="2:9" ht="14.45" customHeight="1" x14ac:dyDescent="0.35">
      <c r="B18" t="s">
        <v>119</v>
      </c>
      <c r="E18" t="s">
        <v>119</v>
      </c>
      <c r="H18" t="s">
        <v>119</v>
      </c>
    </row>
    <row r="19" spans="2:9" ht="14.45" customHeight="1" x14ac:dyDescent="0.35">
      <c r="B19" s="46">
        <f>SUM(C4:C13)/9</f>
        <v>0</v>
      </c>
      <c r="C19" s="46">
        <f>_xlfn.VAR.S(B4:B13)</f>
        <v>0</v>
      </c>
      <c r="D19" s="46"/>
      <c r="E19" s="46">
        <f>SUM(F4:F13)/9</f>
        <v>8.9454677777777789</v>
      </c>
      <c r="F19" s="46">
        <f>_xlfn.VAR.S(E4:E13)</f>
        <v>8.9454677777777789</v>
      </c>
      <c r="H19" s="46">
        <f>SUM(I4:I13)/9</f>
        <v>736.36527111111116</v>
      </c>
      <c r="I19" s="46">
        <f>_xlfn.VAR.S(H4:H13)</f>
        <v>736.36527111111434</v>
      </c>
    </row>
    <row r="21" spans="2:9" ht="14.45" customHeight="1" x14ac:dyDescent="0.35">
      <c r="B21" t="s">
        <v>120</v>
      </c>
      <c r="E21" t="s">
        <v>120</v>
      </c>
      <c r="H21" t="s">
        <v>120</v>
      </c>
    </row>
    <row r="22" spans="2:9" ht="14.45" customHeight="1" x14ac:dyDescent="0.35">
      <c r="B22" s="46">
        <f>SUM(C4:C13)/10</f>
        <v>0</v>
      </c>
      <c r="C22" s="46">
        <f>_xlfn.VAR.P(B4:B13)</f>
        <v>0</v>
      </c>
      <c r="D22" s="46"/>
      <c r="E22" s="46">
        <f>SUM(F4:F13)/10</f>
        <v>8.0509210000000007</v>
      </c>
      <c r="F22" s="46">
        <f>_xlfn.VAR.P(E4:E13)</f>
        <v>8.0509210000000007</v>
      </c>
      <c r="H22" s="46">
        <f>SUM(I4:I13)/10</f>
        <v>662.72874400000001</v>
      </c>
      <c r="I22" s="46">
        <f>_xlfn.VAR.P(H4:H13)</f>
        <v>662.72874400000433</v>
      </c>
    </row>
    <row r="24" spans="2:9" ht="14.45" customHeight="1" x14ac:dyDescent="0.35">
      <c r="B24" t="s">
        <v>124</v>
      </c>
      <c r="E24" t="s">
        <v>124</v>
      </c>
      <c r="H24" t="s">
        <v>124</v>
      </c>
    </row>
    <row r="25" spans="2:9" ht="14.45" customHeight="1" x14ac:dyDescent="0.35">
      <c r="B25" s="46">
        <f>SQRT(B19)</f>
        <v>0</v>
      </c>
      <c r="C25" s="46">
        <f>_xlfn.STDEV.S(B4:B13)</f>
        <v>0</v>
      </c>
      <c r="D25" s="46"/>
      <c r="E25" s="46">
        <f>SQRT(E19)</f>
        <v>2.9908974870058285</v>
      </c>
      <c r="F25" s="46">
        <f>_xlfn.STDEV.S(E4:E13)</f>
        <v>2.9908974870058285</v>
      </c>
      <c r="H25" s="46">
        <f>SQRT(H19)</f>
        <v>27.13605113333757</v>
      </c>
      <c r="I25" s="46">
        <f>_xlfn.STDEV.S(H4:H13)</f>
        <v>27.136051133337627</v>
      </c>
    </row>
    <row r="27" spans="2:9" ht="14.45" customHeight="1" x14ac:dyDescent="0.35">
      <c r="B27" t="s">
        <v>121</v>
      </c>
      <c r="E27" t="s">
        <v>121</v>
      </c>
      <c r="H27" t="s">
        <v>121</v>
      </c>
    </row>
    <row r="28" spans="2:9" ht="14.45" customHeight="1" x14ac:dyDescent="0.35">
      <c r="B28" s="46">
        <f>SQRT(B22)</f>
        <v>0</v>
      </c>
      <c r="C28" s="46">
        <f>_xlfn.STDEV.P(B4:B13)</f>
        <v>0</v>
      </c>
      <c r="D28" s="46"/>
      <c r="E28" s="46">
        <f>SQRT(E22)</f>
        <v>2.837414492103683</v>
      </c>
      <c r="F28" s="46">
        <f>_xlfn.STDEV.P(E4:E13)</f>
        <v>2.837414492103683</v>
      </c>
      <c r="H28" s="46">
        <f>SQRT(H22)</f>
        <v>25.743518485242067</v>
      </c>
      <c r="I28" s="46">
        <f>_xlfn.STDEV.P(H4:H13)</f>
        <v>25.743518485242152</v>
      </c>
    </row>
    <row r="29" spans="2:9" ht="14.45" customHeight="1" x14ac:dyDescent="0.35">
      <c r="F29">
        <f>ROUNDUP(1.28*F28,0)</f>
        <v>4</v>
      </c>
      <c r="I29">
        <f>ROUNDUP(1.28*I28,0)</f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D636-D113-430E-8AEF-CC8AB78B6538}">
  <dimension ref="A1:F40"/>
  <sheetViews>
    <sheetView topLeftCell="A15" workbookViewId="0">
      <selection activeCell="F38" sqref="F38"/>
    </sheetView>
  </sheetViews>
  <sheetFormatPr defaultColWidth="8.875" defaultRowHeight="13.5" x14ac:dyDescent="0.35"/>
  <cols>
    <col min="1" max="1" width="21.125" customWidth="1"/>
    <col min="2" max="2" width="10.5625" bestFit="1" customWidth="1"/>
  </cols>
  <sheetData>
    <row r="1" spans="1:6" ht="13.9" x14ac:dyDescent="0.4">
      <c r="A1" s="47" t="s">
        <v>132</v>
      </c>
      <c r="F1">
        <f>_xlfn.NORM.DIST(80, 75, 8, TRUE)</f>
        <v>0.73401447095129946</v>
      </c>
    </row>
    <row r="2" spans="1:6" x14ac:dyDescent="0.35">
      <c r="F2">
        <f>_xlfn.NORM.INV(0.9, 1085, 164)</f>
        <v>1295.1744567493145</v>
      </c>
    </row>
    <row r="3" spans="1:6" ht="13.9" x14ac:dyDescent="0.4">
      <c r="A3" s="47" t="s">
        <v>133</v>
      </c>
    </row>
    <row r="5" spans="1:6" ht="13.9" x14ac:dyDescent="0.4">
      <c r="A5" s="47" t="s">
        <v>134</v>
      </c>
    </row>
    <row r="6" spans="1:6" x14ac:dyDescent="0.35">
      <c r="A6" t="s">
        <v>135</v>
      </c>
      <c r="B6" s="11" t="s">
        <v>4</v>
      </c>
      <c r="D6" t="s">
        <v>136</v>
      </c>
    </row>
    <row r="7" spans="1:6" x14ac:dyDescent="0.35">
      <c r="A7" t="s">
        <v>137</v>
      </c>
      <c r="B7" s="46"/>
      <c r="D7" s="48"/>
    </row>
    <row r="8" spans="1:6" x14ac:dyDescent="0.35">
      <c r="A8" t="s">
        <v>138</v>
      </c>
      <c r="B8" s="46"/>
      <c r="D8" s="48"/>
    </row>
    <row r="9" spans="1:6" x14ac:dyDescent="0.35">
      <c r="A9" t="s">
        <v>139</v>
      </c>
      <c r="B9" s="46"/>
      <c r="D9" s="48"/>
    </row>
    <row r="11" spans="1:6" ht="13.9" x14ac:dyDescent="0.4">
      <c r="A11" s="47" t="s">
        <v>140</v>
      </c>
    </row>
    <row r="12" spans="1:6" x14ac:dyDescent="0.35">
      <c r="A12" t="s">
        <v>141</v>
      </c>
      <c r="B12" s="3"/>
      <c r="D12" s="49"/>
    </row>
    <row r="13" spans="1:6" x14ac:dyDescent="0.35">
      <c r="A13" t="s">
        <v>142</v>
      </c>
      <c r="B13" s="3"/>
      <c r="D13" s="49"/>
    </row>
    <row r="14" spans="1:6" x14ac:dyDescent="0.35">
      <c r="A14" t="s">
        <v>143</v>
      </c>
      <c r="B14" s="3"/>
      <c r="D14" s="49"/>
    </row>
    <row r="16" spans="1:6" ht="13.9" x14ac:dyDescent="0.4">
      <c r="A16" s="47" t="s">
        <v>144</v>
      </c>
    </row>
    <row r="18" spans="1:5" x14ac:dyDescent="0.35">
      <c r="A18" t="s">
        <v>123</v>
      </c>
      <c r="B18" s="50">
        <v>75</v>
      </c>
      <c r="C18" t="s">
        <v>216</v>
      </c>
    </row>
    <row r="19" spans="1:5" x14ac:dyDescent="0.35">
      <c r="A19" t="s">
        <v>145</v>
      </c>
      <c r="B19" s="50">
        <v>8</v>
      </c>
      <c r="C19" t="s">
        <v>217</v>
      </c>
    </row>
    <row r="21" spans="1:5" ht="13.9" x14ac:dyDescent="0.4">
      <c r="A21" s="47" t="s">
        <v>134</v>
      </c>
    </row>
    <row r="22" spans="1:5" x14ac:dyDescent="0.35">
      <c r="A22" t="s">
        <v>135</v>
      </c>
      <c r="B22" s="11" t="s">
        <v>4</v>
      </c>
      <c r="D22" t="s">
        <v>136</v>
      </c>
    </row>
    <row r="23" spans="1:5" x14ac:dyDescent="0.35">
      <c r="A23" t="s">
        <v>146</v>
      </c>
      <c r="B23" s="46">
        <f>_xlfn.NORM.DIST(80,$B$18,$B$19,TRUE)</f>
        <v>0.73401447095129946</v>
      </c>
      <c r="D23" s="51"/>
      <c r="E23" t="s">
        <v>218</v>
      </c>
    </row>
    <row r="24" spans="1:5" x14ac:dyDescent="0.35">
      <c r="A24" t="s">
        <v>147</v>
      </c>
      <c r="B24" s="46"/>
      <c r="D24" s="51"/>
    </row>
    <row r="25" spans="1:5" x14ac:dyDescent="0.35">
      <c r="A25" t="s">
        <v>148</v>
      </c>
      <c r="B25" s="46"/>
      <c r="D25" s="51"/>
    </row>
    <row r="27" spans="1:5" ht="13.9" x14ac:dyDescent="0.4">
      <c r="A27" s="47" t="s">
        <v>140</v>
      </c>
    </row>
    <row r="28" spans="1:5" x14ac:dyDescent="0.35">
      <c r="A28" t="s">
        <v>141</v>
      </c>
      <c r="B28" s="3"/>
      <c r="D28" s="49"/>
    </row>
    <row r="29" spans="1:5" x14ac:dyDescent="0.35">
      <c r="A29" t="s">
        <v>149</v>
      </c>
      <c r="B29" s="3"/>
      <c r="D29" s="49"/>
    </row>
    <row r="30" spans="1:5" x14ac:dyDescent="0.35">
      <c r="A30" t="s">
        <v>150</v>
      </c>
      <c r="B30" s="3">
        <f>_xlfn.NORM.INV(0.97,$B$18,$B$19)</f>
        <v>90.046348865210007</v>
      </c>
      <c r="D30" s="49"/>
    </row>
    <row r="31" spans="1:5" x14ac:dyDescent="0.35">
      <c r="A31" t="s">
        <v>219</v>
      </c>
      <c r="B31">
        <f>_xlfn.NORM.INV(0.9, 1085, 164)</f>
        <v>1295.1744567493145</v>
      </c>
    </row>
    <row r="35" spans="1:4" x14ac:dyDescent="0.35">
      <c r="A35" t="s">
        <v>220</v>
      </c>
    </row>
    <row r="36" spans="1:4" x14ac:dyDescent="0.35">
      <c r="A36" t="s">
        <v>222</v>
      </c>
      <c r="B36">
        <v>500</v>
      </c>
    </row>
    <row r="37" spans="1:4" x14ac:dyDescent="0.35">
      <c r="A37" t="s">
        <v>221</v>
      </c>
      <c r="B37">
        <v>60</v>
      </c>
    </row>
    <row r="38" spans="1:4" x14ac:dyDescent="0.35">
      <c r="A38" t="s">
        <v>223</v>
      </c>
      <c r="B38">
        <v>550</v>
      </c>
    </row>
    <row r="39" spans="1:4" x14ac:dyDescent="0.35">
      <c r="A39" t="s">
        <v>224</v>
      </c>
      <c r="B39" s="39">
        <f>_xlfn.NORM.DIST(B38,B36,B37, TRUE)</f>
        <v>0.79767161903635697</v>
      </c>
      <c r="C39" t="s">
        <v>65</v>
      </c>
      <c r="D39">
        <v>0.97499999999999998</v>
      </c>
    </row>
    <row r="40" spans="1:4" x14ac:dyDescent="0.35">
      <c r="C40" t="s">
        <v>225</v>
      </c>
      <c r="D40" s="8">
        <f>_xlfn.NORM.INV(D39, B36,B37)</f>
        <v>617.59783907240319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B24F-2CC1-4024-8E71-BDF4D5BCC4E8}">
  <dimension ref="A1:V17"/>
  <sheetViews>
    <sheetView topLeftCell="F1" workbookViewId="0">
      <selection activeCell="U16" sqref="U16"/>
    </sheetView>
  </sheetViews>
  <sheetFormatPr defaultColWidth="8.875" defaultRowHeight="13.5" x14ac:dyDescent="0.35"/>
  <cols>
    <col min="6" max="6" width="12.4375" bestFit="1" customWidth="1"/>
    <col min="12" max="12" width="10.6875" bestFit="1" customWidth="1"/>
    <col min="18" max="18" width="9.125" bestFit="1" customWidth="1"/>
    <col min="19" max="19" width="10.4375" bestFit="1" customWidth="1"/>
  </cols>
  <sheetData>
    <row r="1" spans="1:22" ht="16.5" thickBot="1" x14ac:dyDescent="0.45">
      <c r="F1" t="s">
        <v>154</v>
      </c>
      <c r="L1" s="54" t="s">
        <v>203</v>
      </c>
    </row>
    <row r="2" spans="1:22" ht="13.9" thickTop="1" x14ac:dyDescent="0.35">
      <c r="B2" t="s">
        <v>151</v>
      </c>
      <c r="C2" t="s">
        <v>152</v>
      </c>
      <c r="D2" t="s">
        <v>153</v>
      </c>
      <c r="G2" t="s">
        <v>151</v>
      </c>
      <c r="H2" t="s">
        <v>152</v>
      </c>
      <c r="I2" t="s">
        <v>153</v>
      </c>
    </row>
    <row r="3" spans="1:22" x14ac:dyDescent="0.35">
      <c r="A3" t="s">
        <v>155</v>
      </c>
      <c r="B3">
        <v>50</v>
      </c>
      <c r="C3">
        <v>45</v>
      </c>
      <c r="D3">
        <v>65</v>
      </c>
      <c r="F3" t="s">
        <v>151</v>
      </c>
      <c r="G3">
        <v>1</v>
      </c>
      <c r="H3">
        <v>-0.6</v>
      </c>
      <c r="I3">
        <v>0.1</v>
      </c>
      <c r="M3" t="s">
        <v>209</v>
      </c>
      <c r="N3" t="s">
        <v>206</v>
      </c>
      <c r="O3" t="s">
        <v>207</v>
      </c>
      <c r="P3" t="s">
        <v>208</v>
      </c>
      <c r="S3" s="84" t="s">
        <v>205</v>
      </c>
      <c r="T3" t="s">
        <v>206</v>
      </c>
      <c r="U3" t="s">
        <v>207</v>
      </c>
      <c r="V3" t="s">
        <v>208</v>
      </c>
    </row>
    <row r="4" spans="1:22" x14ac:dyDescent="0.35">
      <c r="A4" t="s">
        <v>156</v>
      </c>
      <c r="B4">
        <v>10</v>
      </c>
      <c r="C4">
        <v>5</v>
      </c>
      <c r="D4">
        <v>15</v>
      </c>
      <c r="F4" t="s">
        <v>152</v>
      </c>
      <c r="G4">
        <f>H3</f>
        <v>-0.6</v>
      </c>
      <c r="H4">
        <v>1</v>
      </c>
      <c r="I4">
        <v>-0.2</v>
      </c>
      <c r="M4" t="s">
        <v>204</v>
      </c>
      <c r="N4">
        <v>7</v>
      </c>
      <c r="O4">
        <v>30</v>
      </c>
      <c r="P4">
        <v>1</v>
      </c>
      <c r="S4" t="s">
        <v>206</v>
      </c>
      <c r="T4">
        <v>1</v>
      </c>
      <c r="U4">
        <v>-0.3</v>
      </c>
      <c r="V4">
        <v>0.1</v>
      </c>
    </row>
    <row r="5" spans="1:22" x14ac:dyDescent="0.35">
      <c r="F5" t="s">
        <v>153</v>
      </c>
      <c r="G5">
        <v>0.1</v>
      </c>
      <c r="H5">
        <f>I4</f>
        <v>-0.2</v>
      </c>
      <c r="I5">
        <v>1</v>
      </c>
      <c r="M5" t="s">
        <v>145</v>
      </c>
      <c r="N5">
        <v>2</v>
      </c>
      <c r="O5">
        <v>5</v>
      </c>
      <c r="P5">
        <v>0.5</v>
      </c>
      <c r="S5" t="s">
        <v>207</v>
      </c>
      <c r="T5">
        <f>U4</f>
        <v>-0.3</v>
      </c>
      <c r="U5">
        <v>1</v>
      </c>
      <c r="V5">
        <v>0</v>
      </c>
    </row>
    <row r="6" spans="1:22" x14ac:dyDescent="0.35">
      <c r="M6" t="s">
        <v>210</v>
      </c>
      <c r="N6">
        <f>N5^2</f>
        <v>4</v>
      </c>
      <c r="O6">
        <f t="shared" ref="O6:P6" si="0">O5^2</f>
        <v>25</v>
      </c>
      <c r="P6">
        <f t="shared" si="0"/>
        <v>0.25</v>
      </c>
      <c r="S6" t="s">
        <v>208</v>
      </c>
      <c r="T6">
        <f>V4</f>
        <v>0.1</v>
      </c>
      <c r="U6">
        <f>V5</f>
        <v>0</v>
      </c>
      <c r="V6">
        <v>1</v>
      </c>
    </row>
    <row r="8" spans="1:22" x14ac:dyDescent="0.35">
      <c r="L8" t="s">
        <v>211</v>
      </c>
      <c r="M8">
        <f>SUM(N4:P4)</f>
        <v>38</v>
      </c>
      <c r="S8" s="85" t="s">
        <v>214</v>
      </c>
      <c r="T8" s="31" cm="1">
        <f t="array" ref="T8:V10">MMULT(MMULT(N12:P14,T4:V6),N12:P14)</f>
        <v>4</v>
      </c>
      <c r="U8" s="31">
        <v>-3</v>
      </c>
      <c r="V8" s="31">
        <v>0.1</v>
      </c>
    </row>
    <row r="9" spans="1:22" x14ac:dyDescent="0.35">
      <c r="L9" t="s">
        <v>212</v>
      </c>
      <c r="M9">
        <f>SUM(N6:P6)</f>
        <v>29.25</v>
      </c>
      <c r="T9" s="31">
        <v>-3</v>
      </c>
      <c r="U9" s="31">
        <v>25</v>
      </c>
      <c r="V9" s="31">
        <v>0</v>
      </c>
    </row>
    <row r="10" spans="1:22" x14ac:dyDescent="0.35">
      <c r="L10" t="s">
        <v>213</v>
      </c>
      <c r="M10">
        <f>SQRT(M9)</f>
        <v>5.4083269131959844</v>
      </c>
      <c r="T10" s="31">
        <v>0.1</v>
      </c>
      <c r="U10" s="31">
        <v>0</v>
      </c>
      <c r="V10" s="31">
        <v>0.25</v>
      </c>
    </row>
    <row r="12" spans="1:22" x14ac:dyDescent="0.35">
      <c r="L12" t="s">
        <v>215</v>
      </c>
      <c r="N12" s="31">
        <f>N5</f>
        <v>2</v>
      </c>
      <c r="O12" s="31">
        <v>0</v>
      </c>
      <c r="P12" s="31">
        <v>0</v>
      </c>
      <c r="S12" t="s">
        <v>226</v>
      </c>
      <c r="T12" s="31">
        <v>1</v>
      </c>
    </row>
    <row r="13" spans="1:22" x14ac:dyDescent="0.35">
      <c r="N13" s="31">
        <v>0</v>
      </c>
      <c r="O13" s="31">
        <f>O5</f>
        <v>5</v>
      </c>
      <c r="P13" s="31">
        <v>0</v>
      </c>
      <c r="T13" s="31">
        <v>1</v>
      </c>
    </row>
    <row r="14" spans="1:22" x14ac:dyDescent="0.35">
      <c r="N14" s="31">
        <v>0</v>
      </c>
      <c r="O14" s="31">
        <v>0</v>
      </c>
      <c r="P14" s="31">
        <f>P5</f>
        <v>0.5</v>
      </c>
      <c r="T14" s="31">
        <v>1</v>
      </c>
    </row>
    <row r="16" spans="1:22" x14ac:dyDescent="0.35">
      <c r="R16" t="s">
        <v>227</v>
      </c>
      <c r="S16" s="12" t="s">
        <v>212</v>
      </c>
      <c r="T16" cm="1">
        <f t="array" ref="T16">MMULT(MMULT(TRANSPOSE(T12:T14),_xlfn.ANCHORARRAY(T8)),T12:T14)</f>
        <v>23.450000000000003</v>
      </c>
    </row>
    <row r="17" spans="19:20" x14ac:dyDescent="0.35">
      <c r="S17" t="s">
        <v>213</v>
      </c>
      <c r="T17">
        <f>SQRT(T16)</f>
        <v>4.8425200051213011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B8BC-DC12-44B6-8732-32E3ACF6FCD2}">
  <dimension ref="A1:I28"/>
  <sheetViews>
    <sheetView workbookViewId="0">
      <selection activeCell="G28" sqref="G28"/>
    </sheetView>
  </sheetViews>
  <sheetFormatPr defaultRowHeight="13.5" x14ac:dyDescent="0.35"/>
  <cols>
    <col min="1" max="1" width="21.875" style="56" customWidth="1"/>
    <col min="2" max="5" width="16.875" style="56" customWidth="1"/>
    <col min="6" max="6" width="17.875" style="56" customWidth="1"/>
    <col min="7" max="7" width="11.5625" style="56" customWidth="1"/>
    <col min="8" max="256" width="8.875" style="56"/>
    <col min="257" max="257" width="21.875" style="56" customWidth="1"/>
    <col min="258" max="261" width="16.875" style="56" customWidth="1"/>
    <col min="262" max="262" width="17.875" style="56" customWidth="1"/>
    <col min="263" max="263" width="11.5625" style="56" customWidth="1"/>
    <col min="264" max="512" width="8.875" style="56"/>
    <col min="513" max="513" width="21.875" style="56" customWidth="1"/>
    <col min="514" max="517" width="16.875" style="56" customWidth="1"/>
    <col min="518" max="518" width="17.875" style="56" customWidth="1"/>
    <col min="519" max="519" width="11.5625" style="56" customWidth="1"/>
    <col min="520" max="768" width="8.875" style="56"/>
    <col min="769" max="769" width="21.875" style="56" customWidth="1"/>
    <col min="770" max="773" width="16.875" style="56" customWidth="1"/>
    <col min="774" max="774" width="17.875" style="56" customWidth="1"/>
    <col min="775" max="775" width="11.5625" style="56" customWidth="1"/>
    <col min="776" max="1024" width="8.875" style="56"/>
    <col min="1025" max="1025" width="21.875" style="56" customWidth="1"/>
    <col min="1026" max="1029" width="16.875" style="56" customWidth="1"/>
    <col min="1030" max="1030" width="17.875" style="56" customWidth="1"/>
    <col min="1031" max="1031" width="11.5625" style="56" customWidth="1"/>
    <col min="1032" max="1280" width="8.875" style="56"/>
    <col min="1281" max="1281" width="21.875" style="56" customWidth="1"/>
    <col min="1282" max="1285" width="16.875" style="56" customWidth="1"/>
    <col min="1286" max="1286" width="17.875" style="56" customWidth="1"/>
    <col min="1287" max="1287" width="11.5625" style="56" customWidth="1"/>
    <col min="1288" max="1536" width="8.875" style="56"/>
    <col min="1537" max="1537" width="21.875" style="56" customWidth="1"/>
    <col min="1538" max="1541" width="16.875" style="56" customWidth="1"/>
    <col min="1542" max="1542" width="17.875" style="56" customWidth="1"/>
    <col min="1543" max="1543" width="11.5625" style="56" customWidth="1"/>
    <col min="1544" max="1792" width="8.875" style="56"/>
    <col min="1793" max="1793" width="21.875" style="56" customWidth="1"/>
    <col min="1794" max="1797" width="16.875" style="56" customWidth="1"/>
    <col min="1798" max="1798" width="17.875" style="56" customWidth="1"/>
    <col min="1799" max="1799" width="11.5625" style="56" customWidth="1"/>
    <col min="1800" max="2048" width="8.875" style="56"/>
    <col min="2049" max="2049" width="21.875" style="56" customWidth="1"/>
    <col min="2050" max="2053" width="16.875" style="56" customWidth="1"/>
    <col min="2054" max="2054" width="17.875" style="56" customWidth="1"/>
    <col min="2055" max="2055" width="11.5625" style="56" customWidth="1"/>
    <col min="2056" max="2304" width="8.875" style="56"/>
    <col min="2305" max="2305" width="21.875" style="56" customWidth="1"/>
    <col min="2306" max="2309" width="16.875" style="56" customWidth="1"/>
    <col min="2310" max="2310" width="17.875" style="56" customWidth="1"/>
    <col min="2311" max="2311" width="11.5625" style="56" customWidth="1"/>
    <col min="2312" max="2560" width="8.875" style="56"/>
    <col min="2561" max="2561" width="21.875" style="56" customWidth="1"/>
    <col min="2562" max="2565" width="16.875" style="56" customWidth="1"/>
    <col min="2566" max="2566" width="17.875" style="56" customWidth="1"/>
    <col min="2567" max="2567" width="11.5625" style="56" customWidth="1"/>
    <col min="2568" max="2816" width="8.875" style="56"/>
    <col min="2817" max="2817" width="21.875" style="56" customWidth="1"/>
    <col min="2818" max="2821" width="16.875" style="56" customWidth="1"/>
    <col min="2822" max="2822" width="17.875" style="56" customWidth="1"/>
    <col min="2823" max="2823" width="11.5625" style="56" customWidth="1"/>
    <col min="2824" max="3072" width="8.875" style="56"/>
    <col min="3073" max="3073" width="21.875" style="56" customWidth="1"/>
    <col min="3074" max="3077" width="16.875" style="56" customWidth="1"/>
    <col min="3078" max="3078" width="17.875" style="56" customWidth="1"/>
    <col min="3079" max="3079" width="11.5625" style="56" customWidth="1"/>
    <col min="3080" max="3328" width="8.875" style="56"/>
    <col min="3329" max="3329" width="21.875" style="56" customWidth="1"/>
    <col min="3330" max="3333" width="16.875" style="56" customWidth="1"/>
    <col min="3334" max="3334" width="17.875" style="56" customWidth="1"/>
    <col min="3335" max="3335" width="11.5625" style="56" customWidth="1"/>
    <col min="3336" max="3584" width="8.875" style="56"/>
    <col min="3585" max="3585" width="21.875" style="56" customWidth="1"/>
    <col min="3586" max="3589" width="16.875" style="56" customWidth="1"/>
    <col min="3590" max="3590" width="17.875" style="56" customWidth="1"/>
    <col min="3591" max="3591" width="11.5625" style="56" customWidth="1"/>
    <col min="3592" max="3840" width="8.875" style="56"/>
    <col min="3841" max="3841" width="21.875" style="56" customWidth="1"/>
    <col min="3842" max="3845" width="16.875" style="56" customWidth="1"/>
    <col min="3846" max="3846" width="17.875" style="56" customWidth="1"/>
    <col min="3847" max="3847" width="11.5625" style="56" customWidth="1"/>
    <col min="3848" max="4096" width="8.875" style="56"/>
    <col min="4097" max="4097" width="21.875" style="56" customWidth="1"/>
    <col min="4098" max="4101" width="16.875" style="56" customWidth="1"/>
    <col min="4102" max="4102" width="17.875" style="56" customWidth="1"/>
    <col min="4103" max="4103" width="11.5625" style="56" customWidth="1"/>
    <col min="4104" max="4352" width="8.875" style="56"/>
    <col min="4353" max="4353" width="21.875" style="56" customWidth="1"/>
    <col min="4354" max="4357" width="16.875" style="56" customWidth="1"/>
    <col min="4358" max="4358" width="17.875" style="56" customWidth="1"/>
    <col min="4359" max="4359" width="11.5625" style="56" customWidth="1"/>
    <col min="4360" max="4608" width="8.875" style="56"/>
    <col min="4609" max="4609" width="21.875" style="56" customWidth="1"/>
    <col min="4610" max="4613" width="16.875" style="56" customWidth="1"/>
    <col min="4614" max="4614" width="17.875" style="56" customWidth="1"/>
    <col min="4615" max="4615" width="11.5625" style="56" customWidth="1"/>
    <col min="4616" max="4864" width="8.875" style="56"/>
    <col min="4865" max="4865" width="21.875" style="56" customWidth="1"/>
    <col min="4866" max="4869" width="16.875" style="56" customWidth="1"/>
    <col min="4870" max="4870" width="17.875" style="56" customWidth="1"/>
    <col min="4871" max="4871" width="11.5625" style="56" customWidth="1"/>
    <col min="4872" max="5120" width="8.875" style="56"/>
    <col min="5121" max="5121" width="21.875" style="56" customWidth="1"/>
    <col min="5122" max="5125" width="16.875" style="56" customWidth="1"/>
    <col min="5126" max="5126" width="17.875" style="56" customWidth="1"/>
    <col min="5127" max="5127" width="11.5625" style="56" customWidth="1"/>
    <col min="5128" max="5376" width="8.875" style="56"/>
    <col min="5377" max="5377" width="21.875" style="56" customWidth="1"/>
    <col min="5378" max="5381" width="16.875" style="56" customWidth="1"/>
    <col min="5382" max="5382" width="17.875" style="56" customWidth="1"/>
    <col min="5383" max="5383" width="11.5625" style="56" customWidth="1"/>
    <col min="5384" max="5632" width="8.875" style="56"/>
    <col min="5633" max="5633" width="21.875" style="56" customWidth="1"/>
    <col min="5634" max="5637" width="16.875" style="56" customWidth="1"/>
    <col min="5638" max="5638" width="17.875" style="56" customWidth="1"/>
    <col min="5639" max="5639" width="11.5625" style="56" customWidth="1"/>
    <col min="5640" max="5888" width="8.875" style="56"/>
    <col min="5889" max="5889" width="21.875" style="56" customWidth="1"/>
    <col min="5890" max="5893" width="16.875" style="56" customWidth="1"/>
    <col min="5894" max="5894" width="17.875" style="56" customWidth="1"/>
    <col min="5895" max="5895" width="11.5625" style="56" customWidth="1"/>
    <col min="5896" max="6144" width="8.875" style="56"/>
    <col min="6145" max="6145" width="21.875" style="56" customWidth="1"/>
    <col min="6146" max="6149" width="16.875" style="56" customWidth="1"/>
    <col min="6150" max="6150" width="17.875" style="56" customWidth="1"/>
    <col min="6151" max="6151" width="11.5625" style="56" customWidth="1"/>
    <col min="6152" max="6400" width="8.875" style="56"/>
    <col min="6401" max="6401" width="21.875" style="56" customWidth="1"/>
    <col min="6402" max="6405" width="16.875" style="56" customWidth="1"/>
    <col min="6406" max="6406" width="17.875" style="56" customWidth="1"/>
    <col min="6407" max="6407" width="11.5625" style="56" customWidth="1"/>
    <col min="6408" max="6656" width="8.875" style="56"/>
    <col min="6657" max="6657" width="21.875" style="56" customWidth="1"/>
    <col min="6658" max="6661" width="16.875" style="56" customWidth="1"/>
    <col min="6662" max="6662" width="17.875" style="56" customWidth="1"/>
    <col min="6663" max="6663" width="11.5625" style="56" customWidth="1"/>
    <col min="6664" max="6912" width="8.875" style="56"/>
    <col min="6913" max="6913" width="21.875" style="56" customWidth="1"/>
    <col min="6914" max="6917" width="16.875" style="56" customWidth="1"/>
    <col min="6918" max="6918" width="17.875" style="56" customWidth="1"/>
    <col min="6919" max="6919" width="11.5625" style="56" customWidth="1"/>
    <col min="6920" max="7168" width="8.875" style="56"/>
    <col min="7169" max="7169" width="21.875" style="56" customWidth="1"/>
    <col min="7170" max="7173" width="16.875" style="56" customWidth="1"/>
    <col min="7174" max="7174" width="17.875" style="56" customWidth="1"/>
    <col min="7175" max="7175" width="11.5625" style="56" customWidth="1"/>
    <col min="7176" max="7424" width="8.875" style="56"/>
    <col min="7425" max="7425" width="21.875" style="56" customWidth="1"/>
    <col min="7426" max="7429" width="16.875" style="56" customWidth="1"/>
    <col min="7430" max="7430" width="17.875" style="56" customWidth="1"/>
    <col min="7431" max="7431" width="11.5625" style="56" customWidth="1"/>
    <col min="7432" max="7680" width="8.875" style="56"/>
    <col min="7681" max="7681" width="21.875" style="56" customWidth="1"/>
    <col min="7682" max="7685" width="16.875" style="56" customWidth="1"/>
    <col min="7686" max="7686" width="17.875" style="56" customWidth="1"/>
    <col min="7687" max="7687" width="11.5625" style="56" customWidth="1"/>
    <col min="7688" max="7936" width="8.875" style="56"/>
    <col min="7937" max="7937" width="21.875" style="56" customWidth="1"/>
    <col min="7938" max="7941" width="16.875" style="56" customWidth="1"/>
    <col min="7942" max="7942" width="17.875" style="56" customWidth="1"/>
    <col min="7943" max="7943" width="11.5625" style="56" customWidth="1"/>
    <col min="7944" max="8192" width="8.875" style="56"/>
    <col min="8193" max="8193" width="21.875" style="56" customWidth="1"/>
    <col min="8194" max="8197" width="16.875" style="56" customWidth="1"/>
    <col min="8198" max="8198" width="17.875" style="56" customWidth="1"/>
    <col min="8199" max="8199" width="11.5625" style="56" customWidth="1"/>
    <col min="8200" max="8448" width="8.875" style="56"/>
    <col min="8449" max="8449" width="21.875" style="56" customWidth="1"/>
    <col min="8450" max="8453" width="16.875" style="56" customWidth="1"/>
    <col min="8454" max="8454" width="17.875" style="56" customWidth="1"/>
    <col min="8455" max="8455" width="11.5625" style="56" customWidth="1"/>
    <col min="8456" max="8704" width="8.875" style="56"/>
    <col min="8705" max="8705" width="21.875" style="56" customWidth="1"/>
    <col min="8706" max="8709" width="16.875" style="56" customWidth="1"/>
    <col min="8710" max="8710" width="17.875" style="56" customWidth="1"/>
    <col min="8711" max="8711" width="11.5625" style="56" customWidth="1"/>
    <col min="8712" max="8960" width="8.875" style="56"/>
    <col min="8961" max="8961" width="21.875" style="56" customWidth="1"/>
    <col min="8962" max="8965" width="16.875" style="56" customWidth="1"/>
    <col min="8966" max="8966" width="17.875" style="56" customWidth="1"/>
    <col min="8967" max="8967" width="11.5625" style="56" customWidth="1"/>
    <col min="8968" max="9216" width="8.875" style="56"/>
    <col min="9217" max="9217" width="21.875" style="56" customWidth="1"/>
    <col min="9218" max="9221" width="16.875" style="56" customWidth="1"/>
    <col min="9222" max="9222" width="17.875" style="56" customWidth="1"/>
    <col min="9223" max="9223" width="11.5625" style="56" customWidth="1"/>
    <col min="9224" max="9472" width="8.875" style="56"/>
    <col min="9473" max="9473" width="21.875" style="56" customWidth="1"/>
    <col min="9474" max="9477" width="16.875" style="56" customWidth="1"/>
    <col min="9478" max="9478" width="17.875" style="56" customWidth="1"/>
    <col min="9479" max="9479" width="11.5625" style="56" customWidth="1"/>
    <col min="9480" max="9728" width="8.875" style="56"/>
    <col min="9729" max="9729" width="21.875" style="56" customWidth="1"/>
    <col min="9730" max="9733" width="16.875" style="56" customWidth="1"/>
    <col min="9734" max="9734" width="17.875" style="56" customWidth="1"/>
    <col min="9735" max="9735" width="11.5625" style="56" customWidth="1"/>
    <col min="9736" max="9984" width="8.875" style="56"/>
    <col min="9985" max="9985" width="21.875" style="56" customWidth="1"/>
    <col min="9986" max="9989" width="16.875" style="56" customWidth="1"/>
    <col min="9990" max="9990" width="17.875" style="56" customWidth="1"/>
    <col min="9991" max="9991" width="11.5625" style="56" customWidth="1"/>
    <col min="9992" max="10240" width="8.875" style="56"/>
    <col min="10241" max="10241" width="21.875" style="56" customWidth="1"/>
    <col min="10242" max="10245" width="16.875" style="56" customWidth="1"/>
    <col min="10246" max="10246" width="17.875" style="56" customWidth="1"/>
    <col min="10247" max="10247" width="11.5625" style="56" customWidth="1"/>
    <col min="10248" max="10496" width="8.875" style="56"/>
    <col min="10497" max="10497" width="21.875" style="56" customWidth="1"/>
    <col min="10498" max="10501" width="16.875" style="56" customWidth="1"/>
    <col min="10502" max="10502" width="17.875" style="56" customWidth="1"/>
    <col min="10503" max="10503" width="11.5625" style="56" customWidth="1"/>
    <col min="10504" max="10752" width="8.875" style="56"/>
    <col min="10753" max="10753" width="21.875" style="56" customWidth="1"/>
    <col min="10754" max="10757" width="16.875" style="56" customWidth="1"/>
    <col min="10758" max="10758" width="17.875" style="56" customWidth="1"/>
    <col min="10759" max="10759" width="11.5625" style="56" customWidth="1"/>
    <col min="10760" max="11008" width="8.875" style="56"/>
    <col min="11009" max="11009" width="21.875" style="56" customWidth="1"/>
    <col min="11010" max="11013" width="16.875" style="56" customWidth="1"/>
    <col min="11014" max="11014" width="17.875" style="56" customWidth="1"/>
    <col min="11015" max="11015" width="11.5625" style="56" customWidth="1"/>
    <col min="11016" max="11264" width="8.875" style="56"/>
    <col min="11265" max="11265" width="21.875" style="56" customWidth="1"/>
    <col min="11266" max="11269" width="16.875" style="56" customWidth="1"/>
    <col min="11270" max="11270" width="17.875" style="56" customWidth="1"/>
    <col min="11271" max="11271" width="11.5625" style="56" customWidth="1"/>
    <col min="11272" max="11520" width="8.875" style="56"/>
    <col min="11521" max="11521" width="21.875" style="56" customWidth="1"/>
    <col min="11522" max="11525" width="16.875" style="56" customWidth="1"/>
    <col min="11526" max="11526" width="17.875" style="56" customWidth="1"/>
    <col min="11527" max="11527" width="11.5625" style="56" customWidth="1"/>
    <col min="11528" max="11776" width="8.875" style="56"/>
    <col min="11777" max="11777" width="21.875" style="56" customWidth="1"/>
    <col min="11778" max="11781" width="16.875" style="56" customWidth="1"/>
    <col min="11782" max="11782" width="17.875" style="56" customWidth="1"/>
    <col min="11783" max="11783" width="11.5625" style="56" customWidth="1"/>
    <col min="11784" max="12032" width="8.875" style="56"/>
    <col min="12033" max="12033" width="21.875" style="56" customWidth="1"/>
    <col min="12034" max="12037" width="16.875" style="56" customWidth="1"/>
    <col min="12038" max="12038" width="17.875" style="56" customWidth="1"/>
    <col min="12039" max="12039" width="11.5625" style="56" customWidth="1"/>
    <col min="12040" max="12288" width="8.875" style="56"/>
    <col min="12289" max="12289" width="21.875" style="56" customWidth="1"/>
    <col min="12290" max="12293" width="16.875" style="56" customWidth="1"/>
    <col min="12294" max="12294" width="17.875" style="56" customWidth="1"/>
    <col min="12295" max="12295" width="11.5625" style="56" customWidth="1"/>
    <col min="12296" max="12544" width="8.875" style="56"/>
    <col min="12545" max="12545" width="21.875" style="56" customWidth="1"/>
    <col min="12546" max="12549" width="16.875" style="56" customWidth="1"/>
    <col min="12550" max="12550" width="17.875" style="56" customWidth="1"/>
    <col min="12551" max="12551" width="11.5625" style="56" customWidth="1"/>
    <col min="12552" max="12800" width="8.875" style="56"/>
    <col min="12801" max="12801" width="21.875" style="56" customWidth="1"/>
    <col min="12802" max="12805" width="16.875" style="56" customWidth="1"/>
    <col min="12806" max="12806" width="17.875" style="56" customWidth="1"/>
    <col min="12807" max="12807" width="11.5625" style="56" customWidth="1"/>
    <col min="12808" max="13056" width="8.875" style="56"/>
    <col min="13057" max="13057" width="21.875" style="56" customWidth="1"/>
    <col min="13058" max="13061" width="16.875" style="56" customWidth="1"/>
    <col min="13062" max="13062" width="17.875" style="56" customWidth="1"/>
    <col min="13063" max="13063" width="11.5625" style="56" customWidth="1"/>
    <col min="13064" max="13312" width="8.875" style="56"/>
    <col min="13313" max="13313" width="21.875" style="56" customWidth="1"/>
    <col min="13314" max="13317" width="16.875" style="56" customWidth="1"/>
    <col min="13318" max="13318" width="17.875" style="56" customWidth="1"/>
    <col min="13319" max="13319" width="11.5625" style="56" customWidth="1"/>
    <col min="13320" max="13568" width="8.875" style="56"/>
    <col min="13569" max="13569" width="21.875" style="56" customWidth="1"/>
    <col min="13570" max="13573" width="16.875" style="56" customWidth="1"/>
    <col min="13574" max="13574" width="17.875" style="56" customWidth="1"/>
    <col min="13575" max="13575" width="11.5625" style="56" customWidth="1"/>
    <col min="13576" max="13824" width="8.875" style="56"/>
    <col min="13825" max="13825" width="21.875" style="56" customWidth="1"/>
    <col min="13826" max="13829" width="16.875" style="56" customWidth="1"/>
    <col min="13830" max="13830" width="17.875" style="56" customWidth="1"/>
    <col min="13831" max="13831" width="11.5625" style="56" customWidth="1"/>
    <col min="13832" max="14080" width="8.875" style="56"/>
    <col min="14081" max="14081" width="21.875" style="56" customWidth="1"/>
    <col min="14082" max="14085" width="16.875" style="56" customWidth="1"/>
    <col min="14086" max="14086" width="17.875" style="56" customWidth="1"/>
    <col min="14087" max="14087" width="11.5625" style="56" customWidth="1"/>
    <col min="14088" max="14336" width="8.875" style="56"/>
    <col min="14337" max="14337" width="21.875" style="56" customWidth="1"/>
    <col min="14338" max="14341" width="16.875" style="56" customWidth="1"/>
    <col min="14342" max="14342" width="17.875" style="56" customWidth="1"/>
    <col min="14343" max="14343" width="11.5625" style="56" customWidth="1"/>
    <col min="14344" max="14592" width="8.875" style="56"/>
    <col min="14593" max="14593" width="21.875" style="56" customWidth="1"/>
    <col min="14594" max="14597" width="16.875" style="56" customWidth="1"/>
    <col min="14598" max="14598" width="17.875" style="56" customWidth="1"/>
    <col min="14599" max="14599" width="11.5625" style="56" customWidth="1"/>
    <col min="14600" max="14848" width="8.875" style="56"/>
    <col min="14849" max="14849" width="21.875" style="56" customWidth="1"/>
    <col min="14850" max="14853" width="16.875" style="56" customWidth="1"/>
    <col min="14854" max="14854" width="17.875" style="56" customWidth="1"/>
    <col min="14855" max="14855" width="11.5625" style="56" customWidth="1"/>
    <col min="14856" max="15104" width="8.875" style="56"/>
    <col min="15105" max="15105" width="21.875" style="56" customWidth="1"/>
    <col min="15106" max="15109" width="16.875" style="56" customWidth="1"/>
    <col min="15110" max="15110" width="17.875" style="56" customWidth="1"/>
    <col min="15111" max="15111" width="11.5625" style="56" customWidth="1"/>
    <col min="15112" max="15360" width="8.875" style="56"/>
    <col min="15361" max="15361" width="21.875" style="56" customWidth="1"/>
    <col min="15362" max="15365" width="16.875" style="56" customWidth="1"/>
    <col min="15366" max="15366" width="17.875" style="56" customWidth="1"/>
    <col min="15367" max="15367" width="11.5625" style="56" customWidth="1"/>
    <col min="15368" max="15616" width="8.875" style="56"/>
    <col min="15617" max="15617" width="21.875" style="56" customWidth="1"/>
    <col min="15618" max="15621" width="16.875" style="56" customWidth="1"/>
    <col min="15622" max="15622" width="17.875" style="56" customWidth="1"/>
    <col min="15623" max="15623" width="11.5625" style="56" customWidth="1"/>
    <col min="15624" max="15872" width="8.875" style="56"/>
    <col min="15873" max="15873" width="21.875" style="56" customWidth="1"/>
    <col min="15874" max="15877" width="16.875" style="56" customWidth="1"/>
    <col min="15878" max="15878" width="17.875" style="56" customWidth="1"/>
    <col min="15879" max="15879" width="11.5625" style="56" customWidth="1"/>
    <col min="15880" max="16128" width="8.875" style="56"/>
    <col min="16129" max="16129" width="21.875" style="56" customWidth="1"/>
    <col min="16130" max="16133" width="16.875" style="56" customWidth="1"/>
    <col min="16134" max="16134" width="17.875" style="56" customWidth="1"/>
    <col min="16135" max="16135" width="11.5625" style="56" customWidth="1"/>
    <col min="16136" max="16384" width="8.875" style="56"/>
  </cols>
  <sheetData>
    <row r="1" spans="1:9" x14ac:dyDescent="0.35">
      <c r="A1" s="55" t="s">
        <v>157</v>
      </c>
      <c r="H1" s="57"/>
    </row>
    <row r="2" spans="1:9" x14ac:dyDescent="0.35">
      <c r="H2" s="57"/>
    </row>
    <row r="3" spans="1:9" x14ac:dyDescent="0.35">
      <c r="A3" s="58" t="s">
        <v>158</v>
      </c>
    </row>
    <row r="4" spans="1:9" x14ac:dyDescent="0.35">
      <c r="B4" s="59" t="s">
        <v>159</v>
      </c>
      <c r="C4" s="59" t="s">
        <v>160</v>
      </c>
      <c r="D4" s="59" t="s">
        <v>161</v>
      </c>
    </row>
    <row r="5" spans="1:9" x14ac:dyDescent="0.35">
      <c r="A5" s="56" t="s">
        <v>162</v>
      </c>
      <c r="B5" s="60">
        <v>0.14000000000000001</v>
      </c>
      <c r="C5" s="60">
        <v>0.11</v>
      </c>
      <c r="D5" s="60">
        <v>0.1</v>
      </c>
    </row>
    <row r="6" spans="1:9" x14ac:dyDescent="0.35">
      <c r="A6" s="56" t="s">
        <v>163</v>
      </c>
      <c r="B6" s="60">
        <v>0.2</v>
      </c>
      <c r="C6" s="60">
        <v>0.15</v>
      </c>
      <c r="D6" s="60">
        <v>0.08</v>
      </c>
    </row>
    <row r="8" spans="1:9" x14ac:dyDescent="0.35">
      <c r="A8" s="56" t="s">
        <v>164</v>
      </c>
      <c r="B8" s="59" t="s">
        <v>159</v>
      </c>
      <c r="C8" s="59" t="s">
        <v>160</v>
      </c>
      <c r="D8" s="59" t="s">
        <v>161</v>
      </c>
      <c r="F8" s="56" t="s">
        <v>165</v>
      </c>
      <c r="G8" s="59" t="s">
        <v>159</v>
      </c>
      <c r="H8" s="59" t="s">
        <v>160</v>
      </c>
      <c r="I8" s="59" t="s">
        <v>161</v>
      </c>
    </row>
    <row r="9" spans="1:9" x14ac:dyDescent="0.35">
      <c r="A9" s="56" t="s">
        <v>159</v>
      </c>
      <c r="B9" s="60">
        <v>1</v>
      </c>
      <c r="C9" s="60">
        <v>0.6</v>
      </c>
      <c r="D9" s="60">
        <v>0.4</v>
      </c>
      <c r="F9" s="56" t="s">
        <v>159</v>
      </c>
      <c r="G9" s="61"/>
      <c r="H9" s="62"/>
      <c r="I9" s="63"/>
    </row>
    <row r="10" spans="1:9" x14ac:dyDescent="0.35">
      <c r="A10" s="56" t="s">
        <v>160</v>
      </c>
      <c r="B10" s="60">
        <v>0.6</v>
      </c>
      <c r="C10" s="60">
        <v>1</v>
      </c>
      <c r="D10" s="60">
        <v>0.7</v>
      </c>
      <c r="F10" s="56" t="s">
        <v>160</v>
      </c>
      <c r="G10" s="64"/>
      <c r="I10" s="65"/>
    </row>
    <row r="11" spans="1:9" x14ac:dyDescent="0.35">
      <c r="A11" s="56" t="s">
        <v>161</v>
      </c>
      <c r="B11" s="60">
        <v>0.4</v>
      </c>
      <c r="C11" s="60">
        <v>0.7</v>
      </c>
      <c r="D11" s="60">
        <v>1</v>
      </c>
      <c r="F11" s="56" t="s">
        <v>161</v>
      </c>
      <c r="G11" s="66"/>
      <c r="H11" s="67"/>
      <c r="I11" s="68"/>
    </row>
    <row r="13" spans="1:9" x14ac:dyDescent="0.35">
      <c r="A13" s="69" t="s">
        <v>166</v>
      </c>
    </row>
    <row r="14" spans="1:9" x14ac:dyDescent="0.35">
      <c r="B14" s="59" t="s">
        <v>159</v>
      </c>
      <c r="C14" s="59" t="s">
        <v>160</v>
      </c>
      <c r="D14" s="59" t="s">
        <v>161</v>
      </c>
      <c r="E14" s="70"/>
      <c r="F14" s="55"/>
      <c r="G14" s="70"/>
    </row>
    <row r="15" spans="1:9" x14ac:dyDescent="0.35">
      <c r="A15" s="71" t="s">
        <v>167</v>
      </c>
      <c r="B15" s="72"/>
      <c r="C15" s="72"/>
      <c r="D15" s="72"/>
      <c r="F15" s="71"/>
    </row>
    <row r="16" spans="1:9" x14ac:dyDescent="0.35">
      <c r="F16" s="73"/>
    </row>
    <row r="17" spans="1:6" x14ac:dyDescent="0.35">
      <c r="A17" s="69" t="s">
        <v>168</v>
      </c>
      <c r="F17" s="73"/>
    </row>
    <row r="18" spans="1:6" x14ac:dyDescent="0.35">
      <c r="B18" s="70" t="s">
        <v>169</v>
      </c>
      <c r="C18" s="70"/>
      <c r="D18" s="70" t="s">
        <v>170</v>
      </c>
      <c r="F18" s="73"/>
    </row>
    <row r="19" spans="1:6" x14ac:dyDescent="0.35">
      <c r="B19" s="74"/>
      <c r="C19" s="75"/>
      <c r="D19" s="76"/>
      <c r="F19" s="73"/>
    </row>
    <row r="20" spans="1:6" x14ac:dyDescent="0.35">
      <c r="F20" s="73"/>
    </row>
    <row r="21" spans="1:6" x14ac:dyDescent="0.35">
      <c r="A21" s="55" t="s">
        <v>171</v>
      </c>
    </row>
    <row r="22" spans="1:6" x14ac:dyDescent="0.35">
      <c r="B22" s="70" t="s">
        <v>172</v>
      </c>
      <c r="C22" s="70"/>
      <c r="D22" s="70" t="s">
        <v>173</v>
      </c>
    </row>
    <row r="23" spans="1:6" x14ac:dyDescent="0.35">
      <c r="B23" s="74"/>
      <c r="C23" s="77"/>
      <c r="D23" s="78">
        <v>0.12</v>
      </c>
    </row>
    <row r="25" spans="1:6" x14ac:dyDescent="0.35">
      <c r="A25" s="69" t="s">
        <v>174</v>
      </c>
      <c r="B25" s="79"/>
    </row>
    <row r="26" spans="1:6" x14ac:dyDescent="0.35">
      <c r="A26" s="56" t="s">
        <v>175</v>
      </c>
      <c r="B26" s="79"/>
    </row>
    <row r="28" spans="1:6" x14ac:dyDescent="0.35">
      <c r="A28" s="6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5EF8-765A-4E8F-8890-3D210C509914}">
  <dimension ref="A1:K11"/>
  <sheetViews>
    <sheetView workbookViewId="0">
      <selection activeCell="O6" sqref="O6"/>
    </sheetView>
  </sheetViews>
  <sheetFormatPr defaultRowHeight="13.5" x14ac:dyDescent="0.35"/>
  <cols>
    <col min="3" max="3" width="9.4375" bestFit="1" customWidth="1"/>
    <col min="4" max="4" width="11.4375" bestFit="1" customWidth="1"/>
    <col min="7" max="7" width="2.875" bestFit="1" customWidth="1"/>
  </cols>
  <sheetData>
    <row r="1" spans="1:11" x14ac:dyDescent="0.35">
      <c r="B1" t="s">
        <v>52</v>
      </c>
      <c r="C1" t="s">
        <v>53</v>
      </c>
    </row>
    <row r="2" spans="1:11" ht="13.9" thickBot="1" x14ac:dyDescent="0.4">
      <c r="A2" t="s">
        <v>196</v>
      </c>
      <c r="B2" s="39">
        <v>330.32553318164355</v>
      </c>
      <c r="C2" s="39">
        <v>923.75928147692673</v>
      </c>
      <c r="K2">
        <f>_xlfn.NORM.INV(0.05, 10000, 1100)</f>
        <v>8190.6610103533803</v>
      </c>
    </row>
    <row r="3" spans="1:11" ht="13.9" thickBot="1" x14ac:dyDescent="0.4">
      <c r="A3" t="s">
        <v>197</v>
      </c>
      <c r="B3">
        <v>80</v>
      </c>
      <c r="C3" s="81">
        <v>129</v>
      </c>
      <c r="D3" s="87">
        <f>SUMPRODUCT($B$2:$C$2,B3:C3)</f>
        <v>145590.98996505502</v>
      </c>
      <c r="K3">
        <f>_xlfn.NORM.INV(0.01, 3000, 270)</f>
        <v>2371.8860740089731</v>
      </c>
    </row>
    <row r="4" spans="1:11" x14ac:dyDescent="0.35">
      <c r="A4" t="s">
        <v>198</v>
      </c>
      <c r="B4">
        <v>5</v>
      </c>
      <c r="C4">
        <v>6</v>
      </c>
      <c r="D4">
        <f t="shared" ref="D4:D5" si="0">SUMPRODUCT($B$2:$C$2,B4:C4)</f>
        <v>7194.1833547697779</v>
      </c>
      <c r="E4">
        <f>_xlfn.NORM.S.INV(0.9)*SQRT(SUMPRODUCT(B10:C10,B11:C11))</f>
        <v>2805.8243247005807</v>
      </c>
      <c r="F4" s="86">
        <f>D4+E4</f>
        <v>10000.007679470358</v>
      </c>
      <c r="G4" s="14" t="s">
        <v>116</v>
      </c>
      <c r="H4" s="84">
        <v>10000</v>
      </c>
    </row>
    <row r="5" spans="1:11" x14ac:dyDescent="0.35">
      <c r="A5" t="s">
        <v>199</v>
      </c>
      <c r="B5">
        <v>1</v>
      </c>
      <c r="C5">
        <v>2</v>
      </c>
      <c r="D5">
        <f t="shared" si="0"/>
        <v>2177.8440961354972</v>
      </c>
      <c r="F5" s="86">
        <f>D5+E5</f>
        <v>2177.8440961354972</v>
      </c>
      <c r="G5" s="14" t="s">
        <v>116</v>
      </c>
      <c r="H5" s="84">
        <v>3000</v>
      </c>
    </row>
    <row r="7" spans="1:11" x14ac:dyDescent="0.35">
      <c r="A7" t="s">
        <v>200</v>
      </c>
      <c r="B7">
        <v>600</v>
      </c>
      <c r="C7">
        <v>1200</v>
      </c>
    </row>
    <row r="9" spans="1:11" x14ac:dyDescent="0.35">
      <c r="A9" t="s">
        <v>145</v>
      </c>
      <c r="B9">
        <v>1.6</v>
      </c>
      <c r="C9">
        <v>2.2999999999999998</v>
      </c>
    </row>
    <row r="10" spans="1:11" x14ac:dyDescent="0.35">
      <c r="A10" t="s">
        <v>196</v>
      </c>
      <c r="B10">
        <f>B9^2</f>
        <v>2.5600000000000005</v>
      </c>
      <c r="C10">
        <f>C9^2</f>
        <v>5.2899999999999991</v>
      </c>
    </row>
    <row r="11" spans="1:11" x14ac:dyDescent="0.35">
      <c r="A11" t="s">
        <v>201</v>
      </c>
      <c r="B11">
        <f>B2^2</f>
        <v>109114.95787173709</v>
      </c>
      <c r="C11">
        <f>C2^2</f>
        <v>853331.21011476789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6E9F-BD43-4942-8E37-229285165C89}">
  <dimension ref="A1:N29"/>
  <sheetViews>
    <sheetView zoomScale="90" zoomScaleNormal="90" workbookViewId="0">
      <selection activeCell="J38" sqref="J38"/>
    </sheetView>
  </sheetViews>
  <sheetFormatPr defaultRowHeight="13.5" x14ac:dyDescent="0.35"/>
  <cols>
    <col min="1" max="1" width="17.125" customWidth="1"/>
  </cols>
  <sheetData>
    <row r="1" spans="1:14" x14ac:dyDescent="0.35">
      <c r="A1" t="s">
        <v>26</v>
      </c>
    </row>
    <row r="3" spans="1:14" x14ac:dyDescent="0.35">
      <c r="A3" t="s">
        <v>27</v>
      </c>
      <c r="B3" t="s">
        <v>30</v>
      </c>
      <c r="C3" t="s">
        <v>31</v>
      </c>
      <c r="D3" t="s">
        <v>33</v>
      </c>
    </row>
    <row r="4" spans="1:14" x14ac:dyDescent="0.35">
      <c r="A4" t="s">
        <v>28</v>
      </c>
    </row>
    <row r="5" spans="1:14" x14ac:dyDescent="0.35">
      <c r="A5" t="s">
        <v>29</v>
      </c>
      <c r="B5" s="8"/>
    </row>
    <row r="6" spans="1:14" x14ac:dyDescent="0.35">
      <c r="A6" t="s">
        <v>32</v>
      </c>
      <c r="B6" s="9"/>
    </row>
    <row r="8" spans="1:14" x14ac:dyDescent="0.35">
      <c r="A8" t="s">
        <v>34</v>
      </c>
      <c r="B8" t="str">
        <f>IF(D4&gt;D5,"Drill", "Sell")</f>
        <v>Sell</v>
      </c>
    </row>
    <row r="10" spans="1:14" x14ac:dyDescent="0.35">
      <c r="A10" t="str">
        <f>B8</f>
        <v>Sell</v>
      </c>
      <c r="B10" s="8">
        <v>40</v>
      </c>
      <c r="C10" s="8">
        <v>50</v>
      </c>
      <c r="D10" s="8">
        <v>60</v>
      </c>
      <c r="E10" s="8">
        <v>70</v>
      </c>
      <c r="F10" s="8">
        <v>80</v>
      </c>
      <c r="G10" s="8">
        <v>90</v>
      </c>
      <c r="H10" s="8">
        <v>100</v>
      </c>
      <c r="I10" s="8">
        <v>110</v>
      </c>
      <c r="J10" s="8">
        <v>120</v>
      </c>
      <c r="K10" s="8">
        <v>130</v>
      </c>
      <c r="L10" s="8">
        <v>140</v>
      </c>
      <c r="M10" s="8">
        <v>150</v>
      </c>
      <c r="N10" s="8">
        <v>160</v>
      </c>
    </row>
    <row r="11" spans="1:14" x14ac:dyDescent="0.35">
      <c r="A11" s="10">
        <v>0.05</v>
      </c>
    </row>
    <row r="12" spans="1:14" x14ac:dyDescent="0.35">
      <c r="A12" s="10">
        <v>0.1</v>
      </c>
    </row>
    <row r="13" spans="1:14" x14ac:dyDescent="0.35">
      <c r="A13" s="10">
        <v>0.15000000000000002</v>
      </c>
    </row>
    <row r="14" spans="1:14" x14ac:dyDescent="0.35">
      <c r="A14" s="10">
        <v>0.2</v>
      </c>
    </row>
    <row r="15" spans="1:14" x14ac:dyDescent="0.35">
      <c r="A15" s="10">
        <v>0.25</v>
      </c>
    </row>
    <row r="16" spans="1:14" x14ac:dyDescent="0.35">
      <c r="A16" s="10">
        <v>0.3</v>
      </c>
    </row>
    <row r="17" spans="1:1" x14ac:dyDescent="0.35">
      <c r="A17" s="10">
        <v>0.35000000000000003</v>
      </c>
    </row>
    <row r="18" spans="1:1" x14ac:dyDescent="0.35">
      <c r="A18" s="10">
        <v>0.4</v>
      </c>
    </row>
    <row r="19" spans="1:1" x14ac:dyDescent="0.35">
      <c r="A19" s="10">
        <v>0.45</v>
      </c>
    </row>
    <row r="20" spans="1:1" x14ac:dyDescent="0.35">
      <c r="A20" s="10">
        <v>0.5</v>
      </c>
    </row>
    <row r="21" spans="1:1" x14ac:dyDescent="0.35">
      <c r="A21" s="10">
        <v>0.55000000000000004</v>
      </c>
    </row>
    <row r="22" spans="1:1" x14ac:dyDescent="0.35">
      <c r="A22" s="10">
        <v>0.60000000000000009</v>
      </c>
    </row>
    <row r="23" spans="1:1" x14ac:dyDescent="0.35">
      <c r="A23" s="10">
        <v>0.65000000000000013</v>
      </c>
    </row>
    <row r="24" spans="1:1" x14ac:dyDescent="0.35">
      <c r="A24" s="10">
        <v>0.70000000000000007</v>
      </c>
    </row>
    <row r="25" spans="1:1" x14ac:dyDescent="0.35">
      <c r="A25" s="10">
        <v>0.75000000000000011</v>
      </c>
    </row>
    <row r="26" spans="1:1" x14ac:dyDescent="0.35">
      <c r="A26" s="10">
        <v>0.8</v>
      </c>
    </row>
    <row r="27" spans="1:1" x14ac:dyDescent="0.35">
      <c r="A27" s="10">
        <v>0.85000000000000009</v>
      </c>
    </row>
    <row r="28" spans="1:1" x14ac:dyDescent="0.35">
      <c r="A28" s="10">
        <v>0.90000000000000013</v>
      </c>
    </row>
    <row r="29" spans="1:1" x14ac:dyDescent="0.35">
      <c r="A29" s="10">
        <v>0.95000000000000007</v>
      </c>
    </row>
  </sheetData>
  <conditionalFormatting sqref="B11:N29">
    <cfRule type="containsText" dxfId="1" priority="1" operator="containsText" text="Drill">
      <formula>NOT(ISERROR(SEARCH("Drill",B11)))</formula>
    </cfRule>
    <cfRule type="containsText" dxfId="0" priority="2" operator="containsText" text="Sell">
      <formula>NOT(ISERROR(SEARCH("Sell",B11)))</formula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{7033B6A3-766F-456D-80F8-0FAF5A72D4AB}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33B6A3-766F-456D-80F8-0FAF5A72D4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B11:N29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281E-1859-4FDF-B839-FBB178FB7475}">
  <dimension ref="A1:F11"/>
  <sheetViews>
    <sheetView topLeftCell="A2" zoomScale="160" zoomScaleNormal="160" workbookViewId="0">
      <selection activeCell="A13" sqref="A13"/>
    </sheetView>
  </sheetViews>
  <sheetFormatPr defaultRowHeight="13.5" x14ac:dyDescent="0.35"/>
  <cols>
    <col min="2" max="2" width="10.125" bestFit="1" customWidth="1"/>
    <col min="6" max="6" width="14.4375" bestFit="1" customWidth="1"/>
  </cols>
  <sheetData>
    <row r="1" spans="1:6" ht="18" customHeight="1" x14ac:dyDescent="0.35">
      <c r="C1" s="88" t="s">
        <v>89</v>
      </c>
      <c r="D1" s="88"/>
      <c r="E1" s="88"/>
      <c r="F1" s="88"/>
    </row>
    <row r="2" spans="1:6" x14ac:dyDescent="0.35">
      <c r="C2" s="88" t="s">
        <v>90</v>
      </c>
      <c r="D2" s="88"/>
      <c r="E2" s="88"/>
      <c r="F2" s="88"/>
    </row>
    <row r="3" spans="1:6" x14ac:dyDescent="0.35">
      <c r="C3" t="s">
        <v>91</v>
      </c>
      <c r="D3" t="s">
        <v>95</v>
      </c>
      <c r="E3" t="s">
        <v>96</v>
      </c>
      <c r="F3" s="88" t="s">
        <v>33</v>
      </c>
    </row>
    <row r="4" spans="1:6" x14ac:dyDescent="0.35">
      <c r="C4" t="s">
        <v>92</v>
      </c>
      <c r="D4" t="s">
        <v>93</v>
      </c>
      <c r="E4" t="s">
        <v>94</v>
      </c>
      <c r="F4" s="88"/>
    </row>
    <row r="5" spans="1:6" x14ac:dyDescent="0.35">
      <c r="A5" s="88"/>
      <c r="B5" t="s">
        <v>97</v>
      </c>
      <c r="C5">
        <v>10</v>
      </c>
      <c r="D5">
        <v>10</v>
      </c>
      <c r="E5">
        <v>10</v>
      </c>
      <c r="F5" s="13"/>
    </row>
    <row r="6" spans="1:6" x14ac:dyDescent="0.35">
      <c r="A6" s="88"/>
      <c r="B6" t="s">
        <v>98</v>
      </c>
      <c r="C6">
        <v>-10</v>
      </c>
      <c r="D6">
        <v>20</v>
      </c>
      <c r="E6">
        <v>30</v>
      </c>
      <c r="F6" s="13"/>
    </row>
    <row r="7" spans="1:6" x14ac:dyDescent="0.35">
      <c r="A7" s="88"/>
      <c r="B7" t="s">
        <v>99</v>
      </c>
      <c r="C7">
        <v>-30</v>
      </c>
      <c r="D7">
        <v>30</v>
      </c>
      <c r="E7">
        <v>80</v>
      </c>
      <c r="F7" s="13"/>
    </row>
    <row r="9" spans="1:6" x14ac:dyDescent="0.35">
      <c r="A9" s="88" t="s">
        <v>32</v>
      </c>
      <c r="B9" s="88"/>
    </row>
    <row r="10" spans="1:6" x14ac:dyDescent="0.35">
      <c r="B10" t="s">
        <v>98</v>
      </c>
      <c r="C10">
        <v>0.3</v>
      </c>
      <c r="D10">
        <v>0.5</v>
      </c>
      <c r="E10">
        <v>0.2</v>
      </c>
    </row>
    <row r="11" spans="1:6" x14ac:dyDescent="0.35">
      <c r="B11" t="s">
        <v>99</v>
      </c>
      <c r="C11">
        <v>0.5</v>
      </c>
      <c r="D11">
        <v>0.2</v>
      </c>
      <c r="E11">
        <v>0.3</v>
      </c>
    </row>
  </sheetData>
  <mergeCells count="6">
    <mergeCell ref="A9:B9"/>
    <mergeCell ref="C1:E1"/>
    <mergeCell ref="C2:E2"/>
    <mergeCell ref="F1:F2"/>
    <mergeCell ref="F3:F4"/>
    <mergeCell ref="A5:A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0729-EC8E-4CFF-8049-7EF09D1893D6}">
  <dimension ref="A1:D10"/>
  <sheetViews>
    <sheetView workbookViewId="0">
      <selection activeCell="G31" sqref="G31"/>
    </sheetView>
  </sheetViews>
  <sheetFormatPr defaultRowHeight="13.5" x14ac:dyDescent="0.35"/>
  <cols>
    <col min="1" max="1" width="28.125" bestFit="1" customWidth="1"/>
    <col min="2" max="2" width="15.125" bestFit="1" customWidth="1"/>
    <col min="3" max="3" width="19.4375" bestFit="1" customWidth="1"/>
    <col min="4" max="4" width="13.5625" bestFit="1" customWidth="1"/>
  </cols>
  <sheetData>
    <row r="1" spans="1:4" x14ac:dyDescent="0.35">
      <c r="A1" t="s">
        <v>192</v>
      </c>
      <c r="B1" t="s">
        <v>193</v>
      </c>
      <c r="C1" t="s">
        <v>194</v>
      </c>
      <c r="D1" t="s">
        <v>195</v>
      </c>
    </row>
    <row r="2" spans="1:4" x14ac:dyDescent="0.35">
      <c r="A2" t="s">
        <v>183</v>
      </c>
      <c r="B2">
        <v>1</v>
      </c>
      <c r="C2">
        <v>1</v>
      </c>
      <c r="D2">
        <v>6000000</v>
      </c>
    </row>
    <row r="3" spans="1:4" x14ac:dyDescent="0.35">
      <c r="A3" t="s">
        <v>184</v>
      </c>
      <c r="B3">
        <v>1</v>
      </c>
      <c r="C3">
        <v>2</v>
      </c>
      <c r="D3">
        <v>100000</v>
      </c>
    </row>
    <row r="4" spans="1:4" x14ac:dyDescent="0.35">
      <c r="A4" t="s">
        <v>185</v>
      </c>
      <c r="B4">
        <v>1</v>
      </c>
      <c r="C4">
        <v>5</v>
      </c>
      <c r="D4">
        <v>200000</v>
      </c>
    </row>
    <row r="5" spans="1:4" x14ac:dyDescent="0.35">
      <c r="A5" t="s">
        <v>186</v>
      </c>
      <c r="B5">
        <v>1</v>
      </c>
      <c r="C5">
        <v>10</v>
      </c>
      <c r="D5">
        <v>80000</v>
      </c>
    </row>
    <row r="6" spans="1:4" x14ac:dyDescent="0.35">
      <c r="A6" t="s">
        <v>187</v>
      </c>
      <c r="B6">
        <v>1</v>
      </c>
      <c r="C6">
        <v>50</v>
      </c>
      <c r="D6">
        <v>40000</v>
      </c>
    </row>
    <row r="7" spans="1:4" x14ac:dyDescent="0.35">
      <c r="A7" t="s">
        <v>188</v>
      </c>
      <c r="B7">
        <v>1</v>
      </c>
      <c r="C7">
        <v>100</v>
      </c>
      <c r="D7">
        <v>20000</v>
      </c>
    </row>
    <row r="8" spans="1:4" x14ac:dyDescent="0.35">
      <c r="A8" t="s">
        <v>189</v>
      </c>
      <c r="B8">
        <v>2</v>
      </c>
      <c r="C8">
        <v>1000</v>
      </c>
      <c r="D8">
        <v>4000</v>
      </c>
    </row>
    <row r="9" spans="1:4" x14ac:dyDescent="0.35">
      <c r="A9" t="s">
        <v>190</v>
      </c>
      <c r="B9">
        <v>2</v>
      </c>
      <c r="C9">
        <v>1000</v>
      </c>
      <c r="D9">
        <v>4000</v>
      </c>
    </row>
    <row r="10" spans="1:4" x14ac:dyDescent="0.35">
      <c r="A10" t="s">
        <v>191</v>
      </c>
      <c r="B10">
        <v>1</v>
      </c>
      <c r="C10">
        <v>10000</v>
      </c>
      <c r="D10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="110" zoomScaleNormal="110" workbookViewId="0">
      <selection activeCell="E21" sqref="E21"/>
    </sheetView>
  </sheetViews>
  <sheetFormatPr defaultRowHeight="13.5" x14ac:dyDescent="0.35"/>
  <cols>
    <col min="1" max="1" width="24.5625" bestFit="1" customWidth="1"/>
    <col min="2" max="2" width="15" bestFit="1" customWidth="1"/>
    <col min="3" max="3" width="27.4375" customWidth="1"/>
    <col min="4" max="4" width="11.5625" customWidth="1"/>
    <col min="5" max="5" width="11.125" bestFit="1" customWidth="1"/>
    <col min="6" max="6" width="17.5625" bestFit="1" customWidth="1"/>
  </cols>
  <sheetData>
    <row r="1" spans="1:10" x14ac:dyDescent="0.35">
      <c r="A1" s="7" t="s">
        <v>19</v>
      </c>
      <c r="E1" s="7" t="s">
        <v>202</v>
      </c>
    </row>
    <row r="2" spans="1:10" x14ac:dyDescent="0.35">
      <c r="A2" t="s">
        <v>0</v>
      </c>
      <c r="G2" t="s">
        <v>5</v>
      </c>
      <c r="H2" t="s">
        <v>6</v>
      </c>
      <c r="I2" t="s">
        <v>7</v>
      </c>
      <c r="J2" t="s">
        <v>103</v>
      </c>
    </row>
    <row r="3" spans="1:10" x14ac:dyDescent="0.35">
      <c r="A3" t="s">
        <v>20</v>
      </c>
      <c r="B3" s="4">
        <v>6000000</v>
      </c>
      <c r="F3" t="s">
        <v>101</v>
      </c>
      <c r="G3" s="36"/>
      <c r="H3" s="36"/>
      <c r="I3" s="36"/>
      <c r="J3" s="1"/>
    </row>
    <row r="4" spans="1:10" x14ac:dyDescent="0.35">
      <c r="A4" t="s">
        <v>21</v>
      </c>
      <c r="B4" s="5">
        <v>18</v>
      </c>
      <c r="F4" t="s">
        <v>102</v>
      </c>
    </row>
    <row r="5" spans="1:10" x14ac:dyDescent="0.35">
      <c r="F5" t="s">
        <v>4</v>
      </c>
    </row>
    <row r="6" spans="1:10" x14ac:dyDescent="0.35">
      <c r="A6" t="s">
        <v>3</v>
      </c>
      <c r="B6" t="s">
        <v>4</v>
      </c>
      <c r="C6" t="s">
        <v>22</v>
      </c>
    </row>
    <row r="7" spans="1:10" x14ac:dyDescent="0.35">
      <c r="A7" t="s">
        <v>5</v>
      </c>
      <c r="B7" s="6">
        <v>0.45</v>
      </c>
      <c r="C7" s="4">
        <v>600000</v>
      </c>
      <c r="D7" s="2"/>
      <c r="E7" s="2"/>
      <c r="F7" s="2"/>
    </row>
    <row r="8" spans="1:10" x14ac:dyDescent="0.35">
      <c r="A8" t="s">
        <v>6</v>
      </c>
      <c r="B8" s="6">
        <v>0.35</v>
      </c>
      <c r="C8" s="4">
        <v>300000</v>
      </c>
      <c r="D8" s="2"/>
      <c r="E8" s="2"/>
      <c r="F8" s="2"/>
    </row>
    <row r="9" spans="1:10" x14ac:dyDescent="0.35">
      <c r="A9" t="s">
        <v>7</v>
      </c>
      <c r="B9" s="6">
        <v>0.2</v>
      </c>
      <c r="C9" s="4">
        <v>90000</v>
      </c>
      <c r="D9" s="2"/>
      <c r="E9" s="2"/>
      <c r="F9" s="2"/>
    </row>
    <row r="11" spans="1:10" x14ac:dyDescent="0.35">
      <c r="A11" t="s">
        <v>25</v>
      </c>
      <c r="B11" s="2"/>
    </row>
    <row r="12" spans="1:10" x14ac:dyDescent="0.35">
      <c r="B12" s="3"/>
    </row>
    <row r="13" spans="1:10" x14ac:dyDescent="0.35">
      <c r="A13" s="7" t="s">
        <v>23</v>
      </c>
    </row>
    <row r="14" spans="1:10" x14ac:dyDescent="0.35">
      <c r="A14" t="s">
        <v>24</v>
      </c>
    </row>
    <row r="15" spans="1:10" x14ac:dyDescent="0.35">
      <c r="A15" t="s">
        <v>25</v>
      </c>
      <c r="B15">
        <v>0</v>
      </c>
    </row>
    <row r="16" spans="1:10" x14ac:dyDescent="0.35">
      <c r="B1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2113-42A9-47CB-BDB3-C9440B038F22}">
  <dimension ref="A1:F15"/>
  <sheetViews>
    <sheetView workbookViewId="0">
      <selection activeCell="H33" sqref="H33"/>
    </sheetView>
  </sheetViews>
  <sheetFormatPr defaultRowHeight="13.5" x14ac:dyDescent="0.35"/>
  <cols>
    <col min="1" max="1" width="24.5625" bestFit="1" customWidth="1"/>
    <col min="2" max="3" width="15" bestFit="1" customWidth="1"/>
    <col min="4" max="4" width="22.4375" bestFit="1" customWidth="1"/>
    <col min="5" max="5" width="17.5625" bestFit="1" customWidth="1"/>
  </cols>
  <sheetData>
    <row r="1" spans="1:6" x14ac:dyDescent="0.35">
      <c r="A1" t="s">
        <v>0</v>
      </c>
      <c r="E1" t="s">
        <v>13</v>
      </c>
      <c r="F1" s="2">
        <v>5000000</v>
      </c>
    </row>
    <row r="2" spans="1:6" x14ac:dyDescent="0.35">
      <c r="A2" t="s">
        <v>1</v>
      </c>
      <c r="B2" s="5">
        <v>6000000</v>
      </c>
    </row>
    <row r="3" spans="1:6" x14ac:dyDescent="0.35">
      <c r="A3" t="s">
        <v>2</v>
      </c>
      <c r="B3" s="5">
        <v>18</v>
      </c>
    </row>
    <row r="5" spans="1:6" x14ac:dyDescent="0.35">
      <c r="A5" t="s">
        <v>3</v>
      </c>
      <c r="B5" t="s">
        <v>4</v>
      </c>
      <c r="C5" t="s">
        <v>8</v>
      </c>
      <c r="D5" t="s">
        <v>9</v>
      </c>
      <c r="E5" t="s">
        <v>11</v>
      </c>
      <c r="F5" t="s">
        <v>12</v>
      </c>
    </row>
    <row r="6" spans="1:6" x14ac:dyDescent="0.35">
      <c r="A6" t="s">
        <v>5</v>
      </c>
      <c r="B6" s="6">
        <v>0.45</v>
      </c>
      <c r="C6" s="4">
        <v>600000</v>
      </c>
      <c r="D6" s="2">
        <f>C6*$B$3</f>
        <v>10800000</v>
      </c>
      <c r="E6" s="2">
        <f>D6-$B$2</f>
        <v>4800000</v>
      </c>
      <c r="F6" s="46">
        <f>1-EXP(-(E6/$F$1))</f>
        <v>0.61710711402488794</v>
      </c>
    </row>
    <row r="7" spans="1:6" x14ac:dyDescent="0.35">
      <c r="A7" t="s">
        <v>6</v>
      </c>
      <c r="B7" s="6">
        <v>0.35</v>
      </c>
      <c r="C7" s="4">
        <v>300000</v>
      </c>
      <c r="D7" s="2">
        <f t="shared" ref="D7:D8" si="0">C7*$B$3</f>
        <v>5400000</v>
      </c>
      <c r="E7" s="2">
        <f t="shared" ref="E7:E8" si="1">D7-$B$2</f>
        <v>-600000</v>
      </c>
      <c r="F7" s="46">
        <f t="shared" ref="F7:F8" si="2">1-EXP(-(E7/$F$1))</f>
        <v>-0.12749685157937574</v>
      </c>
    </row>
    <row r="8" spans="1:6" x14ac:dyDescent="0.35">
      <c r="A8" t="s">
        <v>7</v>
      </c>
      <c r="B8" s="6">
        <v>0.2</v>
      </c>
      <c r="C8" s="4">
        <v>90000</v>
      </c>
      <c r="D8" s="2">
        <f t="shared" si="0"/>
        <v>1620000</v>
      </c>
      <c r="E8" s="2">
        <f t="shared" si="1"/>
        <v>-4380000</v>
      </c>
      <c r="F8" s="46">
        <f t="shared" si="2"/>
        <v>-1.4012753690986246</v>
      </c>
    </row>
    <row r="10" spans="1:6" x14ac:dyDescent="0.35">
      <c r="A10" t="s">
        <v>14</v>
      </c>
      <c r="B10" s="2" t="s">
        <v>10</v>
      </c>
    </row>
    <row r="11" spans="1:6" x14ac:dyDescent="0.35">
      <c r="A11" t="s">
        <v>15</v>
      </c>
      <c r="B11" s="3">
        <f>SUMPRODUCT(B6:B8,F6:F8)</f>
        <v>-4.7180770561306817E-2</v>
      </c>
    </row>
    <row r="12" spans="1:6" x14ac:dyDescent="0.35">
      <c r="A12" t="s">
        <v>16</v>
      </c>
      <c r="B12">
        <v>0</v>
      </c>
    </row>
    <row r="14" spans="1:6" x14ac:dyDescent="0.35">
      <c r="A14" t="s">
        <v>17</v>
      </c>
      <c r="B14">
        <f>SUMPRODUCT(B6:B8,G6:G8)</f>
        <v>0</v>
      </c>
    </row>
    <row r="15" spans="1:6" x14ac:dyDescent="0.35">
      <c r="A15" t="s">
        <v>18</v>
      </c>
      <c r="B15" s="1">
        <f>LN(1-B14)*F1*(-1)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D5A0-F96E-4065-ADE4-1E546597877D}">
  <dimension ref="A1:V9"/>
  <sheetViews>
    <sheetView tabSelected="1" topLeftCell="B1" zoomScale="80" zoomScaleNormal="80" workbookViewId="0">
      <selection activeCell="S11" sqref="S11"/>
    </sheetView>
  </sheetViews>
  <sheetFormatPr defaultRowHeight="13.5" x14ac:dyDescent="0.35"/>
  <cols>
    <col min="1" max="1" width="22" bestFit="1" customWidth="1"/>
    <col min="4" max="4" width="11.5625" bestFit="1" customWidth="1"/>
    <col min="5" max="5" width="11.875" bestFit="1" customWidth="1"/>
    <col min="7" max="7" width="12.125" bestFit="1" customWidth="1"/>
    <col min="10" max="10" width="11.5625" bestFit="1" customWidth="1"/>
    <col min="21" max="21" width="3" bestFit="1" customWidth="1"/>
  </cols>
  <sheetData>
    <row r="1" spans="1:22" ht="13.9" thickBot="1" x14ac:dyDescent="0.4">
      <c r="B1" s="12" t="s">
        <v>37</v>
      </c>
      <c r="C1" s="12" t="s">
        <v>38</v>
      </c>
      <c r="D1" s="12" t="s">
        <v>44</v>
      </c>
      <c r="K1" s="11" t="s">
        <v>52</v>
      </c>
      <c r="L1" s="11" t="s">
        <v>53</v>
      </c>
      <c r="M1" s="11" t="s">
        <v>54</v>
      </c>
      <c r="N1" s="11" t="s">
        <v>55</v>
      </c>
      <c r="O1" s="11" t="s">
        <v>56</v>
      </c>
      <c r="P1" s="11" t="s">
        <v>57</v>
      </c>
      <c r="Q1" s="11" t="s">
        <v>58</v>
      </c>
      <c r="R1" s="11" t="s">
        <v>59</v>
      </c>
      <c r="S1" s="11" t="s">
        <v>60</v>
      </c>
    </row>
    <row r="2" spans="1:22" ht="13.9" thickBot="1" x14ac:dyDescent="0.4">
      <c r="A2" t="s">
        <v>36</v>
      </c>
      <c r="B2">
        <v>2.5</v>
      </c>
      <c r="C2">
        <v>3</v>
      </c>
      <c r="D2">
        <v>20</v>
      </c>
      <c r="J2" t="s">
        <v>87</v>
      </c>
      <c r="K2" s="37">
        <v>120</v>
      </c>
      <c r="L2" s="37">
        <v>80</v>
      </c>
      <c r="M2" s="37">
        <v>300</v>
      </c>
      <c r="N2" s="37">
        <v>0</v>
      </c>
      <c r="O2" s="37">
        <v>0</v>
      </c>
      <c r="P2" s="37">
        <v>100</v>
      </c>
      <c r="Q2" s="37">
        <v>0</v>
      </c>
      <c r="R2" s="37">
        <v>6000</v>
      </c>
      <c r="S2" s="37">
        <v>0</v>
      </c>
    </row>
    <row r="3" spans="1:22" ht="13.9" thickBot="1" x14ac:dyDescent="0.4">
      <c r="A3" t="s">
        <v>39</v>
      </c>
      <c r="B3">
        <v>150</v>
      </c>
      <c r="C3">
        <v>230</v>
      </c>
      <c r="D3">
        <v>260</v>
      </c>
      <c r="J3" t="s">
        <v>64</v>
      </c>
      <c r="K3">
        <v>150</v>
      </c>
      <c r="L3">
        <v>230</v>
      </c>
      <c r="M3">
        <v>260</v>
      </c>
      <c r="N3">
        <v>238</v>
      </c>
      <c r="O3">
        <v>210</v>
      </c>
      <c r="P3">
        <v>-170</v>
      </c>
      <c r="Q3">
        <v>-150</v>
      </c>
      <c r="R3">
        <v>-36</v>
      </c>
      <c r="S3">
        <v>-10</v>
      </c>
      <c r="T3" s="15">
        <f>SUMPRODUCT($K$2:$S$2,K3:S3)</f>
        <v>-118600</v>
      </c>
    </row>
    <row r="4" spans="1:22" x14ac:dyDescent="0.35">
      <c r="A4" t="s">
        <v>49</v>
      </c>
      <c r="B4">
        <v>200</v>
      </c>
      <c r="C4">
        <v>240</v>
      </c>
      <c r="D4" s="13">
        <v>0</v>
      </c>
      <c r="J4" t="s">
        <v>61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f t="shared" ref="T4:T8" si="0">SUMPRODUCT($K$2:$S$2,K4:S4)</f>
        <v>500</v>
      </c>
      <c r="U4" s="14" t="s">
        <v>35</v>
      </c>
      <c r="V4">
        <v>500</v>
      </c>
    </row>
    <row r="5" spans="1:22" x14ac:dyDescent="0.35">
      <c r="A5" t="s">
        <v>50</v>
      </c>
      <c r="B5">
        <v>238</v>
      </c>
      <c r="C5">
        <v>210</v>
      </c>
      <c r="D5" s="13">
        <v>0</v>
      </c>
      <c r="J5" t="s">
        <v>37</v>
      </c>
      <c r="K5">
        <v>2.5</v>
      </c>
      <c r="L5">
        <v>0</v>
      </c>
      <c r="M5">
        <v>0</v>
      </c>
      <c r="N5">
        <v>1</v>
      </c>
      <c r="O5">
        <v>0</v>
      </c>
      <c r="P5">
        <v>-1</v>
      </c>
      <c r="Q5">
        <v>0</v>
      </c>
      <c r="R5">
        <v>0</v>
      </c>
      <c r="S5">
        <v>0</v>
      </c>
      <c r="T5">
        <f t="shared" si="0"/>
        <v>200</v>
      </c>
      <c r="U5" s="14" t="s">
        <v>65</v>
      </c>
      <c r="V5">
        <v>200</v>
      </c>
    </row>
    <row r="6" spans="1:22" x14ac:dyDescent="0.35">
      <c r="D6" t="s">
        <v>41</v>
      </c>
      <c r="E6" t="s">
        <v>42</v>
      </c>
      <c r="J6" t="s">
        <v>38</v>
      </c>
      <c r="K6">
        <v>0</v>
      </c>
      <c r="L6">
        <v>3</v>
      </c>
      <c r="M6">
        <v>0</v>
      </c>
      <c r="N6">
        <v>0</v>
      </c>
      <c r="O6">
        <v>1</v>
      </c>
      <c r="P6">
        <v>0</v>
      </c>
      <c r="Q6">
        <v>-1</v>
      </c>
      <c r="R6">
        <v>0</v>
      </c>
      <c r="S6">
        <v>0</v>
      </c>
      <c r="T6">
        <f t="shared" si="0"/>
        <v>240</v>
      </c>
      <c r="U6" s="14" t="s">
        <v>65</v>
      </c>
      <c r="V6">
        <v>240</v>
      </c>
    </row>
    <row r="7" spans="1:22" x14ac:dyDescent="0.35">
      <c r="A7" t="s">
        <v>40</v>
      </c>
      <c r="B7">
        <v>170</v>
      </c>
      <c r="C7">
        <v>150</v>
      </c>
      <c r="D7">
        <v>36</v>
      </c>
      <c r="E7">
        <v>10</v>
      </c>
      <c r="J7" t="s">
        <v>62</v>
      </c>
      <c r="K7">
        <v>0</v>
      </c>
      <c r="L7">
        <v>0</v>
      </c>
      <c r="M7">
        <v>20</v>
      </c>
      <c r="N7">
        <v>0</v>
      </c>
      <c r="O7">
        <v>0</v>
      </c>
      <c r="P7">
        <v>0</v>
      </c>
      <c r="Q7">
        <v>0</v>
      </c>
      <c r="R7">
        <v>-1</v>
      </c>
      <c r="S7">
        <v>-1</v>
      </c>
      <c r="T7">
        <f t="shared" si="0"/>
        <v>0</v>
      </c>
      <c r="U7" s="14" t="s">
        <v>65</v>
      </c>
      <c r="V7">
        <v>0</v>
      </c>
    </row>
    <row r="8" spans="1:22" x14ac:dyDescent="0.35">
      <c r="A8" t="s">
        <v>43</v>
      </c>
      <c r="B8">
        <f>B2*B7-B3</f>
        <v>275</v>
      </c>
      <c r="C8">
        <f>C2*C7-C3</f>
        <v>220</v>
      </c>
      <c r="D8">
        <f>D2*D7-D3</f>
        <v>460</v>
      </c>
      <c r="E8">
        <f>D2*E7-D3</f>
        <v>-60</v>
      </c>
      <c r="J8" t="s">
        <v>63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-1</v>
      </c>
      <c r="S8">
        <v>0</v>
      </c>
      <c r="T8">
        <f t="shared" si="0"/>
        <v>-6000</v>
      </c>
      <c r="U8" s="14" t="s">
        <v>65</v>
      </c>
      <c r="V8">
        <v>-6000</v>
      </c>
    </row>
    <row r="9" spans="1:22" x14ac:dyDescent="0.35">
      <c r="A9" t="s">
        <v>45</v>
      </c>
      <c r="B9" t="s">
        <v>47</v>
      </c>
      <c r="C9" t="s">
        <v>48</v>
      </c>
      <c r="D9" t="s">
        <v>46</v>
      </c>
      <c r="E9" t="s">
        <v>51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63B8-EB9D-4227-BEBC-562734DDEEDE}">
  <dimension ref="A1:AH19"/>
  <sheetViews>
    <sheetView zoomScaleNormal="100" workbookViewId="0">
      <selection activeCell="I24" sqref="I24"/>
    </sheetView>
  </sheetViews>
  <sheetFormatPr defaultColWidth="8.875" defaultRowHeight="13.5" x14ac:dyDescent="0.35"/>
  <cols>
    <col min="1" max="1" width="22" bestFit="1" customWidth="1"/>
    <col min="4" max="4" width="11.5625" bestFit="1" customWidth="1"/>
    <col min="5" max="5" width="11.875" bestFit="1" customWidth="1"/>
    <col min="7" max="7" width="12.125" bestFit="1" customWidth="1"/>
    <col min="9" max="9" width="10.125" bestFit="1" customWidth="1"/>
    <col min="10" max="10" width="12.125" bestFit="1" customWidth="1"/>
    <col min="11" max="13" width="6.5625" customWidth="1"/>
    <col min="14" max="31" width="5" customWidth="1"/>
    <col min="33" max="33" width="3" bestFit="1" customWidth="1"/>
  </cols>
  <sheetData>
    <row r="1" spans="1:34" x14ac:dyDescent="0.35">
      <c r="B1" s="12" t="s">
        <v>37</v>
      </c>
      <c r="C1" s="12" t="s">
        <v>38</v>
      </c>
      <c r="D1" s="12" t="s">
        <v>44</v>
      </c>
      <c r="J1" t="s">
        <v>84</v>
      </c>
      <c r="K1">
        <v>150</v>
      </c>
      <c r="L1">
        <v>230</v>
      </c>
      <c r="M1">
        <v>260</v>
      </c>
      <c r="N1">
        <v>238</v>
      </c>
      <c r="O1">
        <v>210</v>
      </c>
      <c r="P1">
        <v>-170</v>
      </c>
      <c r="Q1">
        <v>-150</v>
      </c>
      <c r="R1">
        <v>-36</v>
      </c>
      <c r="S1">
        <v>-10</v>
      </c>
      <c r="T1">
        <v>238</v>
      </c>
      <c r="U1">
        <v>210</v>
      </c>
      <c r="V1">
        <v>-170</v>
      </c>
      <c r="W1">
        <v>-150</v>
      </c>
      <c r="X1">
        <v>-36</v>
      </c>
      <c r="Y1">
        <v>-10</v>
      </c>
      <c r="Z1">
        <v>238</v>
      </c>
      <c r="AA1">
        <v>210</v>
      </c>
      <c r="AB1">
        <v>-170</v>
      </c>
      <c r="AC1">
        <v>-150</v>
      </c>
      <c r="AD1">
        <v>-36</v>
      </c>
      <c r="AE1">
        <v>-10</v>
      </c>
    </row>
    <row r="2" spans="1:34" x14ac:dyDescent="0.35">
      <c r="A2" t="s">
        <v>36</v>
      </c>
      <c r="B2">
        <v>2.5</v>
      </c>
      <c r="C2">
        <v>3</v>
      </c>
      <c r="D2">
        <v>20</v>
      </c>
      <c r="J2" t="s">
        <v>86</v>
      </c>
      <c r="K2">
        <v>1</v>
      </c>
      <c r="L2">
        <v>1</v>
      </c>
      <c r="M2">
        <v>1</v>
      </c>
      <c r="N2">
        <f>1/3</f>
        <v>0.33333333333333331</v>
      </c>
      <c r="O2">
        <f t="shared" ref="O2:AE2" si="0">1/3</f>
        <v>0.33333333333333331</v>
      </c>
      <c r="P2">
        <f t="shared" si="0"/>
        <v>0.33333333333333331</v>
      </c>
      <c r="Q2">
        <f t="shared" si="0"/>
        <v>0.33333333333333331</v>
      </c>
      <c r="R2">
        <f t="shared" si="0"/>
        <v>0.33333333333333331</v>
      </c>
      <c r="S2">
        <f t="shared" si="0"/>
        <v>0.33333333333333331</v>
      </c>
      <c r="T2">
        <f t="shared" si="0"/>
        <v>0.33333333333333331</v>
      </c>
      <c r="U2">
        <f t="shared" si="0"/>
        <v>0.33333333333333331</v>
      </c>
      <c r="V2">
        <f t="shared" si="0"/>
        <v>0.33333333333333331</v>
      </c>
      <c r="W2">
        <f t="shared" si="0"/>
        <v>0.33333333333333331</v>
      </c>
      <c r="X2">
        <f t="shared" si="0"/>
        <v>0.33333333333333331</v>
      </c>
      <c r="Y2">
        <f t="shared" si="0"/>
        <v>0.33333333333333331</v>
      </c>
      <c r="Z2">
        <f t="shared" si="0"/>
        <v>0.33333333333333331</v>
      </c>
      <c r="AA2">
        <f t="shared" si="0"/>
        <v>0.33333333333333331</v>
      </c>
      <c r="AB2">
        <f t="shared" si="0"/>
        <v>0.33333333333333331</v>
      </c>
      <c r="AC2">
        <f t="shared" si="0"/>
        <v>0.33333333333333331</v>
      </c>
      <c r="AD2">
        <f t="shared" si="0"/>
        <v>0.33333333333333331</v>
      </c>
      <c r="AE2">
        <f t="shared" si="0"/>
        <v>0.33333333333333331</v>
      </c>
    </row>
    <row r="3" spans="1:34" x14ac:dyDescent="0.35">
      <c r="A3" t="s">
        <v>39</v>
      </c>
      <c r="B3">
        <v>150</v>
      </c>
      <c r="C3">
        <v>230</v>
      </c>
      <c r="D3">
        <v>260</v>
      </c>
    </row>
    <row r="4" spans="1:34" x14ac:dyDescent="0.35">
      <c r="A4" t="s">
        <v>49</v>
      </c>
      <c r="B4">
        <v>200</v>
      </c>
      <c r="C4">
        <v>240</v>
      </c>
      <c r="D4" s="13">
        <v>0</v>
      </c>
      <c r="K4" s="28" t="s">
        <v>52</v>
      </c>
      <c r="L4" s="29" t="s">
        <v>53</v>
      </c>
      <c r="M4" s="29" t="s">
        <v>54</v>
      </c>
      <c r="N4" s="28" t="s">
        <v>67</v>
      </c>
      <c r="O4" s="29" t="s">
        <v>68</v>
      </c>
      <c r="P4" s="29" t="s">
        <v>66</v>
      </c>
      <c r="Q4" s="29" t="s">
        <v>69</v>
      </c>
      <c r="R4" s="29" t="s">
        <v>70</v>
      </c>
      <c r="S4" s="30" t="s">
        <v>71</v>
      </c>
      <c r="T4" s="28" t="s">
        <v>72</v>
      </c>
      <c r="U4" s="29" t="s">
        <v>73</v>
      </c>
      <c r="V4" s="29" t="s">
        <v>74</v>
      </c>
      <c r="W4" s="29" t="s">
        <v>75</v>
      </c>
      <c r="X4" s="29" t="s">
        <v>76</v>
      </c>
      <c r="Y4" s="30" t="s">
        <v>77</v>
      </c>
      <c r="Z4" s="28" t="s">
        <v>78</v>
      </c>
      <c r="AA4" s="29" t="s">
        <v>79</v>
      </c>
      <c r="AB4" s="29" t="s">
        <v>80</v>
      </c>
      <c r="AC4" s="29" t="s">
        <v>81</v>
      </c>
      <c r="AD4" s="29" t="s">
        <v>82</v>
      </c>
      <c r="AE4" s="30" t="s">
        <v>83</v>
      </c>
    </row>
    <row r="5" spans="1:34" ht="13.9" thickBot="1" x14ac:dyDescent="0.4">
      <c r="A5" t="s">
        <v>50</v>
      </c>
      <c r="B5">
        <v>238</v>
      </c>
      <c r="C5">
        <v>210</v>
      </c>
      <c r="D5" s="13">
        <v>0</v>
      </c>
      <c r="J5" s="31" t="s">
        <v>87</v>
      </c>
      <c r="K5" s="82">
        <v>0</v>
      </c>
      <c r="L5" s="39">
        <v>0</v>
      </c>
      <c r="M5" s="39">
        <v>0</v>
      </c>
      <c r="N5" s="82">
        <v>0</v>
      </c>
      <c r="O5" s="39">
        <v>0</v>
      </c>
      <c r="P5" s="39">
        <v>0</v>
      </c>
      <c r="Q5" s="39">
        <v>0</v>
      </c>
      <c r="R5" s="39">
        <v>0</v>
      </c>
      <c r="S5" s="83">
        <v>0</v>
      </c>
      <c r="T5" s="82">
        <v>0</v>
      </c>
      <c r="U5" s="39">
        <v>0</v>
      </c>
      <c r="V5" s="39">
        <v>0</v>
      </c>
      <c r="W5" s="39">
        <v>0</v>
      </c>
      <c r="X5" s="39">
        <v>0</v>
      </c>
      <c r="Y5" s="83">
        <v>0</v>
      </c>
      <c r="Z5" s="82">
        <v>0</v>
      </c>
      <c r="AA5" s="39">
        <v>0</v>
      </c>
      <c r="AB5" s="39">
        <v>0</v>
      </c>
      <c r="AC5" s="39">
        <v>0</v>
      </c>
      <c r="AD5" s="39">
        <v>0</v>
      </c>
      <c r="AE5" s="83">
        <v>0</v>
      </c>
    </row>
    <row r="6" spans="1:34" ht="13.9" thickBot="1" x14ac:dyDescent="0.4">
      <c r="D6" t="s">
        <v>41</v>
      </c>
      <c r="E6" t="s">
        <v>42</v>
      </c>
      <c r="J6" s="17" t="s">
        <v>64</v>
      </c>
      <c r="K6" s="20">
        <f>K1*K2</f>
        <v>150</v>
      </c>
      <c r="L6" s="21">
        <f t="shared" ref="L6:AE6" si="1">L1*L2</f>
        <v>230</v>
      </c>
      <c r="M6" s="21">
        <f t="shared" si="1"/>
        <v>260</v>
      </c>
      <c r="N6" s="20">
        <f t="shared" si="1"/>
        <v>79.333333333333329</v>
      </c>
      <c r="O6" s="21">
        <f t="shared" si="1"/>
        <v>70</v>
      </c>
      <c r="P6" s="21">
        <f t="shared" si="1"/>
        <v>-56.666666666666664</v>
      </c>
      <c r="Q6" s="21">
        <f t="shared" si="1"/>
        <v>-50</v>
      </c>
      <c r="R6" s="21">
        <f t="shared" si="1"/>
        <v>-12</v>
      </c>
      <c r="S6" s="22">
        <f t="shared" si="1"/>
        <v>-3.333333333333333</v>
      </c>
      <c r="T6" s="20">
        <f t="shared" si="1"/>
        <v>79.333333333333329</v>
      </c>
      <c r="U6" s="21">
        <f t="shared" si="1"/>
        <v>70</v>
      </c>
      <c r="V6" s="21">
        <f t="shared" si="1"/>
        <v>-56.666666666666664</v>
      </c>
      <c r="W6" s="21">
        <f t="shared" si="1"/>
        <v>-50</v>
      </c>
      <c r="X6" s="21">
        <f t="shared" si="1"/>
        <v>-12</v>
      </c>
      <c r="Y6" s="22">
        <f t="shared" si="1"/>
        <v>-3.333333333333333</v>
      </c>
      <c r="Z6" s="20">
        <f t="shared" si="1"/>
        <v>79.333333333333329</v>
      </c>
      <c r="AA6" s="21">
        <f t="shared" si="1"/>
        <v>70</v>
      </c>
      <c r="AB6" s="21">
        <f t="shared" si="1"/>
        <v>-56.666666666666664</v>
      </c>
      <c r="AC6" s="21">
        <f t="shared" si="1"/>
        <v>-50</v>
      </c>
      <c r="AD6" s="21">
        <f t="shared" si="1"/>
        <v>-12</v>
      </c>
      <c r="AE6" s="22">
        <f t="shared" si="1"/>
        <v>-3.333333333333333</v>
      </c>
      <c r="AF6" s="16">
        <f>SUMPRODUCT(K6:AE6,$K$5:$AE$5)</f>
        <v>0</v>
      </c>
    </row>
    <row r="7" spans="1:34" x14ac:dyDescent="0.35">
      <c r="A7" t="s">
        <v>40</v>
      </c>
      <c r="B7">
        <v>170</v>
      </c>
      <c r="C7">
        <v>150</v>
      </c>
      <c r="D7">
        <v>36</v>
      </c>
      <c r="E7">
        <v>10</v>
      </c>
      <c r="J7" t="s">
        <v>61</v>
      </c>
      <c r="K7" s="17">
        <v>1</v>
      </c>
      <c r="L7" s="18">
        <v>1</v>
      </c>
      <c r="M7" s="18">
        <v>1</v>
      </c>
      <c r="N7" s="17"/>
      <c r="O7" s="18"/>
      <c r="P7" s="18"/>
      <c r="Q7" s="18"/>
      <c r="R7" s="18"/>
      <c r="S7" s="19"/>
      <c r="T7" s="17"/>
      <c r="U7" s="34"/>
      <c r="V7" s="18"/>
      <c r="W7" s="18"/>
      <c r="X7" s="18"/>
      <c r="Y7" s="19"/>
      <c r="Z7" s="17"/>
      <c r="AA7" s="18"/>
      <c r="AB7" s="18"/>
      <c r="AC7" s="18"/>
      <c r="AD7" s="18"/>
      <c r="AE7" s="19"/>
      <c r="AF7" s="26">
        <f t="shared" ref="AF7:AF19" si="2">SUMPRODUCT(K7:AE7,$K$5:$AE$5)</f>
        <v>0</v>
      </c>
      <c r="AG7" s="34" t="s">
        <v>35</v>
      </c>
      <c r="AH7" s="19">
        <v>500</v>
      </c>
    </row>
    <row r="8" spans="1:34" x14ac:dyDescent="0.35">
      <c r="A8" t="s">
        <v>43</v>
      </c>
      <c r="B8">
        <f>B2*B7-B3</f>
        <v>275</v>
      </c>
      <c r="C8">
        <f>C2*C7-C3</f>
        <v>220</v>
      </c>
      <c r="D8">
        <f>D2*D7-D3</f>
        <v>460</v>
      </c>
      <c r="E8">
        <f>D2*E7-D3</f>
        <v>-60</v>
      </c>
      <c r="I8" s="89" t="s">
        <v>100</v>
      </c>
      <c r="J8" s="21" t="s">
        <v>37</v>
      </c>
      <c r="K8" s="20">
        <f>1.2*2.5</f>
        <v>3</v>
      </c>
      <c r="L8" s="21">
        <v>0</v>
      </c>
      <c r="M8" s="22">
        <v>0</v>
      </c>
      <c r="N8" s="20">
        <v>1</v>
      </c>
      <c r="O8" s="21">
        <v>0</v>
      </c>
      <c r="P8" s="21">
        <v>-1</v>
      </c>
      <c r="Q8" s="21">
        <v>0</v>
      </c>
      <c r="R8" s="21">
        <v>0</v>
      </c>
      <c r="S8" s="22">
        <v>0</v>
      </c>
      <c r="T8" s="20"/>
      <c r="U8" s="32"/>
      <c r="V8" s="21"/>
      <c r="W8" s="21"/>
      <c r="X8" s="21"/>
      <c r="Y8" s="22"/>
      <c r="Z8" s="20"/>
      <c r="AA8" s="21"/>
      <c r="AB8" s="21"/>
      <c r="AC8" s="21"/>
      <c r="AD8" s="21"/>
      <c r="AE8" s="22"/>
      <c r="AF8" s="21">
        <f t="shared" si="2"/>
        <v>0</v>
      </c>
      <c r="AG8" s="32" t="s">
        <v>65</v>
      </c>
      <c r="AH8" s="22">
        <v>200</v>
      </c>
    </row>
    <row r="9" spans="1:34" x14ac:dyDescent="0.35">
      <c r="A9" t="s">
        <v>45</v>
      </c>
      <c r="B9" t="s">
        <v>47</v>
      </c>
      <c r="C9" t="s">
        <v>48</v>
      </c>
      <c r="D9" t="s">
        <v>46</v>
      </c>
      <c r="E9" t="s">
        <v>51</v>
      </c>
      <c r="I9" s="90"/>
      <c r="J9" t="s">
        <v>38</v>
      </c>
      <c r="K9" s="23">
        <v>0</v>
      </c>
      <c r="L9">
        <f>1.2*3</f>
        <v>3.5999999999999996</v>
      </c>
      <c r="M9" s="24">
        <v>0</v>
      </c>
      <c r="N9" s="23">
        <v>0</v>
      </c>
      <c r="O9">
        <v>1</v>
      </c>
      <c r="P9">
        <v>0</v>
      </c>
      <c r="Q9">
        <v>-1</v>
      </c>
      <c r="R9">
        <v>0</v>
      </c>
      <c r="S9" s="24">
        <v>0</v>
      </c>
      <c r="T9" s="23"/>
      <c r="U9" s="14"/>
      <c r="Y9" s="24"/>
      <c r="Z9" s="23"/>
      <c r="AE9" s="24"/>
      <c r="AF9">
        <f t="shared" si="2"/>
        <v>0</v>
      </c>
      <c r="AG9" s="14" t="s">
        <v>65</v>
      </c>
      <c r="AH9" s="24">
        <v>240</v>
      </c>
    </row>
    <row r="10" spans="1:34" x14ac:dyDescent="0.35">
      <c r="I10" s="90"/>
      <c r="J10" t="s">
        <v>62</v>
      </c>
      <c r="K10" s="23">
        <v>0</v>
      </c>
      <c r="L10">
        <v>0</v>
      </c>
      <c r="M10" s="24">
        <f>1.2*20</f>
        <v>24</v>
      </c>
      <c r="N10" s="23">
        <v>0</v>
      </c>
      <c r="O10">
        <v>0</v>
      </c>
      <c r="P10">
        <v>0</v>
      </c>
      <c r="Q10">
        <v>0</v>
      </c>
      <c r="R10">
        <v>-1</v>
      </c>
      <c r="S10" s="24">
        <v>-1</v>
      </c>
      <c r="T10" s="23"/>
      <c r="U10" s="14"/>
      <c r="Y10" s="24"/>
      <c r="Z10" s="23"/>
      <c r="AE10" s="24"/>
      <c r="AF10" s="35">
        <f t="shared" si="2"/>
        <v>0</v>
      </c>
      <c r="AG10" s="14" t="s">
        <v>65</v>
      </c>
      <c r="AH10" s="24">
        <v>0</v>
      </c>
    </row>
    <row r="11" spans="1:34" x14ac:dyDescent="0.35">
      <c r="I11" s="91"/>
      <c r="J11" s="26" t="s">
        <v>63</v>
      </c>
      <c r="K11" s="25">
        <v>0</v>
      </c>
      <c r="L11" s="26">
        <v>0</v>
      </c>
      <c r="M11" s="27">
        <v>0</v>
      </c>
      <c r="N11" s="25">
        <v>0</v>
      </c>
      <c r="O11" s="26">
        <v>0</v>
      </c>
      <c r="P11" s="26">
        <v>0</v>
      </c>
      <c r="Q11" s="26">
        <v>0</v>
      </c>
      <c r="R11" s="26">
        <v>-1</v>
      </c>
      <c r="S11" s="27">
        <v>0</v>
      </c>
      <c r="T11" s="25"/>
      <c r="U11" s="26"/>
      <c r="V11" s="26"/>
      <c r="W11" s="26"/>
      <c r="X11" s="26"/>
      <c r="Y11" s="27"/>
      <c r="Z11" s="25"/>
      <c r="AA11" s="26"/>
      <c r="AB11" s="26"/>
      <c r="AC11" s="26"/>
      <c r="AD11" s="26"/>
      <c r="AE11" s="27"/>
      <c r="AF11">
        <f t="shared" si="2"/>
        <v>0</v>
      </c>
      <c r="AG11" s="14" t="s">
        <v>65</v>
      </c>
      <c r="AH11" s="24">
        <v>-6000</v>
      </c>
    </row>
    <row r="12" spans="1:34" x14ac:dyDescent="0.35">
      <c r="I12" s="92" t="s">
        <v>85</v>
      </c>
      <c r="J12" s="21" t="s">
        <v>37</v>
      </c>
      <c r="K12" s="20">
        <v>2.5</v>
      </c>
      <c r="L12" s="21">
        <v>0</v>
      </c>
      <c r="M12" s="22">
        <v>0</v>
      </c>
      <c r="N12" s="20"/>
      <c r="O12" s="21"/>
      <c r="P12" s="21"/>
      <c r="Q12" s="21"/>
      <c r="R12" s="21"/>
      <c r="S12" s="22"/>
      <c r="T12" s="20">
        <v>1</v>
      </c>
      <c r="U12" s="21">
        <v>0</v>
      </c>
      <c r="V12" s="21">
        <v>-1</v>
      </c>
      <c r="W12" s="21">
        <v>0</v>
      </c>
      <c r="X12" s="21">
        <v>0</v>
      </c>
      <c r="Y12" s="22">
        <v>0</v>
      </c>
      <c r="Z12" s="20"/>
      <c r="AA12" s="21"/>
      <c r="AB12" s="21"/>
      <c r="AC12" s="21"/>
      <c r="AD12" s="21"/>
      <c r="AE12" s="22"/>
      <c r="AF12" s="18">
        <f t="shared" si="2"/>
        <v>0</v>
      </c>
      <c r="AG12" s="34" t="s">
        <v>65</v>
      </c>
      <c r="AH12" s="19">
        <v>200</v>
      </c>
    </row>
    <row r="13" spans="1:34" x14ac:dyDescent="0.35">
      <c r="I13" s="90"/>
      <c r="J13" t="s">
        <v>38</v>
      </c>
      <c r="K13" s="23">
        <v>0</v>
      </c>
      <c r="L13">
        <v>3</v>
      </c>
      <c r="M13" s="24">
        <v>0</v>
      </c>
      <c r="N13" s="23"/>
      <c r="S13" s="24"/>
      <c r="T13" s="23">
        <v>0</v>
      </c>
      <c r="U13">
        <v>1</v>
      </c>
      <c r="V13">
        <v>0</v>
      </c>
      <c r="W13">
        <v>-1</v>
      </c>
      <c r="X13">
        <v>0</v>
      </c>
      <c r="Y13" s="24">
        <v>0</v>
      </c>
      <c r="Z13" s="23"/>
      <c r="AE13" s="24"/>
      <c r="AF13">
        <f t="shared" si="2"/>
        <v>0</v>
      </c>
      <c r="AG13" s="14" t="s">
        <v>65</v>
      </c>
      <c r="AH13" s="24">
        <v>240</v>
      </c>
    </row>
    <row r="14" spans="1:34" x14ac:dyDescent="0.35">
      <c r="I14" s="90"/>
      <c r="J14" t="s">
        <v>62</v>
      </c>
      <c r="K14" s="23">
        <v>0</v>
      </c>
      <c r="L14">
        <v>0</v>
      </c>
      <c r="M14" s="24">
        <v>20</v>
      </c>
      <c r="N14" s="23"/>
      <c r="S14" s="24"/>
      <c r="T14" s="23">
        <v>0</v>
      </c>
      <c r="U14">
        <v>0</v>
      </c>
      <c r="V14">
        <v>0</v>
      </c>
      <c r="W14">
        <v>0</v>
      </c>
      <c r="X14">
        <v>-1</v>
      </c>
      <c r="Y14" s="24">
        <v>-1</v>
      </c>
      <c r="Z14" s="23"/>
      <c r="AE14" s="24"/>
      <c r="AF14">
        <f t="shared" si="2"/>
        <v>0</v>
      </c>
      <c r="AG14" s="14" t="s">
        <v>65</v>
      </c>
      <c r="AH14" s="24">
        <v>0</v>
      </c>
    </row>
    <row r="15" spans="1:34" x14ac:dyDescent="0.35">
      <c r="I15" s="91"/>
      <c r="J15" s="26" t="s">
        <v>63</v>
      </c>
      <c r="K15" s="25">
        <v>0</v>
      </c>
      <c r="L15" s="26">
        <v>0</v>
      </c>
      <c r="M15" s="27">
        <v>0</v>
      </c>
      <c r="N15" s="25"/>
      <c r="O15" s="26"/>
      <c r="P15" s="26"/>
      <c r="Q15" s="26"/>
      <c r="R15" s="26"/>
      <c r="S15" s="27"/>
      <c r="T15" s="25">
        <v>0</v>
      </c>
      <c r="U15" s="26">
        <v>0</v>
      </c>
      <c r="V15" s="26">
        <v>0</v>
      </c>
      <c r="W15" s="26">
        <v>0</v>
      </c>
      <c r="X15" s="26">
        <v>-1</v>
      </c>
      <c r="Y15" s="27">
        <v>0</v>
      </c>
      <c r="Z15" s="25"/>
      <c r="AA15" s="26"/>
      <c r="AB15" s="26"/>
      <c r="AC15" s="26"/>
      <c r="AD15" s="26"/>
      <c r="AE15" s="27"/>
      <c r="AF15" s="26">
        <f t="shared" si="2"/>
        <v>0</v>
      </c>
      <c r="AG15" s="33" t="s">
        <v>65</v>
      </c>
      <c r="AH15" s="27">
        <v>-6000</v>
      </c>
    </row>
    <row r="16" spans="1:34" x14ac:dyDescent="0.35">
      <c r="I16" s="92" t="s">
        <v>88</v>
      </c>
      <c r="J16" s="21" t="s">
        <v>37</v>
      </c>
      <c r="K16" s="20">
        <f>0.8*2.5</f>
        <v>2</v>
      </c>
      <c r="L16" s="21">
        <v>0</v>
      </c>
      <c r="M16" s="22">
        <v>0</v>
      </c>
      <c r="N16" s="20"/>
      <c r="O16" s="21"/>
      <c r="P16" s="21"/>
      <c r="Q16" s="21"/>
      <c r="R16" s="21"/>
      <c r="S16" s="22"/>
      <c r="T16" s="20"/>
      <c r="U16" s="21"/>
      <c r="V16" s="21"/>
      <c r="W16" s="21"/>
      <c r="X16" s="21"/>
      <c r="Y16" s="22"/>
      <c r="Z16" s="20">
        <v>1</v>
      </c>
      <c r="AA16" s="21">
        <v>0</v>
      </c>
      <c r="AB16" s="21">
        <v>-1</v>
      </c>
      <c r="AC16" s="21">
        <v>0</v>
      </c>
      <c r="AD16" s="21">
        <v>0</v>
      </c>
      <c r="AE16" s="22">
        <v>0</v>
      </c>
      <c r="AF16">
        <f t="shared" si="2"/>
        <v>0</v>
      </c>
      <c r="AG16" s="14" t="s">
        <v>65</v>
      </c>
      <c r="AH16" s="24">
        <v>200</v>
      </c>
    </row>
    <row r="17" spans="9:34" x14ac:dyDescent="0.35">
      <c r="I17" s="90"/>
      <c r="J17" t="s">
        <v>38</v>
      </c>
      <c r="K17" s="23">
        <v>0</v>
      </c>
      <c r="L17">
        <f>0.8*3</f>
        <v>2.4000000000000004</v>
      </c>
      <c r="M17" s="24">
        <v>0</v>
      </c>
      <c r="N17" s="23"/>
      <c r="S17" s="24"/>
      <c r="T17" s="23"/>
      <c r="Y17" s="24"/>
      <c r="Z17" s="23">
        <v>0</v>
      </c>
      <c r="AA17">
        <v>1</v>
      </c>
      <c r="AB17">
        <v>0</v>
      </c>
      <c r="AC17">
        <v>-1</v>
      </c>
      <c r="AD17">
        <v>0</v>
      </c>
      <c r="AE17" s="24">
        <v>0</v>
      </c>
      <c r="AF17">
        <f t="shared" si="2"/>
        <v>0</v>
      </c>
      <c r="AG17" s="14" t="s">
        <v>65</v>
      </c>
      <c r="AH17" s="24">
        <v>240</v>
      </c>
    </row>
    <row r="18" spans="9:34" x14ac:dyDescent="0.35">
      <c r="I18" s="90"/>
      <c r="J18" t="s">
        <v>62</v>
      </c>
      <c r="K18" s="23">
        <v>0</v>
      </c>
      <c r="L18">
        <v>0</v>
      </c>
      <c r="M18" s="24">
        <f>0.8*20</f>
        <v>16</v>
      </c>
      <c r="N18" s="23"/>
      <c r="S18" s="24"/>
      <c r="T18" s="23"/>
      <c r="Y18" s="24"/>
      <c r="Z18" s="23">
        <v>0</v>
      </c>
      <c r="AA18">
        <v>0</v>
      </c>
      <c r="AB18">
        <v>0</v>
      </c>
      <c r="AC18">
        <v>0</v>
      </c>
      <c r="AD18">
        <v>-1</v>
      </c>
      <c r="AE18" s="24">
        <v>-1</v>
      </c>
      <c r="AF18">
        <f t="shared" si="2"/>
        <v>0</v>
      </c>
      <c r="AG18" s="14" t="s">
        <v>65</v>
      </c>
      <c r="AH18" s="24">
        <v>0</v>
      </c>
    </row>
    <row r="19" spans="9:34" x14ac:dyDescent="0.35">
      <c r="I19" s="91"/>
      <c r="J19" s="26" t="s">
        <v>63</v>
      </c>
      <c r="K19" s="25">
        <v>0</v>
      </c>
      <c r="L19" s="26">
        <v>0</v>
      </c>
      <c r="M19" s="27">
        <v>0</v>
      </c>
      <c r="N19" s="25"/>
      <c r="O19" s="26"/>
      <c r="P19" s="26"/>
      <c r="Q19" s="26"/>
      <c r="R19" s="26"/>
      <c r="S19" s="27"/>
      <c r="T19" s="25"/>
      <c r="U19" s="26"/>
      <c r="V19" s="26"/>
      <c r="W19" s="26"/>
      <c r="X19" s="26"/>
      <c r="Y19" s="27"/>
      <c r="Z19" s="25">
        <v>0</v>
      </c>
      <c r="AA19" s="26">
        <v>0</v>
      </c>
      <c r="AB19" s="26">
        <v>0</v>
      </c>
      <c r="AC19" s="26">
        <v>0</v>
      </c>
      <c r="AD19" s="26">
        <v>-1</v>
      </c>
      <c r="AE19" s="27">
        <v>0</v>
      </c>
      <c r="AF19" s="26">
        <f t="shared" si="2"/>
        <v>0</v>
      </c>
      <c r="AG19" s="33" t="s">
        <v>65</v>
      </c>
      <c r="AH19" s="27">
        <v>-6000</v>
      </c>
    </row>
  </sheetData>
  <mergeCells count="3">
    <mergeCell ref="I8:I11"/>
    <mergeCell ref="I12:I15"/>
    <mergeCell ref="I16:I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5144-AAEF-43EC-981E-EB9116AF8342}">
  <dimension ref="A1:H8"/>
  <sheetViews>
    <sheetView workbookViewId="0">
      <selection activeCell="H26" sqref="H26"/>
    </sheetView>
  </sheetViews>
  <sheetFormatPr defaultRowHeight="13.5" x14ac:dyDescent="0.35"/>
  <cols>
    <col min="1" max="1" width="20.125" bestFit="1" customWidth="1"/>
    <col min="6" max="6" width="9.125" bestFit="1" customWidth="1"/>
    <col min="8" max="8" width="8" bestFit="1" customWidth="1"/>
  </cols>
  <sheetData>
    <row r="1" spans="1:8" x14ac:dyDescent="0.35">
      <c r="B1" t="s">
        <v>107</v>
      </c>
      <c r="C1" t="s">
        <v>108</v>
      </c>
      <c r="D1" t="s">
        <v>109</v>
      </c>
      <c r="E1" t="s">
        <v>110</v>
      </c>
    </row>
    <row r="2" spans="1:8" ht="13.9" thickBot="1" x14ac:dyDescent="0.4">
      <c r="A2" t="s">
        <v>105</v>
      </c>
      <c r="B2" s="39">
        <v>0</v>
      </c>
      <c r="C2" s="40">
        <v>438.78894251864858</v>
      </c>
      <c r="D2" s="40">
        <v>17.551557700745942</v>
      </c>
      <c r="E2" s="39">
        <v>0</v>
      </c>
    </row>
    <row r="3" spans="1:8" ht="13.9" thickBot="1" x14ac:dyDescent="0.4">
      <c r="A3" t="s">
        <v>106</v>
      </c>
      <c r="B3">
        <v>100</v>
      </c>
      <c r="C3">
        <v>199.9</v>
      </c>
      <c r="D3">
        <v>-5500</v>
      </c>
      <c r="E3">
        <v>-6100</v>
      </c>
      <c r="F3" s="41">
        <f>SUMPRODUCT($B$2:$E$2,B3:E3)</f>
        <v>-8819.6577446248266</v>
      </c>
    </row>
    <row r="4" spans="1:8" x14ac:dyDescent="0.35">
      <c r="A4" t="s">
        <v>111</v>
      </c>
      <c r="B4">
        <v>-0.01</v>
      </c>
      <c r="C4">
        <v>-0.02</v>
      </c>
      <c r="D4">
        <v>0.5</v>
      </c>
      <c r="E4">
        <v>0.6</v>
      </c>
      <c r="F4">
        <f t="shared" ref="F4:F8" si="0">SUMPRODUCT($B$2:$E$2,B4:E4)</f>
        <v>0</v>
      </c>
      <c r="G4" s="14" t="s">
        <v>116</v>
      </c>
      <c r="H4" s="38">
        <v>0</v>
      </c>
    </row>
    <row r="5" spans="1:8" x14ac:dyDescent="0.35">
      <c r="A5" t="s">
        <v>112</v>
      </c>
      <c r="B5">
        <v>1</v>
      </c>
      <c r="C5">
        <v>1</v>
      </c>
      <c r="D5">
        <v>0</v>
      </c>
      <c r="E5">
        <v>0</v>
      </c>
      <c r="F5">
        <f t="shared" si="0"/>
        <v>438.78894251864858</v>
      </c>
      <c r="G5" s="14" t="s">
        <v>116</v>
      </c>
      <c r="H5" s="38">
        <v>1000</v>
      </c>
    </row>
    <row r="6" spans="1:8" x14ac:dyDescent="0.35">
      <c r="A6" t="s">
        <v>113</v>
      </c>
      <c r="B6">
        <v>0</v>
      </c>
      <c r="C6">
        <v>0</v>
      </c>
      <c r="D6">
        <v>90</v>
      </c>
      <c r="E6">
        <v>100</v>
      </c>
      <c r="F6">
        <f t="shared" si="0"/>
        <v>1579.6401930671348</v>
      </c>
      <c r="G6" s="14" t="s">
        <v>116</v>
      </c>
      <c r="H6" s="38">
        <v>2000</v>
      </c>
    </row>
    <row r="7" spans="1:8" x14ac:dyDescent="0.35">
      <c r="A7" t="s">
        <v>114</v>
      </c>
      <c r="B7">
        <v>0</v>
      </c>
      <c r="C7">
        <v>0</v>
      </c>
      <c r="D7">
        <v>40</v>
      </c>
      <c r="E7">
        <v>50</v>
      </c>
      <c r="F7">
        <f t="shared" si="0"/>
        <v>702.06230802983771</v>
      </c>
      <c r="G7" s="14" t="s">
        <v>116</v>
      </c>
      <c r="H7" s="38">
        <v>800</v>
      </c>
    </row>
    <row r="8" spans="1:8" x14ac:dyDescent="0.35">
      <c r="A8" t="s">
        <v>115</v>
      </c>
      <c r="B8">
        <v>100</v>
      </c>
      <c r="C8">
        <v>199.9</v>
      </c>
      <c r="D8">
        <v>700</v>
      </c>
      <c r="E8">
        <v>800</v>
      </c>
      <c r="F8">
        <f t="shared" si="0"/>
        <v>100000.00000000001</v>
      </c>
      <c r="G8" s="14" t="s">
        <v>116</v>
      </c>
      <c r="H8" s="38">
        <v>100000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BF31-CF05-4B51-94D8-0713A85BA077}">
  <dimension ref="A1:H12"/>
  <sheetViews>
    <sheetView workbookViewId="0">
      <selection activeCell="O19" sqref="O19"/>
    </sheetView>
  </sheetViews>
  <sheetFormatPr defaultColWidth="8.875" defaultRowHeight="13.5" x14ac:dyDescent="0.35"/>
  <cols>
    <col min="1" max="1" width="20.125" bestFit="1" customWidth="1"/>
    <col min="6" max="6" width="12.5625" bestFit="1" customWidth="1"/>
    <col min="7" max="7" width="3" bestFit="1" customWidth="1"/>
    <col min="8" max="8" width="8" bestFit="1" customWidth="1"/>
  </cols>
  <sheetData>
    <row r="1" spans="1:8" x14ac:dyDescent="0.35">
      <c r="A1" t="s">
        <v>117</v>
      </c>
      <c r="B1">
        <v>-0.01</v>
      </c>
      <c r="C1">
        <v>-0.02</v>
      </c>
      <c r="D1">
        <v>0.5</v>
      </c>
      <c r="E1">
        <v>0.6</v>
      </c>
    </row>
    <row r="2" spans="1:8" x14ac:dyDescent="0.35">
      <c r="A2" t="s">
        <v>104</v>
      </c>
      <c r="B2">
        <v>5.0000000000000002E-5</v>
      </c>
      <c r="C2">
        <v>4.0000000000000002E-4</v>
      </c>
      <c r="D2">
        <v>0</v>
      </c>
      <c r="E2">
        <v>0</v>
      </c>
    </row>
    <row r="3" spans="1:8" x14ac:dyDescent="0.35">
      <c r="B3">
        <f>B2*B6</f>
        <v>4.1029374284684013E-2</v>
      </c>
      <c r="C3">
        <f t="shared" ref="C3:E3" si="0">C2*C6</f>
        <v>1.1430706479793832E-2</v>
      </c>
      <c r="D3">
        <f t="shared" si="0"/>
        <v>0</v>
      </c>
      <c r="E3">
        <f t="shared" si="0"/>
        <v>0</v>
      </c>
    </row>
    <row r="5" spans="1:8" x14ac:dyDescent="0.35">
      <c r="B5" t="s">
        <v>107</v>
      </c>
      <c r="C5" t="s">
        <v>108</v>
      </c>
      <c r="D5" t="s">
        <v>109</v>
      </c>
      <c r="E5" t="s">
        <v>110</v>
      </c>
    </row>
    <row r="6" spans="1:8" ht="13.9" thickBot="1" x14ac:dyDescent="0.4">
      <c r="A6" t="s">
        <v>105</v>
      </c>
      <c r="B6" s="39">
        <v>820.58748569368015</v>
      </c>
      <c r="C6" s="40">
        <v>28.576766199484577</v>
      </c>
      <c r="D6" s="40">
        <v>17.469651234835069</v>
      </c>
      <c r="E6" s="39">
        <v>0</v>
      </c>
    </row>
    <row r="7" spans="1:8" ht="13.9" thickBot="1" x14ac:dyDescent="0.4">
      <c r="A7" t="s">
        <v>106</v>
      </c>
      <c r="B7">
        <v>100</v>
      </c>
      <c r="C7">
        <v>199.9</v>
      </c>
      <c r="D7">
        <v>-5500</v>
      </c>
      <c r="E7">
        <v>-6100</v>
      </c>
      <c r="F7" s="42">
        <f>SUMPRODUCT($B$6:$E$6,B7:E7)</f>
        <v>-8311.8376589478867</v>
      </c>
      <c r="G7" s="13"/>
    </row>
    <row r="8" spans="1:8" x14ac:dyDescent="0.35">
      <c r="A8" t="s">
        <v>112</v>
      </c>
      <c r="B8">
        <v>1</v>
      </c>
      <c r="C8">
        <v>1</v>
      </c>
      <c r="D8">
        <v>0</v>
      </c>
      <c r="E8">
        <v>0</v>
      </c>
      <c r="F8" s="13">
        <f>SUMPRODUCT($B$6:$E$6,B8:E8)</f>
        <v>849.16425189316476</v>
      </c>
      <c r="G8" s="43" t="s">
        <v>116</v>
      </c>
      <c r="H8" s="38">
        <v>1000</v>
      </c>
    </row>
    <row r="9" spans="1:8" x14ac:dyDescent="0.35">
      <c r="A9" t="s">
        <v>113</v>
      </c>
      <c r="B9">
        <v>0</v>
      </c>
      <c r="C9">
        <v>0</v>
      </c>
      <c r="D9">
        <v>90</v>
      </c>
      <c r="E9">
        <v>100</v>
      </c>
      <c r="F9" s="13">
        <f>SUMPRODUCT($B$6:$E$6,B9:E9)</f>
        <v>1572.2686111351563</v>
      </c>
      <c r="G9" s="43" t="s">
        <v>116</v>
      </c>
      <c r="H9" s="38">
        <v>2000</v>
      </c>
    </row>
    <row r="10" spans="1:8" x14ac:dyDescent="0.35">
      <c r="A10" t="s">
        <v>114</v>
      </c>
      <c r="B10">
        <v>0</v>
      </c>
      <c r="C10">
        <v>0</v>
      </c>
      <c r="D10">
        <v>40</v>
      </c>
      <c r="E10">
        <v>50</v>
      </c>
      <c r="F10" s="13">
        <f>SUMPRODUCT($B$6:$E$6,B10:E10)</f>
        <v>698.78604939340278</v>
      </c>
      <c r="G10" s="43" t="s">
        <v>116</v>
      </c>
      <c r="H10" s="38">
        <v>800</v>
      </c>
    </row>
    <row r="11" spans="1:8" x14ac:dyDescent="0.35">
      <c r="A11" t="s">
        <v>115</v>
      </c>
      <c r="B11">
        <v>100</v>
      </c>
      <c r="C11">
        <v>199.9</v>
      </c>
      <c r="D11">
        <v>700</v>
      </c>
      <c r="E11">
        <v>800</v>
      </c>
      <c r="F11" s="13">
        <f>SUMPRODUCT($B$6:$E$6,B11:E11)</f>
        <v>99999.999997029547</v>
      </c>
      <c r="G11" s="43" t="s">
        <v>116</v>
      </c>
      <c r="H11" s="38">
        <v>100000</v>
      </c>
    </row>
    <row r="12" spans="1:8" x14ac:dyDescent="0.35">
      <c r="A12" t="s">
        <v>118</v>
      </c>
      <c r="F12" s="44">
        <f>SUMPRODUCT(B6:E6,B1:E1)+SQRT(SUMSQ(B3:E3))</f>
        <v>7.3442297176817828E-6</v>
      </c>
      <c r="G12" s="45" t="s">
        <v>116</v>
      </c>
      <c r="H12" s="3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C5E6-48EB-470A-826D-E40B341C7C76}">
  <dimension ref="A1:J17"/>
  <sheetViews>
    <sheetView workbookViewId="0">
      <selection activeCell="O10" sqref="O10"/>
    </sheetView>
  </sheetViews>
  <sheetFormatPr defaultRowHeight="13.5" x14ac:dyDescent="0.35"/>
  <cols>
    <col min="1" max="1" width="4.875" bestFit="1" customWidth="1"/>
    <col min="2" max="2" width="15.5625" bestFit="1" customWidth="1"/>
    <col min="3" max="3" width="13.4375" bestFit="1" customWidth="1"/>
    <col min="5" max="5" width="4.5625" customWidth="1"/>
    <col min="8" max="8" width="7.875" customWidth="1"/>
  </cols>
  <sheetData>
    <row r="1" spans="1:10" x14ac:dyDescent="0.35">
      <c r="A1" t="s">
        <v>180</v>
      </c>
      <c r="B1" t="s">
        <v>181</v>
      </c>
      <c r="C1" t="s">
        <v>182</v>
      </c>
      <c r="D1" t="s">
        <v>86</v>
      </c>
      <c r="F1" s="11" t="s">
        <v>176</v>
      </c>
      <c r="G1" t="s">
        <v>177</v>
      </c>
      <c r="I1" s="11" t="s">
        <v>176</v>
      </c>
      <c r="J1" s="11" t="s">
        <v>178</v>
      </c>
    </row>
    <row r="2" spans="1:10" x14ac:dyDescent="0.35">
      <c r="A2">
        <v>1</v>
      </c>
      <c r="B2">
        <f>F2</f>
        <v>400</v>
      </c>
      <c r="C2">
        <f>$I$2</f>
        <v>600</v>
      </c>
      <c r="D2" s="80">
        <f t="shared" ref="D2:D16" si="0">VLOOKUP(B2,$F$2:$G$6,2,FALSE)*VLOOKUP(C2,$I$2:$J$4,2,FALSE)</f>
        <v>1.6500000000000001E-2</v>
      </c>
      <c r="F2" s="11">
        <v>400</v>
      </c>
      <c r="G2">
        <v>0.05</v>
      </c>
      <c r="I2" s="11">
        <v>600</v>
      </c>
      <c r="J2" s="11">
        <v>0.33</v>
      </c>
    </row>
    <row r="3" spans="1:10" x14ac:dyDescent="0.35">
      <c r="A3">
        <v>2</v>
      </c>
      <c r="B3">
        <f>F3</f>
        <v>500</v>
      </c>
      <c r="C3">
        <f>$I$2</f>
        <v>600</v>
      </c>
      <c r="D3" s="80">
        <f t="shared" si="0"/>
        <v>6.6000000000000003E-2</v>
      </c>
      <c r="F3" s="11">
        <v>500</v>
      </c>
      <c r="G3">
        <v>0.2</v>
      </c>
      <c r="I3" s="11">
        <v>1200</v>
      </c>
      <c r="J3" s="11">
        <v>0.34</v>
      </c>
    </row>
    <row r="4" spans="1:10" x14ac:dyDescent="0.35">
      <c r="A4">
        <v>3</v>
      </c>
      <c r="B4">
        <f>F4</f>
        <v>600</v>
      </c>
      <c r="C4">
        <f>$I$2</f>
        <v>600</v>
      </c>
      <c r="D4" s="80">
        <f t="shared" si="0"/>
        <v>6.6000000000000003E-2</v>
      </c>
      <c r="F4" s="11">
        <v>600</v>
      </c>
      <c r="G4">
        <v>0.2</v>
      </c>
      <c r="I4" s="11">
        <v>1800</v>
      </c>
      <c r="J4" s="11">
        <v>0.33</v>
      </c>
    </row>
    <row r="5" spans="1:10" x14ac:dyDescent="0.35">
      <c r="A5">
        <v>4</v>
      </c>
      <c r="B5">
        <f>F5</f>
        <v>700</v>
      </c>
      <c r="C5">
        <f>$I$2</f>
        <v>600</v>
      </c>
      <c r="D5" s="80">
        <f t="shared" si="0"/>
        <v>8.2500000000000004E-2</v>
      </c>
      <c r="F5" s="11">
        <v>700</v>
      </c>
      <c r="G5">
        <v>0.25</v>
      </c>
      <c r="I5" s="11" t="s">
        <v>179</v>
      </c>
      <c r="J5" s="11">
        <f>SUM(J2:J4)</f>
        <v>1</v>
      </c>
    </row>
    <row r="6" spans="1:10" x14ac:dyDescent="0.35">
      <c r="A6">
        <v>5</v>
      </c>
      <c r="B6">
        <f>F6</f>
        <v>1000</v>
      </c>
      <c r="C6">
        <f>$I$2</f>
        <v>600</v>
      </c>
      <c r="D6" s="80">
        <f t="shared" si="0"/>
        <v>9.9000000000000005E-2</v>
      </c>
      <c r="F6" s="11">
        <v>1000</v>
      </c>
      <c r="G6">
        <v>0.3</v>
      </c>
    </row>
    <row r="7" spans="1:10" x14ac:dyDescent="0.35">
      <c r="A7">
        <v>6</v>
      </c>
      <c r="B7">
        <f>F2</f>
        <v>400</v>
      </c>
      <c r="C7">
        <f>$I$3</f>
        <v>1200</v>
      </c>
      <c r="D7" s="80">
        <f t="shared" si="0"/>
        <v>1.7000000000000001E-2</v>
      </c>
      <c r="F7" s="11" t="s">
        <v>179</v>
      </c>
      <c r="G7">
        <f>SUM(G2:G6)</f>
        <v>1</v>
      </c>
    </row>
    <row r="8" spans="1:10" x14ac:dyDescent="0.35">
      <c r="A8">
        <v>7</v>
      </c>
      <c r="B8">
        <f t="shared" ref="B8:B11" si="1">F3</f>
        <v>500</v>
      </c>
      <c r="C8">
        <f>$I$3</f>
        <v>1200</v>
      </c>
      <c r="D8" s="80">
        <f t="shared" si="0"/>
        <v>6.8000000000000005E-2</v>
      </c>
    </row>
    <row r="9" spans="1:10" x14ac:dyDescent="0.35">
      <c r="A9">
        <v>8</v>
      </c>
      <c r="B9">
        <f t="shared" si="1"/>
        <v>600</v>
      </c>
      <c r="C9">
        <f>$I$3</f>
        <v>1200</v>
      </c>
      <c r="D9" s="80">
        <f t="shared" si="0"/>
        <v>6.8000000000000005E-2</v>
      </c>
    </row>
    <row r="10" spans="1:10" x14ac:dyDescent="0.35">
      <c r="A10">
        <v>9</v>
      </c>
      <c r="B10">
        <f t="shared" si="1"/>
        <v>700</v>
      </c>
      <c r="C10">
        <f>$I$3</f>
        <v>1200</v>
      </c>
      <c r="D10" s="80">
        <f t="shared" si="0"/>
        <v>8.5000000000000006E-2</v>
      </c>
    </row>
    <row r="11" spans="1:10" x14ac:dyDescent="0.35">
      <c r="A11">
        <v>10</v>
      </c>
      <c r="B11">
        <f t="shared" si="1"/>
        <v>1000</v>
      </c>
      <c r="C11">
        <f>$I$3</f>
        <v>1200</v>
      </c>
      <c r="D11" s="80">
        <f t="shared" si="0"/>
        <v>0.10200000000000001</v>
      </c>
    </row>
    <row r="12" spans="1:10" x14ac:dyDescent="0.35">
      <c r="A12">
        <v>11</v>
      </c>
      <c r="B12">
        <f>F2</f>
        <v>400</v>
      </c>
      <c r="C12">
        <f>$I$4</f>
        <v>1800</v>
      </c>
      <c r="D12" s="80">
        <f t="shared" si="0"/>
        <v>1.6500000000000001E-2</v>
      </c>
    </row>
    <row r="13" spans="1:10" x14ac:dyDescent="0.35">
      <c r="A13">
        <v>12</v>
      </c>
      <c r="B13">
        <f t="shared" ref="B13:B16" si="2">F3</f>
        <v>500</v>
      </c>
      <c r="C13">
        <f>$I$4</f>
        <v>1800</v>
      </c>
      <c r="D13" s="80">
        <f t="shared" si="0"/>
        <v>6.6000000000000003E-2</v>
      </c>
    </row>
    <row r="14" spans="1:10" x14ac:dyDescent="0.35">
      <c r="A14">
        <v>13</v>
      </c>
      <c r="B14">
        <f t="shared" si="2"/>
        <v>600</v>
      </c>
      <c r="C14">
        <f>$I$4</f>
        <v>1800</v>
      </c>
      <c r="D14" s="80">
        <f t="shared" si="0"/>
        <v>6.6000000000000003E-2</v>
      </c>
    </row>
    <row r="15" spans="1:10" x14ac:dyDescent="0.35">
      <c r="A15">
        <v>14</v>
      </c>
      <c r="B15">
        <f t="shared" si="2"/>
        <v>700</v>
      </c>
      <c r="C15">
        <f>$I$4</f>
        <v>1800</v>
      </c>
      <c r="D15" s="80">
        <f t="shared" si="0"/>
        <v>8.2500000000000004E-2</v>
      </c>
    </row>
    <row r="16" spans="1:10" x14ac:dyDescent="0.35">
      <c r="A16">
        <v>15</v>
      </c>
      <c r="B16">
        <f t="shared" si="2"/>
        <v>1000</v>
      </c>
      <c r="C16">
        <f>$I$4</f>
        <v>1800</v>
      </c>
      <c r="D16" s="80">
        <f t="shared" si="0"/>
        <v>9.9000000000000005E-2</v>
      </c>
    </row>
    <row r="17" spans="1:4" x14ac:dyDescent="0.35">
      <c r="A17" t="s">
        <v>179</v>
      </c>
      <c r="D17" s="80">
        <f>SUM(D2:D16)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21A9346877C94FBE0D2EF98A54C8DF" ma:contentTypeVersion="3" ma:contentTypeDescription="Create a new document." ma:contentTypeScope="" ma:versionID="b9d30dfdbb3c728c42ac273b0b267a13">
  <xsd:schema xmlns:xsd="http://www.w3.org/2001/XMLSchema" xmlns:xs="http://www.w3.org/2001/XMLSchema" xmlns:p="http://schemas.microsoft.com/office/2006/metadata/properties" xmlns:ns2="0f411969-aaa6-47b2-a14e-e9510c0df77f" targetNamespace="http://schemas.microsoft.com/office/2006/metadata/properties" ma:root="true" ma:fieldsID="ca649492ee4635bde6ac1a281be3e98b" ns2:_="">
    <xsd:import namespace="0f411969-aaa6-47b2-a14e-e9510c0df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11969-aaa6-47b2-a14e-e9510c0df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71329D-8B35-4081-B86A-5ED8B1A94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411969-aaa6-47b2-a14e-e9510c0df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99BA0A-D035-4121-AEC6-666388DF03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45A6F27-BBFE-48F3-BE55-9FF8155F59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Variability</vt:lpstr>
      <vt:lpstr>Normal</vt:lpstr>
      <vt:lpstr>LinearComb</vt:lpstr>
      <vt:lpstr>portfolio</vt:lpstr>
      <vt:lpstr>chanceCon</vt:lpstr>
      <vt:lpstr>goferbroke</vt:lpstr>
      <vt:lpstr>EMV</vt:lpstr>
      <vt:lpstr>Lottery</vt:lpstr>
      <vt:lpstr>NewProduct</vt:lpstr>
      <vt:lpstr>NewProductUtil</vt:lpstr>
      <vt:lpstr>farmer0</vt:lpstr>
      <vt:lpstr>farmerSP</vt:lpstr>
      <vt:lpstr>Drug</vt:lpstr>
      <vt:lpstr>DrugBall</vt:lpstr>
      <vt:lpstr>2prod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Pannatorn Janpitak</cp:lastModifiedBy>
  <dcterms:created xsi:type="dcterms:W3CDTF">2021-10-19T02:38:52Z</dcterms:created>
  <dcterms:modified xsi:type="dcterms:W3CDTF">2026-10-04T11:04:53Z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0x0101005D21A9346877C94FBE0D2EF98A54C8DF</vt:lpwstr>
  </property>
</Properties>
</file>