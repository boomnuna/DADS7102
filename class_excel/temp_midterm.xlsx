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0FEA6F27-3E5F-450A-B189-D5E460E65C37}" xr6:coauthVersionLast="47" xr6:coauthVersionMax="47" xr10:uidLastSave="{00000000-0000-0000-0000-000000000000}"/>
  <bookViews>
    <workbookView xWindow="-120" yWindow="-120" windowWidth="29040" windowHeight="15840" activeTab="2" xr2:uid="{962D6ACA-47B2-4C7E-82D5-0F5476EE75BF}"/>
  </bookViews>
  <sheets>
    <sheet name="lesson_1_Sensitivity Report" sheetId="3" r:id="rId1"/>
    <sheet name="lesson_1" sheetId="1" r:id="rId2"/>
    <sheet name="lesson_2" sheetId="4" r:id="rId3"/>
  </sheets>
  <definedNames>
    <definedName name="solver_adj" localSheetId="1" hidden="1">lesson_1!$L$2:$N$2</definedName>
    <definedName name="solver_adj" localSheetId="2" hidden="1">lesson_2!$B$2:$I$3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2</definedName>
    <definedName name="solver_eng" localSheetId="2" hidden="1">2</definedName>
    <definedName name="solver_est" localSheetId="1" hidden="1">1</definedName>
    <definedName name="solver_est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lesson_1!$B$3:$B$5</definedName>
    <definedName name="solver_lhs1" localSheetId="2" hidden="1">lesson_2!$B$4:$I$4</definedName>
    <definedName name="solver_lhs2" localSheetId="1" hidden="1">lesson_1!$B$8:$B$9</definedName>
    <definedName name="solver_lhs2" localSheetId="2" hidden="1">lesson_2!$O$2:$O$4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1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2</definedName>
    <definedName name="solver_num" localSheetId="2" hidden="1">2</definedName>
    <definedName name="solver_nwt" localSheetId="1" hidden="1">1</definedName>
    <definedName name="solver_nwt" localSheetId="2" hidden="1">1</definedName>
    <definedName name="solver_opt" localSheetId="1" hidden="1">lesson_1!$B$17</definedName>
    <definedName name="solver_opt" localSheetId="2" hidden="1">lesson_2!$J$22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1</definedName>
    <definedName name="solver_rel1" localSheetId="2" hidden="1">1</definedName>
    <definedName name="solver_rel2" localSheetId="1" hidden="1">1</definedName>
    <definedName name="solver_rel2" localSheetId="2" hidden="1">1</definedName>
    <definedName name="solver_rhs1" localSheetId="1" hidden="1">lesson_1!$D$3:$D$5</definedName>
    <definedName name="solver_rhs1" localSheetId="2" hidden="1">lesson_2!$B$6:$I$6</definedName>
    <definedName name="solver_rhs2" localSheetId="1" hidden="1">lesson_1!$D$8:$D$9</definedName>
    <definedName name="solver_rhs2" localSheetId="2" hidden="1">lesson_2!$Q$2:$Q$4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1</definedName>
    <definedName name="solver_typ" localSheetId="2" hidden="1">1</definedName>
    <definedName name="solver_val" localSheetId="1" hidden="1">0</definedName>
    <definedName name="solver_val" localSheetId="2" hidden="1">0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4" l="1"/>
  <c r="O3" i="4"/>
  <c r="O2" i="4"/>
  <c r="J22" i="4"/>
  <c r="C22" i="4"/>
  <c r="D22" i="4"/>
  <c r="E22" i="4"/>
  <c r="F22" i="4"/>
  <c r="G22" i="4"/>
  <c r="H22" i="4"/>
  <c r="I22" i="4"/>
  <c r="B22" i="4"/>
  <c r="I4" i="4"/>
  <c r="C4" i="4"/>
  <c r="D4" i="4"/>
  <c r="E4" i="4"/>
  <c r="F4" i="4"/>
  <c r="G4" i="4"/>
  <c r="H4" i="4"/>
  <c r="B4" i="4"/>
  <c r="C17" i="4"/>
  <c r="D17" i="4"/>
  <c r="E17" i="4"/>
  <c r="F17" i="4"/>
  <c r="G17" i="4"/>
  <c r="H17" i="4"/>
  <c r="I17" i="4"/>
  <c r="B17" i="4"/>
  <c r="C16" i="4"/>
  <c r="D16" i="4"/>
  <c r="E16" i="4"/>
  <c r="F16" i="4"/>
  <c r="G16" i="4"/>
  <c r="H16" i="4"/>
  <c r="I16" i="4"/>
  <c r="B16" i="4"/>
  <c r="I15" i="4"/>
  <c r="C15" i="4"/>
  <c r="D15" i="4"/>
  <c r="E15" i="4"/>
  <c r="F15" i="4"/>
  <c r="G15" i="4"/>
  <c r="H15" i="4"/>
  <c r="H20" i="4" s="1"/>
  <c r="B15" i="4"/>
  <c r="C20" i="4" l="1"/>
  <c r="D20" i="4"/>
  <c r="B20" i="4"/>
  <c r="G19" i="4"/>
  <c r="I19" i="4"/>
  <c r="I20" i="4"/>
  <c r="E19" i="4"/>
  <c r="B19" i="4"/>
  <c r="C19" i="4"/>
  <c r="H19" i="4"/>
  <c r="F20" i="4"/>
  <c r="D19" i="4"/>
  <c r="G20" i="4"/>
  <c r="E20" i="4"/>
  <c r="F19" i="4"/>
  <c r="B9" i="1" l="1"/>
  <c r="B16" i="1" s="1"/>
  <c r="B8" i="1"/>
  <c r="B15" i="1" s="1"/>
  <c r="B14" i="1"/>
  <c r="B13" i="1"/>
  <c r="B3" i="1"/>
  <c r="B5" i="1"/>
  <c r="B4" i="1"/>
  <c r="B17" i="1" l="1"/>
</calcChain>
</file>

<file path=xl/sharedStrings.xml><?xml version="1.0" encoding="utf-8"?>
<sst xmlns="http://schemas.openxmlformats.org/spreadsheetml/2006/main" count="111" uniqueCount="76">
  <si>
    <t xml:space="preserve">basic </t>
  </si>
  <si>
    <t>xp</t>
  </si>
  <si>
    <t>&lt;=</t>
  </si>
  <si>
    <t>price</t>
  </si>
  <si>
    <t xml:space="preserve">cost </t>
  </si>
  <si>
    <t>total sell basic</t>
  </si>
  <si>
    <t>total sell xp</t>
  </si>
  <si>
    <t>assembly</t>
  </si>
  <si>
    <t xml:space="preserve">testing </t>
  </si>
  <si>
    <t>labor price</t>
  </si>
  <si>
    <t>labor test</t>
  </si>
  <si>
    <t xml:space="preserve">total sell </t>
  </si>
  <si>
    <t xml:space="preserve">total profit </t>
  </si>
  <si>
    <t xml:space="preserve">component cost </t>
  </si>
  <si>
    <t xml:space="preserve">assembly cost </t>
  </si>
  <si>
    <t>labor cost</t>
  </si>
  <si>
    <t>Microsoft Excel 16.0 Sensitivity Report</t>
  </si>
  <si>
    <t>Worksheet: [Book1]test</t>
  </si>
  <si>
    <t>Variable Cells</t>
  </si>
  <si>
    <t>Cell</t>
  </si>
  <si>
    <t>Name</t>
  </si>
  <si>
    <t>Final</t>
  </si>
  <si>
    <t>Value</t>
  </si>
  <si>
    <t>Reduced</t>
  </si>
  <si>
    <t>Cost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</si>
  <si>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</si>
  <si>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</si>
  <si>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</si>
  <si>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</si>
  <si>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</si>
  <si>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</si>
  <si>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</si>
  <si>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</si>
  <si>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</si>
  <si>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</si>
  <si>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 xml:space="preserve">price basic </t>
  </si>
  <si>
    <t>$L$2</t>
  </si>
  <si>
    <t>price xp</t>
  </si>
  <si>
    <t>$B$3</t>
  </si>
  <si>
    <t>$B$4</t>
  </si>
  <si>
    <t>$B$8</t>
  </si>
  <si>
    <t>vxp</t>
  </si>
  <si>
    <t>total sell vxp</t>
  </si>
  <si>
    <t>Report Created: 9/16/2026 9:20:31 PM</t>
  </si>
  <si>
    <t>$M$2</t>
  </si>
  <si>
    <t>$N$2</t>
  </si>
  <si>
    <t>price vxp</t>
  </si>
  <si>
    <t>$B$5</t>
  </si>
  <si>
    <t>$B$9</t>
  </si>
  <si>
    <t>model_1</t>
  </si>
  <si>
    <t>model_2</t>
  </si>
  <si>
    <t>model_3</t>
  </si>
  <si>
    <t>model_4</t>
  </si>
  <si>
    <t>model_5</t>
  </si>
  <si>
    <t>model_6</t>
  </si>
  <si>
    <t>model_7</t>
  </si>
  <si>
    <t>model_8</t>
  </si>
  <si>
    <t>line_1</t>
  </si>
  <si>
    <t>line_2</t>
  </si>
  <si>
    <t>component</t>
  </si>
  <si>
    <t>sell</t>
  </si>
  <si>
    <t>margin_line_1</t>
  </si>
  <si>
    <t>margin_line_2</t>
  </si>
  <si>
    <t>cost_assembly</t>
  </si>
  <si>
    <t>cost_line_1</t>
  </si>
  <si>
    <t>cost_line_2</t>
  </si>
  <si>
    <t>total_ cost_assembly</t>
  </si>
  <si>
    <t>total_cost_line_1</t>
  </si>
  <si>
    <t>total_cost_line_2</t>
  </si>
  <si>
    <t>profit</t>
  </si>
  <si>
    <t>total</t>
  </si>
  <si>
    <t>total_assembly</t>
  </si>
  <si>
    <t>labor_line_1</t>
  </si>
  <si>
    <t>labor_line_2</t>
  </si>
  <si>
    <t>total_labor_line_1</t>
  </si>
  <si>
    <t>total_labor_line_2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</si>
</sst>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6" borderId="0" xfId="0" applyFill="1"/>
    <xf numFmtId="0" fontId="0" fillId="2" borderId="5" xfId="0" applyFill="1" applyBorder="1"/>
    <xf numFmtId="0" fontId="0" fillId="0" borderId="0" xfId="0" applyFill="1" applyBorder="1"/>
    <xf numFmtId="0" fontId="0" fillId="0" borderId="0" xfId="0" applyFill="1" applyBorder="1" applyAlignment="1">
      <alignment horizontal="right"/>
    </xf>
    <xf numFmtId="0" fontId="0" fillId="7" borderId="0" xfId="0" applyFill="1"/>
    <xf numFmtId="0" fontId="0" fillId="0" borderId="0" xfId="0" applyAlignment="1">
      <alignment horizontal="right"/>
    </xf>
    <xf numFmtId="0" fontId="0" fillId="4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001DE-7190-469F-9DBD-4F1AFA2CF644}">
  <dimension ref="A1:H20"/>
  <sheetViews>
    <sheetView showGridLines="0" workbookViewId="0">
      <selection activeCell="E37" sqref="E37"/>
    </sheetView>
  </sheetViews>
  <sheetFormatPr defaultRowHeight="15" x14ac:dyDescent="0.25"/>
  <cols>
    <col min="1" max="1" width="2.28515625" customWidth="1"/>
    <col min="2" max="2" width="5.7109375" bestFit="1" customWidth="1"/>
    <col min="3" max="3" width="13.7109375" bestFit="1" customWidth="1"/>
    <col min="4" max="5" width="12" bestFit="1" customWidth="1"/>
    <col min="6" max="6" width="10.85546875" bestFit="1" customWidth="1"/>
    <col min="7" max="7" width="10" bestFit="1" customWidth="1"/>
    <col min="8" max="8" width="12" bestFit="1" customWidth="1"/>
  </cols>
  <sheetData>
    <row r="1" spans="1:8" x14ac:dyDescent="0.25">
      <c r="A1" s="5" t="s">
        <v>16</v>
      </c>
    </row>
    <row r="2" spans="1:8" x14ac:dyDescent="0.25">
      <c r="A2" s="5" t="s">
        <v>17</v>
      </c>
    </row>
    <row r="3" spans="1:8" x14ac:dyDescent="0.25">
      <c r="A3" s="5" t="s">
        <v>43</v>
      </c>
    </row>
    <row r="6" spans="1:8" ht="15.75" thickBot="1" x14ac:dyDescent="0.3">
      <c r="A6" t="s">
        <v>18</v>
      </c>
    </row>
    <row r="7" spans="1:8" x14ac:dyDescent="0.25">
      <c r="B7" s="8"/>
      <c r="C7" s="8"/>
      <c r="D7" s="8" t="s">
        <v>21</v>
      </c>
      <c r="E7" s="8" t="s">
        <v>23</v>
      </c>
      <c r="F7" s="8" t="s">
        <v>25</v>
      </c>
      <c r="G7" s="8" t="s">
        <v>27</v>
      </c>
      <c r="H7" s="8" t="s">
        <v>27</v>
      </c>
    </row>
    <row r="8" spans="1:8" ht="15.75" thickBot="1" x14ac:dyDescent="0.3">
      <c r="B8" s="9" t="s">
        <v>19</v>
      </c>
      <c r="C8" s="9" t="s">
        <v>20</v>
      </c>
      <c r="D8" s="9" t="s">
        <v>22</v>
      </c>
      <c r="E8" s="9" t="s">
        <v>24</v>
      </c>
      <c r="F8" s="9" t="s">
        <v>26</v>
      </c>
      <c r="G8" s="9" t="s">
        <v>28</v>
      </c>
      <c r="H8" s="9" t="s">
        <v>29</v>
      </c>
    </row>
    <row r="9" spans="1:8" x14ac:dyDescent="0.25">
      <c r="B9" s="6" t="s">
        <v>36</v>
      </c>
      <c r="C9" s="6" t="s">
        <v>35</v>
      </c>
      <c r="D9" s="6">
        <v>514.28571428571422</v>
      </c>
      <c r="E9" s="6">
        <v>0</v>
      </c>
      <c r="F9" s="6">
        <v>80</v>
      </c>
      <c r="G9" s="6">
        <v>15.000000000000016</v>
      </c>
      <c r="H9" s="6">
        <v>29.333333333333336</v>
      </c>
    </row>
    <row r="10" spans="1:8" x14ac:dyDescent="0.25">
      <c r="B10" s="6" t="s">
        <v>44</v>
      </c>
      <c r="C10" s="6" t="s">
        <v>37</v>
      </c>
      <c r="D10" s="6">
        <v>1200</v>
      </c>
      <c r="E10" s="6">
        <v>0</v>
      </c>
      <c r="F10" s="6">
        <v>129</v>
      </c>
      <c r="G10" s="6">
        <v>1E+30</v>
      </c>
      <c r="H10" s="6">
        <v>19.285714285714285</v>
      </c>
    </row>
    <row r="11" spans="1:8" ht="15.75" thickBot="1" x14ac:dyDescent="0.3">
      <c r="B11" s="7" t="s">
        <v>45</v>
      </c>
      <c r="C11" s="7" t="s">
        <v>46</v>
      </c>
      <c r="D11" s="7">
        <v>28.571428571428573</v>
      </c>
      <c r="E11" s="7">
        <v>0</v>
      </c>
      <c r="F11" s="7">
        <v>152</v>
      </c>
      <c r="G11" s="7">
        <v>33.75</v>
      </c>
      <c r="H11" s="7">
        <v>24.000000000000018</v>
      </c>
    </row>
    <row r="13" spans="1:8" ht="15.75" thickBot="1" x14ac:dyDescent="0.3">
      <c r="A13" t="s">
        <v>30</v>
      </c>
    </row>
    <row r="14" spans="1:8" x14ac:dyDescent="0.25">
      <c r="B14" s="8"/>
      <c r="C14" s="8"/>
      <c r="D14" s="8" t="s">
        <v>21</v>
      </c>
      <c r="E14" s="8" t="s">
        <v>31</v>
      </c>
      <c r="F14" s="8" t="s">
        <v>33</v>
      </c>
      <c r="G14" s="8" t="s">
        <v>27</v>
      </c>
      <c r="H14" s="8" t="s">
        <v>27</v>
      </c>
    </row>
    <row r="15" spans="1:8" ht="15.75" thickBot="1" x14ac:dyDescent="0.3">
      <c r="B15" s="9" t="s">
        <v>19</v>
      </c>
      <c r="C15" s="9" t="s">
        <v>20</v>
      </c>
      <c r="D15" s="9" t="s">
        <v>22</v>
      </c>
      <c r="E15" s="9" t="s">
        <v>32</v>
      </c>
      <c r="F15" s="9" t="s">
        <v>34</v>
      </c>
      <c r="G15" s="9" t="s">
        <v>28</v>
      </c>
      <c r="H15" s="9" t="s">
        <v>29</v>
      </c>
    </row>
    <row r="16" spans="1:8" x14ac:dyDescent="0.25">
      <c r="B16" s="6" t="s">
        <v>38</v>
      </c>
      <c r="C16" s="6" t="s">
        <v>5</v>
      </c>
      <c r="D16" s="6">
        <v>514.28571428571422</v>
      </c>
      <c r="E16" s="6">
        <v>0</v>
      </c>
      <c r="F16" s="6">
        <v>600</v>
      </c>
      <c r="G16" s="6">
        <v>1E+30</v>
      </c>
      <c r="H16" s="6">
        <v>85.714285714285722</v>
      </c>
    </row>
    <row r="17" spans="2:8" x14ac:dyDescent="0.25">
      <c r="B17" s="6" t="s">
        <v>39</v>
      </c>
      <c r="C17" s="6" t="s">
        <v>6</v>
      </c>
      <c r="D17" s="6">
        <v>1200</v>
      </c>
      <c r="E17" s="6">
        <v>19.285714285714285</v>
      </c>
      <c r="F17" s="6">
        <v>1200</v>
      </c>
      <c r="G17" s="6">
        <v>50.000000000000007</v>
      </c>
      <c r="H17" s="6">
        <v>37.5</v>
      </c>
    </row>
    <row r="18" spans="2:8" x14ac:dyDescent="0.25">
      <c r="B18" s="6" t="s">
        <v>47</v>
      </c>
      <c r="C18" s="6" t="s">
        <v>42</v>
      </c>
      <c r="D18" s="6">
        <v>28.571428571428573</v>
      </c>
      <c r="E18" s="6">
        <v>0</v>
      </c>
      <c r="F18" s="6">
        <v>50</v>
      </c>
      <c r="G18" s="6">
        <v>1E+30</v>
      </c>
      <c r="H18" s="6">
        <v>21.428571428571427</v>
      </c>
    </row>
    <row r="19" spans="2:8" x14ac:dyDescent="0.25">
      <c r="B19" s="6" t="s">
        <v>40</v>
      </c>
      <c r="C19" s="6" t="s">
        <v>7</v>
      </c>
      <c r="D19" s="6">
        <v>10000</v>
      </c>
      <c r="E19" s="6">
        <v>12.571428571428571</v>
      </c>
      <c r="F19" s="6">
        <v>10000</v>
      </c>
      <c r="G19" s="6">
        <v>200.00000000000003</v>
      </c>
      <c r="H19" s="6">
        <v>150</v>
      </c>
    </row>
    <row r="20" spans="2:8" ht="15.75" thickBot="1" x14ac:dyDescent="0.3">
      <c r="B20" s="7" t="s">
        <v>48</v>
      </c>
      <c r="C20" s="7" t="s">
        <v>8</v>
      </c>
      <c r="D20" s="7">
        <v>3000</v>
      </c>
      <c r="E20" s="7">
        <v>17.142857142857153</v>
      </c>
      <c r="F20" s="7">
        <v>3000</v>
      </c>
      <c r="G20" s="7">
        <v>30.000000000000004</v>
      </c>
      <c r="H20" s="7">
        <v>40.000000000000007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4809-11C3-4C28-A777-28C2126910BA}">
  <dimension ref="A1:N18"/>
  <sheetViews>
    <sheetView workbookViewId="0">
      <selection activeCell="E13" sqref="E13"/>
    </sheetView>
  </sheetViews>
  <sheetFormatPr defaultRowHeight="15" x14ac:dyDescent="0.25"/>
  <cols>
    <col min="1" max="1" width="13.7109375" bestFit="1" customWidth="1"/>
    <col min="2" max="2" width="8.42578125" bestFit="1" customWidth="1"/>
  </cols>
  <sheetData>
    <row r="1" spans="1:14" x14ac:dyDescent="0.25">
      <c r="H1" t="s">
        <v>0</v>
      </c>
      <c r="I1" t="s">
        <v>1</v>
      </c>
      <c r="J1" t="s">
        <v>41</v>
      </c>
      <c r="L1" t="s">
        <v>0</v>
      </c>
      <c r="M1" t="s">
        <v>1</v>
      </c>
      <c r="N1" t="s">
        <v>41</v>
      </c>
    </row>
    <row r="2" spans="1:14" x14ac:dyDescent="0.25">
      <c r="G2" t="s">
        <v>3</v>
      </c>
      <c r="H2">
        <v>316</v>
      </c>
      <c r="I2">
        <v>450</v>
      </c>
      <c r="J2">
        <v>560</v>
      </c>
      <c r="L2" s="1">
        <v>514.28571428571422</v>
      </c>
      <c r="M2" s="1">
        <v>1200</v>
      </c>
      <c r="N2" s="10">
        <v>28.571428571428573</v>
      </c>
    </row>
    <row r="3" spans="1:14" x14ac:dyDescent="0.25">
      <c r="A3" t="s">
        <v>5</v>
      </c>
      <c r="B3" s="4">
        <f>$L$2</f>
        <v>514.28571428571422</v>
      </c>
      <c r="C3" t="s">
        <v>2</v>
      </c>
      <c r="D3" s="3">
        <v>600</v>
      </c>
      <c r="G3" t="s">
        <v>4</v>
      </c>
      <c r="H3">
        <v>150</v>
      </c>
      <c r="I3">
        <v>225</v>
      </c>
      <c r="J3">
        <v>275</v>
      </c>
      <c r="L3">
        <v>514.28571428571422</v>
      </c>
      <c r="M3">
        <v>1200</v>
      </c>
      <c r="N3">
        <v>28.571428571428573</v>
      </c>
    </row>
    <row r="4" spans="1:14" x14ac:dyDescent="0.25">
      <c r="A4" t="s">
        <v>6</v>
      </c>
      <c r="B4" s="4">
        <f>$M$2</f>
        <v>1200</v>
      </c>
      <c r="C4" t="s">
        <v>2</v>
      </c>
      <c r="D4" s="3">
        <v>1200</v>
      </c>
      <c r="G4" t="s">
        <v>7</v>
      </c>
      <c r="H4">
        <v>5</v>
      </c>
      <c r="I4">
        <v>6</v>
      </c>
      <c r="J4">
        <v>8</v>
      </c>
    </row>
    <row r="5" spans="1:14" x14ac:dyDescent="0.25">
      <c r="A5" t="s">
        <v>42</v>
      </c>
      <c r="B5" s="4">
        <f>$N$2</f>
        <v>28.571428571428573</v>
      </c>
      <c r="C5" t="s">
        <v>2</v>
      </c>
      <c r="D5" s="3">
        <v>50</v>
      </c>
      <c r="G5" t="s">
        <v>8</v>
      </c>
      <c r="H5">
        <v>1</v>
      </c>
      <c r="I5">
        <v>2</v>
      </c>
      <c r="J5">
        <v>3</v>
      </c>
    </row>
    <row r="8" spans="1:14" x14ac:dyDescent="0.25">
      <c r="A8" t="s">
        <v>7</v>
      </c>
      <c r="B8" s="4">
        <f>SUMPRODUCT(H4:J4,L2:N2)</f>
        <v>10000</v>
      </c>
      <c r="C8" t="s">
        <v>2</v>
      </c>
      <c r="D8" s="3">
        <v>10000</v>
      </c>
      <c r="G8" t="s">
        <v>9</v>
      </c>
      <c r="H8">
        <v>11</v>
      </c>
    </row>
    <row r="9" spans="1:14" x14ac:dyDescent="0.25">
      <c r="A9" t="s">
        <v>8</v>
      </c>
      <c r="B9" s="4">
        <f>SUMPRODUCT(H5:J5,L2:N2)</f>
        <v>3000</v>
      </c>
      <c r="C9" t="s">
        <v>2</v>
      </c>
      <c r="D9" s="3">
        <v>3000</v>
      </c>
      <c r="G9" t="s">
        <v>10</v>
      </c>
      <c r="H9">
        <v>15</v>
      </c>
    </row>
    <row r="13" spans="1:14" x14ac:dyDescent="0.25">
      <c r="A13" t="s">
        <v>11</v>
      </c>
      <c r="B13">
        <f>SUMPRODUCT(H2:J2,L2:N2)</f>
        <v>718514.28571428568</v>
      </c>
    </row>
    <row r="14" spans="1:14" x14ac:dyDescent="0.25">
      <c r="A14" t="s">
        <v>13</v>
      </c>
      <c r="B14">
        <f>SUMPRODUCT(H3:J3,L2:N2)</f>
        <v>355000</v>
      </c>
    </row>
    <row r="15" spans="1:14" x14ac:dyDescent="0.25">
      <c r="A15" t="s">
        <v>14</v>
      </c>
      <c r="B15">
        <f>$B$8*11</f>
        <v>110000</v>
      </c>
    </row>
    <row r="16" spans="1:14" x14ac:dyDescent="0.25">
      <c r="A16" t="s">
        <v>15</v>
      </c>
      <c r="B16">
        <f>$B$9 * 15</f>
        <v>45000</v>
      </c>
    </row>
    <row r="17" spans="1:2" x14ac:dyDescent="0.25">
      <c r="A17" t="s">
        <v>12</v>
      </c>
      <c r="B17" s="2">
        <f>B13 - (B14+B15+B16)</f>
        <v>208514.28571428568</v>
      </c>
    </row>
    <row r="18" spans="1:2" x14ac:dyDescent="0.25">
      <c r="B18">
        <v>200285.71428571432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45CA-8758-49BF-B735-9E5D292B0FF0}">
  <dimension ref="A1:Q22"/>
  <sheetViews>
    <sheetView tabSelected="1" workbookViewId="0">
      <selection activeCell="Q9" sqref="Q9"/>
    </sheetView>
  </sheetViews>
  <sheetFormatPr defaultRowHeight="15" x14ac:dyDescent="0.25"/>
  <cols>
    <col min="1" max="1" width="19.7109375" bestFit="1" customWidth="1"/>
    <col min="11" max="11" width="14" bestFit="1" customWidth="1"/>
    <col min="14" max="14" width="17.42578125" bestFit="1" customWidth="1"/>
  </cols>
  <sheetData>
    <row r="1" spans="1:17" x14ac:dyDescent="0.25"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M1" s="14"/>
    </row>
    <row r="2" spans="1:17" ht="15.75" customHeight="1" x14ac:dyDescent="0.25">
      <c r="A2" t="s">
        <v>57</v>
      </c>
      <c r="B2" s="11">
        <v>1500</v>
      </c>
      <c r="C2" s="11">
        <v>0</v>
      </c>
      <c r="D2" s="11">
        <v>0</v>
      </c>
      <c r="E2" s="11">
        <v>124.99999999999989</v>
      </c>
      <c r="F2" s="11">
        <v>0</v>
      </c>
      <c r="G2" s="11">
        <v>0</v>
      </c>
      <c r="H2" s="11">
        <v>1000</v>
      </c>
      <c r="I2" s="11">
        <v>0</v>
      </c>
      <c r="M2" s="14"/>
      <c r="N2" t="s">
        <v>71</v>
      </c>
      <c r="O2">
        <f>SUMPRODUCT(B4:I4,B9:I9)</f>
        <v>20000</v>
      </c>
      <c r="P2" s="15" t="s">
        <v>2</v>
      </c>
      <c r="Q2" s="3">
        <v>20000</v>
      </c>
    </row>
    <row r="3" spans="1:17" ht="15.75" customHeight="1" x14ac:dyDescent="0.25">
      <c r="A3" t="s">
        <v>58</v>
      </c>
      <c r="B3" s="11">
        <v>0</v>
      </c>
      <c r="C3" s="11">
        <v>0</v>
      </c>
      <c r="D3" s="11">
        <v>0</v>
      </c>
      <c r="E3" s="11">
        <v>474.99999999999994</v>
      </c>
      <c r="F3" s="11">
        <v>0</v>
      </c>
      <c r="G3" s="11">
        <v>1000</v>
      </c>
      <c r="H3" s="11">
        <v>0</v>
      </c>
      <c r="I3" s="11">
        <v>0</v>
      </c>
      <c r="M3" s="14"/>
      <c r="N3" t="s">
        <v>74</v>
      </c>
      <c r="O3">
        <f>SUMPRODUCT(B2:I2,B10:I10)</f>
        <v>5000</v>
      </c>
      <c r="P3" s="15" t="s">
        <v>2</v>
      </c>
      <c r="Q3" s="3">
        <v>5000</v>
      </c>
    </row>
    <row r="4" spans="1:17" ht="15.75" customHeight="1" x14ac:dyDescent="0.25">
      <c r="A4" t="s">
        <v>70</v>
      </c>
      <c r="B4" s="12">
        <f>SUM(B2:B3)</f>
        <v>1500</v>
      </c>
      <c r="C4" s="12">
        <f t="shared" ref="C4:I4" si="0">SUM(C2:C3)</f>
        <v>0</v>
      </c>
      <c r="D4" s="12">
        <f t="shared" si="0"/>
        <v>0</v>
      </c>
      <c r="E4" s="12">
        <f t="shared" si="0"/>
        <v>599.99999999999977</v>
      </c>
      <c r="F4" s="12">
        <f t="shared" si="0"/>
        <v>0</v>
      </c>
      <c r="G4" s="12">
        <f t="shared" si="0"/>
        <v>1000</v>
      </c>
      <c r="H4" s="12">
        <f t="shared" si="0"/>
        <v>1000</v>
      </c>
      <c r="I4" s="12">
        <f>SUM(I2:I3)</f>
        <v>0</v>
      </c>
      <c r="M4" s="14"/>
      <c r="N4" t="s">
        <v>75</v>
      </c>
      <c r="O4">
        <f>SUMPRODUCT(B3:I3, B11:I11)</f>
        <v>4187.5</v>
      </c>
      <c r="P4" s="15" t="s">
        <v>2</v>
      </c>
      <c r="Q4" s="3">
        <v>6000</v>
      </c>
    </row>
    <row r="5" spans="1:17" x14ac:dyDescent="0.25">
      <c r="B5" s="13" t="s">
        <v>2</v>
      </c>
      <c r="C5" s="13" t="s">
        <v>2</v>
      </c>
      <c r="D5" s="13" t="s">
        <v>2</v>
      </c>
      <c r="E5" s="13" t="s">
        <v>2</v>
      </c>
      <c r="F5" s="13" t="s">
        <v>2</v>
      </c>
      <c r="G5" s="13" t="s">
        <v>2</v>
      </c>
      <c r="H5" s="13" t="s">
        <v>2</v>
      </c>
      <c r="I5" s="13" t="s">
        <v>2</v>
      </c>
      <c r="M5" s="14"/>
    </row>
    <row r="6" spans="1:17" ht="15.75" customHeight="1" x14ac:dyDescent="0.25">
      <c r="B6" s="16">
        <v>1500</v>
      </c>
      <c r="C6" s="16">
        <v>1250</v>
      </c>
      <c r="D6" s="16">
        <v>1250</v>
      </c>
      <c r="E6" s="16">
        <v>1250</v>
      </c>
      <c r="F6" s="16">
        <v>1000</v>
      </c>
      <c r="G6" s="16">
        <v>1000</v>
      </c>
      <c r="H6" s="16">
        <v>1000</v>
      </c>
      <c r="I6" s="16">
        <v>800</v>
      </c>
      <c r="M6" s="14"/>
    </row>
    <row r="7" spans="1:17" ht="15.75" customHeight="1" x14ac:dyDescent="0.25">
      <c r="M7" s="14"/>
    </row>
    <row r="8" spans="1:17" x14ac:dyDescent="0.25">
      <c r="M8" s="14"/>
    </row>
    <row r="9" spans="1:17" x14ac:dyDescent="0.25">
      <c r="A9" t="s">
        <v>7</v>
      </c>
      <c r="B9">
        <v>4</v>
      </c>
      <c r="C9">
        <v>5</v>
      </c>
      <c r="D9">
        <v>5</v>
      </c>
      <c r="E9">
        <v>5</v>
      </c>
      <c r="F9">
        <v>5.5</v>
      </c>
      <c r="G9">
        <v>5.5</v>
      </c>
      <c r="H9">
        <v>5.5</v>
      </c>
      <c r="I9">
        <v>6</v>
      </c>
      <c r="K9" t="s">
        <v>63</v>
      </c>
      <c r="L9">
        <v>11</v>
      </c>
      <c r="M9" s="14"/>
    </row>
    <row r="10" spans="1:17" x14ac:dyDescent="0.25">
      <c r="A10" t="s">
        <v>72</v>
      </c>
      <c r="B10">
        <v>1.5</v>
      </c>
      <c r="C10">
        <v>2</v>
      </c>
      <c r="D10">
        <v>2</v>
      </c>
      <c r="E10">
        <v>2</v>
      </c>
      <c r="F10">
        <v>2.5</v>
      </c>
      <c r="G10">
        <v>2.5</v>
      </c>
      <c r="H10">
        <v>2.5</v>
      </c>
      <c r="I10">
        <v>3</v>
      </c>
      <c r="K10" t="s">
        <v>64</v>
      </c>
      <c r="L10">
        <v>19</v>
      </c>
      <c r="M10" s="14"/>
    </row>
    <row r="11" spans="1:17" x14ac:dyDescent="0.25">
      <c r="A11" t="s">
        <v>73</v>
      </c>
      <c r="B11">
        <v>2</v>
      </c>
      <c r="C11">
        <v>2.5</v>
      </c>
      <c r="D11">
        <v>2.5</v>
      </c>
      <c r="E11">
        <v>2.5</v>
      </c>
      <c r="F11">
        <v>3</v>
      </c>
      <c r="G11">
        <v>3</v>
      </c>
      <c r="H11">
        <v>3.5</v>
      </c>
      <c r="I11">
        <v>3.5</v>
      </c>
      <c r="K11" t="s">
        <v>65</v>
      </c>
      <c r="L11">
        <v>17</v>
      </c>
      <c r="M11" s="14"/>
    </row>
    <row r="12" spans="1:17" x14ac:dyDescent="0.25">
      <c r="M12" s="14"/>
    </row>
    <row r="13" spans="1:17" x14ac:dyDescent="0.25">
      <c r="A13" t="s">
        <v>59</v>
      </c>
      <c r="B13">
        <v>150</v>
      </c>
      <c r="C13">
        <v>225</v>
      </c>
      <c r="D13">
        <v>225</v>
      </c>
      <c r="E13">
        <v>225</v>
      </c>
      <c r="F13">
        <v>250</v>
      </c>
      <c r="G13">
        <v>250</v>
      </c>
      <c r="H13">
        <v>250</v>
      </c>
      <c r="I13">
        <v>300</v>
      </c>
      <c r="M13" s="14"/>
    </row>
    <row r="14" spans="1:17" x14ac:dyDescent="0.25">
      <c r="A14" t="s">
        <v>60</v>
      </c>
      <c r="B14">
        <v>350</v>
      </c>
      <c r="C14">
        <v>450</v>
      </c>
      <c r="D14">
        <v>460</v>
      </c>
      <c r="E14">
        <v>470</v>
      </c>
      <c r="F14">
        <v>500</v>
      </c>
      <c r="G14">
        <v>525</v>
      </c>
      <c r="H14">
        <v>530</v>
      </c>
      <c r="I14">
        <v>600</v>
      </c>
      <c r="M14" s="14"/>
    </row>
    <row r="15" spans="1:17" x14ac:dyDescent="0.25">
      <c r="A15" t="s">
        <v>66</v>
      </c>
      <c r="B15">
        <f>B9 * $L$9</f>
        <v>44</v>
      </c>
      <c r="C15">
        <f t="shared" ref="C15:I15" si="1">C9 * $L$9</f>
        <v>55</v>
      </c>
      <c r="D15">
        <f t="shared" si="1"/>
        <v>55</v>
      </c>
      <c r="E15">
        <f t="shared" si="1"/>
        <v>55</v>
      </c>
      <c r="F15">
        <f t="shared" si="1"/>
        <v>60.5</v>
      </c>
      <c r="G15">
        <f t="shared" si="1"/>
        <v>60.5</v>
      </c>
      <c r="H15">
        <f t="shared" si="1"/>
        <v>60.5</v>
      </c>
      <c r="I15">
        <f t="shared" si="1"/>
        <v>66</v>
      </c>
      <c r="M15" s="14"/>
    </row>
    <row r="16" spans="1:17" x14ac:dyDescent="0.25">
      <c r="A16" t="s">
        <v>67</v>
      </c>
      <c r="B16">
        <f>B10 * $L$10</f>
        <v>28.5</v>
      </c>
      <c r="C16">
        <f t="shared" ref="C16:I16" si="2">C10 * $L$10</f>
        <v>38</v>
      </c>
      <c r="D16">
        <f t="shared" si="2"/>
        <v>38</v>
      </c>
      <c r="E16">
        <f t="shared" si="2"/>
        <v>38</v>
      </c>
      <c r="F16">
        <f t="shared" si="2"/>
        <v>47.5</v>
      </c>
      <c r="G16">
        <f t="shared" si="2"/>
        <v>47.5</v>
      </c>
      <c r="H16">
        <f t="shared" si="2"/>
        <v>47.5</v>
      </c>
      <c r="I16">
        <f t="shared" si="2"/>
        <v>57</v>
      </c>
      <c r="M16" s="14"/>
    </row>
    <row r="17" spans="1:13" x14ac:dyDescent="0.25">
      <c r="A17" t="s">
        <v>68</v>
      </c>
      <c r="B17">
        <f xml:space="preserve"> B11 * $L$11</f>
        <v>34</v>
      </c>
      <c r="C17">
        <f t="shared" ref="C17:I17" si="3" xml:space="preserve"> C11 * $L$11</f>
        <v>42.5</v>
      </c>
      <c r="D17">
        <f t="shared" si="3"/>
        <v>42.5</v>
      </c>
      <c r="E17">
        <f t="shared" si="3"/>
        <v>42.5</v>
      </c>
      <c r="F17">
        <f t="shared" si="3"/>
        <v>51</v>
      </c>
      <c r="G17">
        <f t="shared" si="3"/>
        <v>51</v>
      </c>
      <c r="H17">
        <f t="shared" si="3"/>
        <v>59.5</v>
      </c>
      <c r="I17">
        <f t="shared" si="3"/>
        <v>59.5</v>
      </c>
      <c r="M17" s="14"/>
    </row>
    <row r="18" spans="1:13" x14ac:dyDescent="0.25">
      <c r="M18" s="14"/>
    </row>
    <row r="19" spans="1:13" x14ac:dyDescent="0.25">
      <c r="A19" t="s">
        <v>61</v>
      </c>
      <c r="B19">
        <f>B14 - (B13+B15+B16)</f>
        <v>127.5</v>
      </c>
      <c r="C19">
        <f t="shared" ref="C19:I19" si="4">C14 - (C13+C15+C16)</f>
        <v>132</v>
      </c>
      <c r="D19">
        <f t="shared" si="4"/>
        <v>142</v>
      </c>
      <c r="E19">
        <f t="shared" si="4"/>
        <v>152</v>
      </c>
      <c r="F19">
        <f t="shared" si="4"/>
        <v>142</v>
      </c>
      <c r="G19">
        <f t="shared" si="4"/>
        <v>167</v>
      </c>
      <c r="H19">
        <f t="shared" si="4"/>
        <v>172</v>
      </c>
      <c r="I19">
        <f t="shared" si="4"/>
        <v>177</v>
      </c>
      <c r="M19" s="14"/>
    </row>
    <row r="20" spans="1:13" x14ac:dyDescent="0.25">
      <c r="A20" t="s">
        <v>62</v>
      </c>
      <c r="B20">
        <f>B14 - (B13+B15+B17)</f>
        <v>122</v>
      </c>
      <c r="C20">
        <f t="shared" ref="C20:I20" si="5">C14 - (C13+C15+C17)</f>
        <v>127.5</v>
      </c>
      <c r="D20">
        <f t="shared" si="5"/>
        <v>137.5</v>
      </c>
      <c r="E20">
        <f t="shared" si="5"/>
        <v>147.5</v>
      </c>
      <c r="F20">
        <f t="shared" si="5"/>
        <v>138.5</v>
      </c>
      <c r="G20">
        <f t="shared" si="5"/>
        <v>163.5</v>
      </c>
      <c r="H20">
        <f t="shared" si="5"/>
        <v>160</v>
      </c>
      <c r="I20">
        <f t="shared" si="5"/>
        <v>174.5</v>
      </c>
      <c r="M20" s="14"/>
    </row>
    <row r="21" spans="1:13" x14ac:dyDescent="0.25">
      <c r="M21" s="14"/>
    </row>
    <row r="22" spans="1:13" x14ac:dyDescent="0.25">
      <c r="A22" t="s">
        <v>69</v>
      </c>
      <c r="B22">
        <f>SUMPRODUCT(B19:B20,B2:B3)</f>
        <v>191250</v>
      </c>
      <c r="C22">
        <f t="shared" ref="C22:I22" si="6">SUMPRODUCT(C19:C20,C2:C3)</f>
        <v>0</v>
      </c>
      <c r="D22">
        <f t="shared" si="6"/>
        <v>0</v>
      </c>
      <c r="E22">
        <f t="shared" si="6"/>
        <v>89062.499999999971</v>
      </c>
      <c r="F22">
        <f t="shared" si="6"/>
        <v>0</v>
      </c>
      <c r="G22">
        <f t="shared" si="6"/>
        <v>163500</v>
      </c>
      <c r="H22">
        <f t="shared" si="6"/>
        <v>172000</v>
      </c>
      <c r="I22">
        <f t="shared" si="6"/>
        <v>0</v>
      </c>
      <c r="J22" s="2">
        <f>SUM(B22:I22)</f>
        <v>615812.5</v>
      </c>
      <c r="M22" s="14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lesson_1_Sensitivity Report</vt:lpstr>
      <vt:lpstr>lesson_1</vt:lpstr>
      <vt:lpstr>lesson_2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 Janpitak</cp:lastModifiedBy>
  <dcterms:created xsi:type="dcterms:W3CDTF">2026-09-16T13:39:47Z</dcterms:created>
  <dcterms:modified xsi:type="dcterms:W3CDTF">2026-09-17T23:54:40Z</dcterms:modified>
</cp:coreProperties>
</file>