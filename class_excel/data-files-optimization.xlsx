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FFB5D477-4052-4F5A-937F-711000FFFAAF}" xr6:coauthVersionLast="47" xr6:coauthVersionMax="47" xr10:uidLastSave="{00000000-0000-0000-0000-000000000000}"/>
  <bookViews>
    <workbookView xWindow="-98" yWindow="-98" windowWidth="21795" windowHeight="12975" tabRatio="954" firstSheet="13" activeTab="20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et_covering_model" sheetId="39" r:id="rId18"/>
    <sheet name="ShortestPath" sheetId="26" r:id="rId19"/>
    <sheet name="Aggregate1" sheetId="7" r:id="rId20"/>
    <sheet name="CapitalBudget" sheetId="8" r:id="rId21"/>
    <sheet name="FixedCost" sheetId="9" r:id="rId22"/>
    <sheet name="Hub" sheetId="10" r:id="rId23"/>
    <sheet name="WorkerScheduling" sheetId="11" r:id="rId24"/>
    <sheet name="Transport1-2" sheetId="12" r:id="rId25"/>
    <sheet name="MMULT" sheetId="13" r:id="rId26"/>
    <sheet name="MDETERM" sheetId="21" r:id="rId27"/>
    <sheet name="Peakload" sheetId="15" r:id="rId28"/>
    <sheet name="Portfolio" sheetId="14" r:id="rId29"/>
    <sheet name="EOQ" sheetId="23" r:id="rId30"/>
    <sheet name="SVM1" sheetId="24" r:id="rId31"/>
    <sheet name="MLE" sheetId="25" r:id="rId32"/>
    <sheet name="OLS" sheetId="30" r:id="rId33"/>
    <sheet name="Location" sheetId="29" r:id="rId34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20" hidden="1">CapitalBudget!$B$10:$H$10</definedName>
    <definedName name="solver_adj" localSheetId="6" hidden="1">Dual!$I$4:$L$4</definedName>
    <definedName name="solver_adj" localSheetId="29" hidden="1">EOQ!$G$9:$I$9</definedName>
    <definedName name="solver_adj" localSheetId="21" hidden="1">FixedCost!$B$14:$F$15</definedName>
    <definedName name="solver_adj" localSheetId="22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14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17" hidden="1">set_covering_model!$B$2:$G$2</definedName>
    <definedName name="solver_adj" localSheetId="30" hidden="1">'SVM1'!$B$2:$D$2,'SVM1'!$F$2</definedName>
    <definedName name="solver_adj" localSheetId="10" hidden="1">Transport1!$C$13:$F$15</definedName>
    <definedName name="solver_adj" localSheetId="23" hidden="1">WorkerScheduling!$N$3:$T$3</definedName>
    <definedName name="solver_cvg" localSheetId="11" hidden="1">0.0001</definedName>
    <definedName name="solver_cvg" localSheetId="20" hidden="1">0.0001</definedName>
    <definedName name="solver_cvg" localSheetId="6" hidden="1">0.0001</definedName>
    <definedName name="solver_cvg" localSheetId="29" hidden="1">0.0001</definedName>
    <definedName name="solver_cvg" localSheetId="21" hidden="1">0.0001</definedName>
    <definedName name="solver_cvg" localSheetId="22" hidden="1">0.0001</definedName>
    <definedName name="solver_cvg" localSheetId="16" hidden="1">0.0001</definedName>
    <definedName name="solver_cvg" localSheetId="5" hidden="1">0.0001</definedName>
    <definedName name="solver_cvg" localSheetId="14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7" hidden="1">0.0001</definedName>
    <definedName name="solver_cvg" localSheetId="10" hidden="1">0.0001</definedName>
    <definedName name="solver_cvg" localSheetId="23" hidden="1">0.0001</definedName>
    <definedName name="solver_drv" localSheetId="11" hidden="1">1</definedName>
    <definedName name="solver_drv" localSheetId="20" hidden="1">1</definedName>
    <definedName name="solver_drv" localSheetId="6" hidden="1">1</definedName>
    <definedName name="solver_drv" localSheetId="29" hidden="1">1</definedName>
    <definedName name="solver_drv" localSheetId="21" hidden="1">1</definedName>
    <definedName name="solver_drv" localSheetId="22" hidden="1">1</definedName>
    <definedName name="solver_drv" localSheetId="16" hidden="1">2</definedName>
    <definedName name="solver_drv" localSheetId="5" hidden="1">1</definedName>
    <definedName name="solver_drv" localSheetId="14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7" hidden="1">1</definedName>
    <definedName name="solver_drv" localSheetId="10" hidden="1">1</definedName>
    <definedName name="solver_drv" localSheetId="23" hidden="1">1</definedName>
    <definedName name="solver_eng" localSheetId="11" hidden="1">2</definedName>
    <definedName name="solver_eng" localSheetId="20" hidden="1">2</definedName>
    <definedName name="solver_eng" localSheetId="6" hidden="1">2</definedName>
    <definedName name="solver_eng" localSheetId="29" hidden="1">1</definedName>
    <definedName name="solver_eng" localSheetId="21" hidden="1">2</definedName>
    <definedName name="solver_eng" localSheetId="22" hidden="1">2</definedName>
    <definedName name="solver_eng" localSheetId="16" hidden="1">2</definedName>
    <definedName name="solver_eng" localSheetId="5" hidden="1">2</definedName>
    <definedName name="solver_eng" localSheetId="14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17" hidden="1">2</definedName>
    <definedName name="solver_eng" localSheetId="30" hidden="1">1</definedName>
    <definedName name="solver_eng" localSheetId="10" hidden="1">2</definedName>
    <definedName name="solver_eng" localSheetId="23" hidden="1">2</definedName>
    <definedName name="solver_est" localSheetId="11" hidden="1">1</definedName>
    <definedName name="solver_est" localSheetId="20" hidden="1">1</definedName>
    <definedName name="solver_est" localSheetId="6" hidden="1">1</definedName>
    <definedName name="solver_est" localSheetId="29" hidden="1">1</definedName>
    <definedName name="solver_est" localSheetId="21" hidden="1">1</definedName>
    <definedName name="solver_est" localSheetId="22" hidden="1">1</definedName>
    <definedName name="solver_est" localSheetId="16" hidden="1">1</definedName>
    <definedName name="solver_est" localSheetId="5" hidden="1">1</definedName>
    <definedName name="solver_est" localSheetId="14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7" hidden="1">1</definedName>
    <definedName name="solver_est" localSheetId="10" hidden="1">1</definedName>
    <definedName name="solver_est" localSheetId="23" hidden="1">1</definedName>
    <definedName name="solver_itr" localSheetId="11" hidden="1">2147483647</definedName>
    <definedName name="solver_itr" localSheetId="20" hidden="1">2147483647</definedName>
    <definedName name="solver_itr" localSheetId="6" hidden="1">2147483647</definedName>
    <definedName name="solver_itr" localSheetId="29" hidden="1">2147483647</definedName>
    <definedName name="solver_itr" localSheetId="21" hidden="1">2147483647</definedName>
    <definedName name="solver_itr" localSheetId="22" hidden="1">2147483647</definedName>
    <definedName name="solver_itr" localSheetId="16" hidden="1">2147483647</definedName>
    <definedName name="solver_itr" localSheetId="5" hidden="1">2147483647</definedName>
    <definedName name="solver_itr" localSheetId="14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7" hidden="1">2147483647</definedName>
    <definedName name="solver_itr" localSheetId="10" hidden="1">2147483647</definedName>
    <definedName name="solver_itr" localSheetId="23" hidden="1">2147483647</definedName>
    <definedName name="solver_lhs1" localSheetId="11" hidden="1">AssignmentProblem!$C$17:$F$17</definedName>
    <definedName name="solver_lhs1" localSheetId="20" hidden="1">CapitalBudget!$B$14</definedName>
    <definedName name="solver_lhs1" localSheetId="6" hidden="1">Dual!$M$6:$M$7</definedName>
    <definedName name="solver_lhs1" localSheetId="29" hidden="1">EOQ!$J$15</definedName>
    <definedName name="solver_lhs1" localSheetId="21" hidden="1">FixedCost!$B$14:$F$14</definedName>
    <definedName name="solver_lhs1" localSheetId="22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7" hidden="1">set_covering_model!$B$2:$G$2</definedName>
    <definedName name="solver_lhs1" localSheetId="10" hidden="1">Transport1!$C$16:$F$16</definedName>
    <definedName name="solver_lhs1" localSheetId="23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20" hidden="1">CapitalBudget!$B$10:$H$10</definedName>
    <definedName name="solver_lhs2" localSheetId="21" hidden="1">FixedCost!$B$15:$F$15</definedName>
    <definedName name="solver_lhs2" localSheetId="22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7" hidden="1">set_covering_model!$H$3:$H$8</definedName>
    <definedName name="solver_lhs2" localSheetId="10" hidden="1">Transport1!$G$13:$G$15</definedName>
    <definedName name="solver_lhs2" localSheetId="23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20" hidden="1">CapitalBudget!$C$15</definedName>
    <definedName name="solver_lhs3" localSheetId="21" hidden="1">FixedCost!$B$23:$B$24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20" hidden="1">CapitalBudget!$B$10:$H$10</definedName>
    <definedName name="solver_lhs4" localSheetId="21" hidden="1">FixedCost!$B$23:$B$24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20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20" hidden="1">2147483647</definedName>
    <definedName name="solver_mip" localSheetId="6" hidden="1">2147483647</definedName>
    <definedName name="solver_mip" localSheetId="29" hidden="1">2147483647</definedName>
    <definedName name="solver_mip" localSheetId="21" hidden="1">2147483647</definedName>
    <definedName name="solver_mip" localSheetId="22" hidden="1">2147483647</definedName>
    <definedName name="solver_mip" localSheetId="16" hidden="1">2147483647</definedName>
    <definedName name="solver_mip" localSheetId="5" hidden="1">2147483647</definedName>
    <definedName name="solver_mip" localSheetId="14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7" hidden="1">2147483647</definedName>
    <definedName name="solver_mip" localSheetId="10" hidden="1">2147483647</definedName>
    <definedName name="solver_mip" localSheetId="23" hidden="1">2147483647</definedName>
    <definedName name="solver_mni" localSheetId="11" hidden="1">30</definedName>
    <definedName name="solver_mni" localSheetId="20" hidden="1">30</definedName>
    <definedName name="solver_mni" localSheetId="6" hidden="1">30</definedName>
    <definedName name="solver_mni" localSheetId="29" hidden="1">30</definedName>
    <definedName name="solver_mni" localSheetId="21" hidden="1">30</definedName>
    <definedName name="solver_mni" localSheetId="22" hidden="1">30</definedName>
    <definedName name="solver_mni" localSheetId="16" hidden="1">30</definedName>
    <definedName name="solver_mni" localSheetId="5" hidden="1">30</definedName>
    <definedName name="solver_mni" localSheetId="14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7" hidden="1">30</definedName>
    <definedName name="solver_mni" localSheetId="10" hidden="1">30</definedName>
    <definedName name="solver_mni" localSheetId="23" hidden="1">30</definedName>
    <definedName name="solver_mrt" localSheetId="11" hidden="1">0.075</definedName>
    <definedName name="solver_mrt" localSheetId="20" hidden="1">0.075</definedName>
    <definedName name="solver_mrt" localSheetId="6" hidden="1">0.075</definedName>
    <definedName name="solver_mrt" localSheetId="29" hidden="1">0.075</definedName>
    <definedName name="solver_mrt" localSheetId="21" hidden="1">0.075</definedName>
    <definedName name="solver_mrt" localSheetId="22" hidden="1">0.075</definedName>
    <definedName name="solver_mrt" localSheetId="16" hidden="1">0.075</definedName>
    <definedName name="solver_mrt" localSheetId="5" hidden="1">0.075</definedName>
    <definedName name="solver_mrt" localSheetId="14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7" hidden="1">0.075</definedName>
    <definedName name="solver_mrt" localSheetId="10" hidden="1">0.075</definedName>
    <definedName name="solver_mrt" localSheetId="23" hidden="1">0.075</definedName>
    <definedName name="solver_msl" localSheetId="11" hidden="1">2</definedName>
    <definedName name="solver_msl" localSheetId="20" hidden="1">2</definedName>
    <definedName name="solver_msl" localSheetId="6" hidden="1">2</definedName>
    <definedName name="solver_msl" localSheetId="29" hidden="1">2</definedName>
    <definedName name="solver_msl" localSheetId="21" hidden="1">2</definedName>
    <definedName name="solver_msl" localSheetId="22" hidden="1">2</definedName>
    <definedName name="solver_msl" localSheetId="16" hidden="1">2</definedName>
    <definedName name="solver_msl" localSheetId="5" hidden="1">2</definedName>
    <definedName name="solver_msl" localSheetId="14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7" hidden="1">2</definedName>
    <definedName name="solver_msl" localSheetId="10" hidden="1">2</definedName>
    <definedName name="solver_msl" localSheetId="23" hidden="1">2</definedName>
    <definedName name="solver_neg" localSheetId="11" hidden="1">1</definedName>
    <definedName name="solver_neg" localSheetId="20" hidden="1">1</definedName>
    <definedName name="solver_neg" localSheetId="6" hidden="1">1</definedName>
    <definedName name="solver_neg" localSheetId="29" hidden="1">1</definedName>
    <definedName name="solver_neg" localSheetId="21" hidden="1">1</definedName>
    <definedName name="solver_neg" localSheetId="22" hidden="1">1</definedName>
    <definedName name="solver_neg" localSheetId="16" hidden="1">1</definedName>
    <definedName name="solver_neg" localSheetId="5" hidden="1">1</definedName>
    <definedName name="solver_neg" localSheetId="14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17" hidden="1">1</definedName>
    <definedName name="solver_neg" localSheetId="30" hidden="1">1</definedName>
    <definedName name="solver_neg" localSheetId="10" hidden="1">1</definedName>
    <definedName name="solver_neg" localSheetId="23" hidden="1">1</definedName>
    <definedName name="solver_nod" localSheetId="11" hidden="1">2147483647</definedName>
    <definedName name="solver_nod" localSheetId="20" hidden="1">2147483647</definedName>
    <definedName name="solver_nod" localSheetId="6" hidden="1">2147483647</definedName>
    <definedName name="solver_nod" localSheetId="29" hidden="1">2147483647</definedName>
    <definedName name="solver_nod" localSheetId="21" hidden="1">2147483647</definedName>
    <definedName name="solver_nod" localSheetId="22" hidden="1">2147483647</definedName>
    <definedName name="solver_nod" localSheetId="16" hidden="1">2147483647</definedName>
    <definedName name="solver_nod" localSheetId="5" hidden="1">2147483647</definedName>
    <definedName name="solver_nod" localSheetId="14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7" hidden="1">2147483647</definedName>
    <definedName name="solver_nod" localSheetId="10" hidden="1">2147483647</definedName>
    <definedName name="solver_nod" localSheetId="23" hidden="1">2147483647</definedName>
    <definedName name="solver_num" localSheetId="11" hidden="1">2</definedName>
    <definedName name="solver_num" localSheetId="20" hidden="1">2</definedName>
    <definedName name="solver_num" localSheetId="6" hidden="1">1</definedName>
    <definedName name="solver_num" localSheetId="29" hidden="1">1</definedName>
    <definedName name="solver_num" localSheetId="21" hidden="1">3</definedName>
    <definedName name="solver_num" localSheetId="22" hidden="1">2</definedName>
    <definedName name="solver_num" localSheetId="16" hidden="1">4</definedName>
    <definedName name="solver_num" localSheetId="5" hidden="1">2</definedName>
    <definedName name="solver_num" localSheetId="14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17" hidden="1">2</definedName>
    <definedName name="solver_num" localSheetId="30" hidden="1">0</definedName>
    <definedName name="solver_num" localSheetId="10" hidden="1">2</definedName>
    <definedName name="solver_num" localSheetId="23" hidden="1">2</definedName>
    <definedName name="solver_nwt" localSheetId="11" hidden="1">1</definedName>
    <definedName name="solver_nwt" localSheetId="20" hidden="1">1</definedName>
    <definedName name="solver_nwt" localSheetId="6" hidden="1">1</definedName>
    <definedName name="solver_nwt" localSheetId="29" hidden="1">1</definedName>
    <definedName name="solver_nwt" localSheetId="21" hidden="1">1</definedName>
    <definedName name="solver_nwt" localSheetId="22" hidden="1">1</definedName>
    <definedName name="solver_nwt" localSheetId="16" hidden="1">1</definedName>
    <definedName name="solver_nwt" localSheetId="5" hidden="1">1</definedName>
    <definedName name="solver_nwt" localSheetId="14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7" hidden="1">1</definedName>
    <definedName name="solver_nwt" localSheetId="10" hidden="1">1</definedName>
    <definedName name="solver_nwt" localSheetId="23" hidden="1">1</definedName>
    <definedName name="solver_opt" localSheetId="11" hidden="1">AssignmentProblem!$B$22</definedName>
    <definedName name="solver_opt" localSheetId="20" hidden="1">CapitalBudget!$B$17</definedName>
    <definedName name="solver_opt" localSheetId="6" hidden="1">Dual!$M$5</definedName>
    <definedName name="solver_opt" localSheetId="29" hidden="1">EOQ!$J$13</definedName>
    <definedName name="solver_opt" localSheetId="21" hidden="1">FixedCost!$B$30</definedName>
    <definedName name="solver_opt" localSheetId="22" hidden="1">Hub!$B$39</definedName>
    <definedName name="solver_opt" localSheetId="16" hidden="1">'HW3'!$B$17</definedName>
    <definedName name="solver_opt" localSheetId="5" hidden="1">LM_2!$K$11</definedName>
    <definedName name="solver_opt" localSheetId="14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17" hidden="1">set_covering_model!$C$10</definedName>
    <definedName name="solver_opt" localSheetId="30" hidden="1">'SVM1'!$F$2</definedName>
    <definedName name="solver_opt" localSheetId="10" hidden="1">Transport1!$B$21</definedName>
    <definedName name="solver_opt" localSheetId="23" hidden="1">WorkerScheduling!$U$4</definedName>
    <definedName name="solver_pre" localSheetId="11" hidden="1">0.000001</definedName>
    <definedName name="solver_pre" localSheetId="20" hidden="1">0.000001</definedName>
    <definedName name="solver_pre" localSheetId="6" hidden="1">0.000001</definedName>
    <definedName name="solver_pre" localSheetId="29" hidden="1">0.000001</definedName>
    <definedName name="solver_pre" localSheetId="21" hidden="1">0.000001</definedName>
    <definedName name="solver_pre" localSheetId="22" hidden="1">0.000001</definedName>
    <definedName name="solver_pre" localSheetId="16" hidden="1">0.000001</definedName>
    <definedName name="solver_pre" localSheetId="5" hidden="1">0.000001</definedName>
    <definedName name="solver_pre" localSheetId="14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7" hidden="1">0.000001</definedName>
    <definedName name="solver_pre" localSheetId="10" hidden="1">0.000001</definedName>
    <definedName name="solver_pre" localSheetId="23" hidden="1">0.000001</definedName>
    <definedName name="solver_rbv" localSheetId="11" hidden="1">1</definedName>
    <definedName name="solver_rbv" localSheetId="20" hidden="1">1</definedName>
    <definedName name="solver_rbv" localSheetId="6" hidden="1">1</definedName>
    <definedName name="solver_rbv" localSheetId="29" hidden="1">1</definedName>
    <definedName name="solver_rbv" localSheetId="21" hidden="1">1</definedName>
    <definedName name="solver_rbv" localSheetId="22" hidden="1">1</definedName>
    <definedName name="solver_rbv" localSheetId="16" hidden="1">2</definedName>
    <definedName name="solver_rbv" localSheetId="5" hidden="1">1</definedName>
    <definedName name="solver_rbv" localSheetId="14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7" hidden="1">1</definedName>
    <definedName name="solver_rbv" localSheetId="10" hidden="1">1</definedName>
    <definedName name="solver_rbv" localSheetId="23" hidden="1">1</definedName>
    <definedName name="solver_rel1" localSheetId="11" hidden="1">2</definedName>
    <definedName name="solver_rel1" localSheetId="20" hidden="1">1</definedName>
    <definedName name="solver_rel1" localSheetId="6" hidden="1">3</definedName>
    <definedName name="solver_rel1" localSheetId="29" hidden="1">1</definedName>
    <definedName name="solver_rel1" localSheetId="21" hidden="1">5</definedName>
    <definedName name="solver_rel1" localSheetId="22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7" hidden="1">5</definedName>
    <definedName name="solver_rel1" localSheetId="10" hidden="1">3</definedName>
    <definedName name="solver_rel1" localSheetId="23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20" hidden="1">5</definedName>
    <definedName name="solver_rel2" localSheetId="21" hidden="1">1</definedName>
    <definedName name="solver_rel2" localSheetId="22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7" hidden="1">3</definedName>
    <definedName name="solver_rel2" localSheetId="10" hidden="1">1</definedName>
    <definedName name="solver_rel2" localSheetId="23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20" hidden="1">1</definedName>
    <definedName name="solver_rel3" localSheetId="21" hidden="1">1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20" hidden="1">1</definedName>
    <definedName name="solver_rel4" localSheetId="21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20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20" hidden="1">CapitalBudget!$D$14</definedName>
    <definedName name="solver_rhs1" localSheetId="6" hidden="1">Dual!$O$6:$O$7</definedName>
    <definedName name="solver_rhs1" localSheetId="29" hidden="1">EOQ!$L$15</definedName>
    <definedName name="solver_rhs1" localSheetId="21" hidden="1">"binary"</definedName>
    <definedName name="solver_rhs1" localSheetId="22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7" hidden="1">"binary"</definedName>
    <definedName name="solver_rhs1" localSheetId="10" hidden="1">Transport1!$C$18:$F$18</definedName>
    <definedName name="solver_rhs1" localSheetId="23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20" hidden="1">"binary"</definedName>
    <definedName name="solver_rhs2" localSheetId="21" hidden="1">FixedCost!$B$17:$F$17</definedName>
    <definedName name="solver_rhs2" localSheetId="22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7" hidden="1">set_covering_model!$J$3:$J$8</definedName>
    <definedName name="solver_rhs2" localSheetId="10" hidden="1">Transport1!$I$13:$I$15</definedName>
    <definedName name="solver_rhs2" localSheetId="23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20" hidden="1">0</definedName>
    <definedName name="solver_rhs3" localSheetId="21" hidden="1">FixedCost!$D$23:$D$24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20" hidden="1">1</definedName>
    <definedName name="solver_rhs4" localSheetId="21" hidden="1">FixedCost!$D$23:$D$24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20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20" hidden="1">2</definedName>
    <definedName name="solver_rlx" localSheetId="6" hidden="1">2</definedName>
    <definedName name="solver_rlx" localSheetId="29" hidden="1">2</definedName>
    <definedName name="solver_rlx" localSheetId="21" hidden="1">2</definedName>
    <definedName name="solver_rlx" localSheetId="22" hidden="1">2</definedName>
    <definedName name="solver_rlx" localSheetId="16" hidden="1">2</definedName>
    <definedName name="solver_rlx" localSheetId="5" hidden="1">2</definedName>
    <definedName name="solver_rlx" localSheetId="14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7" hidden="1">2</definedName>
    <definedName name="solver_rlx" localSheetId="10" hidden="1">2</definedName>
    <definedName name="solver_rlx" localSheetId="23" hidden="1">2</definedName>
    <definedName name="solver_rsd" localSheetId="11" hidden="1">0</definedName>
    <definedName name="solver_rsd" localSheetId="20" hidden="1">0</definedName>
    <definedName name="solver_rsd" localSheetId="6" hidden="1">0</definedName>
    <definedName name="solver_rsd" localSheetId="29" hidden="1">0</definedName>
    <definedName name="solver_rsd" localSheetId="21" hidden="1">0</definedName>
    <definedName name="solver_rsd" localSheetId="22" hidden="1">0</definedName>
    <definedName name="solver_rsd" localSheetId="16" hidden="1">0</definedName>
    <definedName name="solver_rsd" localSheetId="5" hidden="1">0</definedName>
    <definedName name="solver_rsd" localSheetId="14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7" hidden="1">0</definedName>
    <definedName name="solver_rsd" localSheetId="10" hidden="1">0</definedName>
    <definedName name="solver_rsd" localSheetId="23" hidden="1">0</definedName>
    <definedName name="solver_scl" localSheetId="11" hidden="1">1</definedName>
    <definedName name="solver_scl" localSheetId="20" hidden="1">1</definedName>
    <definedName name="solver_scl" localSheetId="6" hidden="1">1</definedName>
    <definedName name="solver_scl" localSheetId="29" hidden="1">1</definedName>
    <definedName name="solver_scl" localSheetId="21" hidden="1">1</definedName>
    <definedName name="solver_scl" localSheetId="22" hidden="1">1</definedName>
    <definedName name="solver_scl" localSheetId="16" hidden="1">2</definedName>
    <definedName name="solver_scl" localSheetId="5" hidden="1">1</definedName>
    <definedName name="solver_scl" localSheetId="14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7" hidden="1">1</definedName>
    <definedName name="solver_scl" localSheetId="10" hidden="1">1</definedName>
    <definedName name="solver_scl" localSheetId="23" hidden="1">1</definedName>
    <definedName name="solver_sho" localSheetId="11" hidden="1">2</definedName>
    <definedName name="solver_sho" localSheetId="20" hidden="1">2</definedName>
    <definedName name="solver_sho" localSheetId="6" hidden="1">2</definedName>
    <definedName name="solver_sho" localSheetId="29" hidden="1">2</definedName>
    <definedName name="solver_sho" localSheetId="21" hidden="1">2</definedName>
    <definedName name="solver_sho" localSheetId="22" hidden="1">2</definedName>
    <definedName name="solver_sho" localSheetId="16" hidden="1">2</definedName>
    <definedName name="solver_sho" localSheetId="5" hidden="1">2</definedName>
    <definedName name="solver_sho" localSheetId="14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7" hidden="1">2</definedName>
    <definedName name="solver_sho" localSheetId="10" hidden="1">2</definedName>
    <definedName name="solver_sho" localSheetId="23" hidden="1">2</definedName>
    <definedName name="solver_ssz" localSheetId="11" hidden="1">100</definedName>
    <definedName name="solver_ssz" localSheetId="20" hidden="1">100</definedName>
    <definedName name="solver_ssz" localSheetId="6" hidden="1">100</definedName>
    <definedName name="solver_ssz" localSheetId="29" hidden="1">100</definedName>
    <definedName name="solver_ssz" localSheetId="21" hidden="1">100</definedName>
    <definedName name="solver_ssz" localSheetId="22" hidden="1">100</definedName>
    <definedName name="solver_ssz" localSheetId="16" hidden="1">100</definedName>
    <definedName name="solver_ssz" localSheetId="5" hidden="1">100</definedName>
    <definedName name="solver_ssz" localSheetId="14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7" hidden="1">100</definedName>
    <definedName name="solver_ssz" localSheetId="10" hidden="1">100</definedName>
    <definedName name="solver_ssz" localSheetId="23" hidden="1">100</definedName>
    <definedName name="solver_tim" localSheetId="11" hidden="1">2147483647</definedName>
    <definedName name="solver_tim" localSheetId="20" hidden="1">2147483647</definedName>
    <definedName name="solver_tim" localSheetId="6" hidden="1">2147483647</definedName>
    <definedName name="solver_tim" localSheetId="29" hidden="1">2147483647</definedName>
    <definedName name="solver_tim" localSheetId="21" hidden="1">2147483647</definedName>
    <definedName name="solver_tim" localSheetId="22" hidden="1">2147483647</definedName>
    <definedName name="solver_tim" localSheetId="16" hidden="1">2147483647</definedName>
    <definedName name="solver_tim" localSheetId="5" hidden="1">2147483647</definedName>
    <definedName name="solver_tim" localSheetId="14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7" hidden="1">2147483647</definedName>
    <definedName name="solver_tim" localSheetId="10" hidden="1">2147483647</definedName>
    <definedName name="solver_tim" localSheetId="23" hidden="1">2147483647</definedName>
    <definedName name="solver_tol" localSheetId="11" hidden="1">0.01</definedName>
    <definedName name="solver_tol" localSheetId="20" hidden="1">0.01</definedName>
    <definedName name="solver_tol" localSheetId="6" hidden="1">0.01</definedName>
    <definedName name="solver_tol" localSheetId="29" hidden="1">0.01</definedName>
    <definedName name="solver_tol" localSheetId="21" hidden="1">0.01</definedName>
    <definedName name="solver_tol" localSheetId="22" hidden="1">0.01</definedName>
    <definedName name="solver_tol" localSheetId="16" hidden="1">0.01</definedName>
    <definedName name="solver_tol" localSheetId="5" hidden="1">0.01</definedName>
    <definedName name="solver_tol" localSheetId="14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7" hidden="1">0.01</definedName>
    <definedName name="solver_tol" localSheetId="10" hidden="1">0.01</definedName>
    <definedName name="solver_tol" localSheetId="23" hidden="1">0.01</definedName>
    <definedName name="solver_typ" localSheetId="11" hidden="1">2</definedName>
    <definedName name="solver_typ" localSheetId="20" hidden="1">1</definedName>
    <definedName name="solver_typ" localSheetId="6" hidden="1">2</definedName>
    <definedName name="solver_typ" localSheetId="29" hidden="1">2</definedName>
    <definedName name="solver_typ" localSheetId="21" hidden="1">1</definedName>
    <definedName name="solver_typ" localSheetId="22" hidden="1">2</definedName>
    <definedName name="solver_typ" localSheetId="16" hidden="1">2</definedName>
    <definedName name="solver_typ" localSheetId="5" hidden="1">2</definedName>
    <definedName name="solver_typ" localSheetId="14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17" hidden="1">2</definedName>
    <definedName name="solver_typ" localSheetId="30" hidden="1">1</definedName>
    <definedName name="solver_typ" localSheetId="10" hidden="1">2</definedName>
    <definedName name="solver_typ" localSheetId="23" hidden="1">2</definedName>
    <definedName name="solver_val" localSheetId="11" hidden="1">0</definedName>
    <definedName name="solver_val" localSheetId="20" hidden="1">0</definedName>
    <definedName name="solver_val" localSheetId="6" hidden="1">0</definedName>
    <definedName name="solver_val" localSheetId="29" hidden="1">0</definedName>
    <definedName name="solver_val" localSheetId="21" hidden="1">0</definedName>
    <definedName name="solver_val" localSheetId="22" hidden="1">0</definedName>
    <definedName name="solver_val" localSheetId="16" hidden="1">0</definedName>
    <definedName name="solver_val" localSheetId="5" hidden="1">0</definedName>
    <definedName name="solver_val" localSheetId="14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17" hidden="1">0</definedName>
    <definedName name="solver_val" localSheetId="30" hidden="1">0</definedName>
    <definedName name="solver_val" localSheetId="10" hidden="1">0</definedName>
    <definedName name="solver_val" localSheetId="23" hidden="1">0</definedName>
    <definedName name="solver_ver" localSheetId="11" hidden="1">3</definedName>
    <definedName name="solver_ver" localSheetId="20" hidden="1">3</definedName>
    <definedName name="solver_ver" localSheetId="6" hidden="1">3</definedName>
    <definedName name="solver_ver" localSheetId="29" hidden="1">3</definedName>
    <definedName name="solver_ver" localSheetId="21" hidden="1">3</definedName>
    <definedName name="solver_ver" localSheetId="22" hidden="1">3</definedName>
    <definedName name="solver_ver" localSheetId="16" hidden="1">3</definedName>
    <definedName name="solver_ver" localSheetId="5" hidden="1">3</definedName>
    <definedName name="solver_ver" localSheetId="14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17" hidden="1">3</definedName>
    <definedName name="solver_ver" localSheetId="30" hidden="1">3</definedName>
    <definedName name="solver_ver" localSheetId="10" hidden="1">3</definedName>
    <definedName name="solver_ver" localSheetId="23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8" l="1"/>
  <c r="B14" i="8"/>
  <c r="B7" i="8"/>
  <c r="B17" i="9"/>
  <c r="B30" i="9"/>
  <c r="B29" i="9"/>
  <c r="B27" i="9"/>
  <c r="B24" i="9"/>
  <c r="B23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28" i="9"/>
  <c r="B17" i="37"/>
  <c r="L12" i="31"/>
  <c r="K12" i="31"/>
  <c r="J14" i="37"/>
  <c r="J9" i="37"/>
  <c r="J5" i="37"/>
  <c r="K5" i="37"/>
  <c r="L5" i="37" l="1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<sst xmlns="http://schemas.openxmlformats.org/spreadsheetml/2006/main" count="1052" uniqueCount="599">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</sst>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29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8">
    <xf numFmtId="0" fontId="0" fillId="0" borderId="0"/>
    <xf numFmtId="0" fontId="2" fillId="0" borderId="0"/>
    <xf numFmtId="190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191" fontId="10" fillId="0" borderId="0" applyFont="0" applyFill="0" applyBorder="0" applyAlignment="0" applyProtection="0"/>
    <xf numFmtId="0" fontId="26" fillId="0" borderId="16" applyNumberFormat="0" applyFill="0" applyAlignment="0" applyProtection="0"/>
    <xf numFmtId="192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2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94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95" fontId="4" fillId="0" borderId="0" xfId="1" applyNumberFormat="1" applyFont="1"/>
    <xf numFmtId="0" fontId="4" fillId="0" borderId="0" xfId="1" quotePrefix="1" applyFont="1" applyAlignment="1">
      <alignment horizontal="left"/>
    </xf>
    <xf numFmtId="190" fontId="4" fillId="2" borderId="0" xfId="2" applyFont="1" applyFill="1" applyBorder="1"/>
    <xf numFmtId="196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93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97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187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187" fontId="4" fillId="0" borderId="0" xfId="1" applyNumberFormat="1" applyFont="1"/>
    <xf numFmtId="197" fontId="4" fillId="2" borderId="0" xfId="1" applyNumberFormat="1" applyFont="1" applyFill="1"/>
    <xf numFmtId="2" fontId="4" fillId="0" borderId="0" xfId="1" applyNumberFormat="1" applyFont="1"/>
    <xf numFmtId="188" fontId="4" fillId="0" borderId="0" xfId="1" applyNumberFormat="1" applyFont="1"/>
    <xf numFmtId="188" fontId="4" fillId="0" borderId="0" xfId="1" applyNumberFormat="1" applyFont="1" applyAlignment="1">
      <alignment horizontal="right"/>
    </xf>
    <xf numFmtId="197" fontId="4" fillId="0" borderId="0" xfId="1" applyNumberFormat="1" applyFont="1" applyAlignment="1">
      <alignment horizontal="right"/>
    </xf>
    <xf numFmtId="197" fontId="4" fillId="0" borderId="0" xfId="1" quotePrefix="1" applyNumberFormat="1" applyFont="1" applyAlignment="1">
      <alignment horizontal="center"/>
    </xf>
    <xf numFmtId="188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188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188" fontId="4" fillId="2" borderId="0" xfId="1" applyNumberFormat="1" applyFont="1" applyFill="1" applyAlignment="1">
      <alignment horizontal="right"/>
    </xf>
    <xf numFmtId="190" fontId="4" fillId="0" borderId="0" xfId="1" applyNumberFormat="1" applyFont="1"/>
    <xf numFmtId="189" fontId="4" fillId="0" borderId="0" xfId="1" applyNumberFormat="1" applyFont="1"/>
    <xf numFmtId="198" fontId="4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4" fillId="0" borderId="0" xfId="1" applyNumberFormat="1" applyFont="1" applyAlignment="1">
      <alignment horizontal="right"/>
    </xf>
    <xf numFmtId="198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201" fontId="4" fillId="0" borderId="0" xfId="1" applyNumberFormat="1" applyFont="1"/>
    <xf numFmtId="197" fontId="4" fillId="8" borderId="0" xfId="1" applyNumberFormat="1" applyFont="1" applyFill="1"/>
    <xf numFmtId="201" fontId="4" fillId="8" borderId="0" xfId="1" applyNumberFormat="1" applyFont="1" applyFill="1"/>
    <xf numFmtId="192" fontId="4" fillId="0" borderId="0" xfId="6" applyFont="1"/>
    <xf numFmtId="192" fontId="4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0" fontId="0" fillId="0" borderId="0" xfId="0" applyAlignment="1">
      <alignment horizontal="left"/>
    </xf>
    <xf numFmtId="203" fontId="4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4" fillId="8" borderId="0" xfId="1" applyFont="1" applyFill="1"/>
    <xf numFmtId="0" fontId="4" fillId="6" borderId="0" xfId="1" applyFont="1" applyFill="1"/>
  </cellXfs>
  <cellStyles count="8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3.9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3.9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496</v>
      </c>
      <c r="C9" s="97" t="s">
        <v>497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498</v>
      </c>
      <c r="C10" s="98" t="s">
        <v>499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491</v>
      </c>
    </row>
    <row r="13" spans="1:8">
      <c r="B13" s="99"/>
      <c r="C13" s="99"/>
      <c r="D13" s="99" t="s">
        <v>483</v>
      </c>
      <c r="E13" s="99" t="s">
        <v>492</v>
      </c>
      <c r="F13" s="99" t="s">
        <v>494</v>
      </c>
      <c r="G13" s="99" t="s">
        <v>488</v>
      </c>
      <c r="H13" s="99" t="s">
        <v>488</v>
      </c>
    </row>
    <row r="14" spans="1:8" ht="13.9" thickBot="1">
      <c r="B14" s="100" t="s">
        <v>481</v>
      </c>
      <c r="C14" s="100" t="s">
        <v>482</v>
      </c>
      <c r="D14" s="100" t="s">
        <v>484</v>
      </c>
      <c r="E14" s="100" t="s">
        <v>493</v>
      </c>
      <c r="F14" s="100" t="s">
        <v>495</v>
      </c>
      <c r="G14" s="100" t="s">
        <v>489</v>
      </c>
      <c r="H14" s="100" t="s">
        <v>490</v>
      </c>
    </row>
    <row r="15" spans="1:8">
      <c r="B15" s="97" t="s">
        <v>500</v>
      </c>
      <c r="C15" s="97" t="s">
        <v>501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502</v>
      </c>
      <c r="C16" s="98" t="s">
        <v>503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D26" sqref="D26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3.9" thickBot="1">
      <c r="A6" t="s">
        <v>480</v>
      </c>
    </row>
    <row r="7" spans="1:8">
      <c r="B7" s="99"/>
      <c r="C7" s="99"/>
      <c r="D7" s="99" t="s">
        <v>483</v>
      </c>
      <c r="E7" s="99" t="s">
        <v>485</v>
      </c>
      <c r="F7" s="99" t="s">
        <v>486</v>
      </c>
      <c r="G7" s="99" t="s">
        <v>488</v>
      </c>
      <c r="H7" s="99" t="s">
        <v>488</v>
      </c>
    </row>
    <row r="8" spans="1:8" ht="13.9" thickBot="1">
      <c r="B8" s="100" t="s">
        <v>481</v>
      </c>
      <c r="C8" s="100" t="s">
        <v>482</v>
      </c>
      <c r="D8" s="100" t="s">
        <v>484</v>
      </c>
      <c r="E8" s="100" t="s">
        <v>294</v>
      </c>
      <c r="F8" s="100" t="s">
        <v>487</v>
      </c>
      <c r="G8" s="100" t="s">
        <v>489</v>
      </c>
      <c r="H8" s="100" t="s">
        <v>490</v>
      </c>
    </row>
    <row r="9" spans="1:8">
      <c r="B9" s="97" t="s">
        <v>508</v>
      </c>
      <c r="C9" s="97" t="s">
        <v>509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510</v>
      </c>
      <c r="C10" s="97" t="s">
        <v>511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512</v>
      </c>
      <c r="C11" s="97" t="s">
        <v>513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514</v>
      </c>
      <c r="C12" s="97" t="s">
        <v>515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516</v>
      </c>
      <c r="C13" s="97" t="s">
        <v>517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518</v>
      </c>
      <c r="C14" s="97" t="s">
        <v>519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520</v>
      </c>
      <c r="C15" s="97" t="s">
        <v>521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522</v>
      </c>
      <c r="C16" s="97" t="s">
        <v>523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524</v>
      </c>
      <c r="C17" s="97" t="s">
        <v>525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526</v>
      </c>
      <c r="C18" s="97" t="s">
        <v>527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528</v>
      </c>
      <c r="C19" s="97" t="s">
        <v>529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530</v>
      </c>
      <c r="C20" s="97" t="s">
        <v>531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532</v>
      </c>
      <c r="C21" s="97" t="s">
        <v>533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534</v>
      </c>
      <c r="C22" s="97" t="s">
        <v>535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536</v>
      </c>
      <c r="C23" s="97" t="s">
        <v>537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538</v>
      </c>
      <c r="C24" s="98" t="s">
        <v>539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491</v>
      </c>
    </row>
    <row r="27" spans="1:8">
      <c r="B27" s="99"/>
      <c r="C27" s="99"/>
      <c r="D27" s="99" t="s">
        <v>483</v>
      </c>
      <c r="E27" s="99" t="s">
        <v>492</v>
      </c>
      <c r="F27" s="99" t="s">
        <v>494</v>
      </c>
      <c r="G27" s="99" t="s">
        <v>488</v>
      </c>
      <c r="H27" s="99" t="s">
        <v>488</v>
      </c>
    </row>
    <row r="28" spans="1:8" ht="13.9" thickBot="1">
      <c r="B28" s="100" t="s">
        <v>481</v>
      </c>
      <c r="C28" s="100" t="s">
        <v>482</v>
      </c>
      <c r="D28" s="100" t="s">
        <v>484</v>
      </c>
      <c r="E28" s="100" t="s">
        <v>493</v>
      </c>
      <c r="F28" s="100" t="s">
        <v>495</v>
      </c>
      <c r="G28" s="100" t="s">
        <v>489</v>
      </c>
      <c r="H28" s="100" t="s">
        <v>490</v>
      </c>
    </row>
    <row r="29" spans="1:8">
      <c r="B29" s="97" t="s">
        <v>500</v>
      </c>
      <c r="C29" s="97" t="s">
        <v>540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541</v>
      </c>
      <c r="C30" s="97" t="s">
        <v>542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543</v>
      </c>
      <c r="C31" s="97" t="s">
        <v>544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545</v>
      </c>
      <c r="C32" s="97" t="s">
        <v>546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547</v>
      </c>
      <c r="C33" s="97" t="s">
        <v>548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549</v>
      </c>
      <c r="C34" s="97" t="s">
        <v>550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551</v>
      </c>
      <c r="C35" s="97" t="s">
        <v>552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553</v>
      </c>
      <c r="C36" s="97" t="s">
        <v>554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555</v>
      </c>
      <c r="C37" s="97" t="s">
        <v>501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556</v>
      </c>
      <c r="C38" s="97" t="s">
        <v>557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558</v>
      </c>
      <c r="C39" s="98" t="s">
        <v>559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560</v>
      </c>
      <c r="B2" s="52">
        <v>4.3333333333333339</v>
      </c>
      <c r="C2" s="52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B37" sqref="B37:B38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577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417</v>
      </c>
      <c r="B1" s="79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429</v>
      </c>
    </row>
    <row r="16" spans="1:9">
      <c r="C16" s="73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458</v>
      </c>
      <c r="M1" s="33"/>
      <c r="P1" s="89" t="s">
        <v>452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459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592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583</v>
      </c>
      <c r="H3" s="1"/>
      <c r="I3" s="1" t="s">
        <v>586</v>
      </c>
      <c r="O3" s="117"/>
    </row>
    <row r="4" spans="1:15">
      <c r="A4" s="116"/>
      <c r="B4" t="s">
        <v>581</v>
      </c>
      <c r="C4" t="s">
        <v>223</v>
      </c>
      <c r="D4" t="s">
        <v>582</v>
      </c>
      <c r="E4" t="s">
        <v>225</v>
      </c>
      <c r="I4" s="2" t="s">
        <v>588</v>
      </c>
      <c r="J4" s="2" t="s">
        <v>231</v>
      </c>
      <c r="K4" s="107" t="s">
        <v>232</v>
      </c>
      <c r="L4" t="s">
        <v>589</v>
      </c>
      <c r="N4" t="s">
        <v>590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587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588</v>
      </c>
      <c r="J8" s="2" t="s">
        <v>231</v>
      </c>
      <c r="K8" s="107" t="s">
        <v>232</v>
      </c>
      <c r="L8" t="s">
        <v>589</v>
      </c>
      <c r="N8" t="s">
        <v>590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591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588</v>
      </c>
      <c r="J13" s="2" t="s">
        <v>231</v>
      </c>
      <c r="K13" s="107" t="s">
        <v>232</v>
      </c>
      <c r="L13" t="s">
        <v>589</v>
      </c>
      <c r="N13" t="s">
        <v>590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584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585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595</v>
      </c>
      <c r="B1" s="126" t="s">
        <v>312</v>
      </c>
      <c r="C1" s="126" t="s">
        <v>594</v>
      </c>
      <c r="D1" s="126" t="s">
        <v>314</v>
      </c>
      <c r="E1" s="126" t="s">
        <v>315</v>
      </c>
      <c r="F1" s="126" t="s">
        <v>316</v>
      </c>
      <c r="G1" s="126" t="s">
        <v>317</v>
      </c>
    </row>
    <row r="2" spans="1:10">
      <c r="A2" t="s">
        <v>596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5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5" t="s">
        <v>594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5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4:H8" si="0">SUMPRODUCT(B5:G5,$B$2:$G$2)</f>
        <v>1</v>
      </c>
      <c r="I5" s="2" t="s">
        <v>220</v>
      </c>
      <c r="J5" s="75">
        <v>1</v>
      </c>
    </row>
    <row r="6" spans="1:10">
      <c r="A6" s="125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5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5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597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451</v>
      </c>
      <c r="B1" s="1"/>
      <c r="C1" s="1"/>
      <c r="D1" s="1"/>
      <c r="E1" s="1"/>
      <c r="K1" s="89" t="s">
        <v>450</v>
      </c>
      <c r="Q1" t="s">
        <v>447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abSelected="1" topLeftCell="A3" zoomScale="120" zoomScaleNormal="120" workbookViewId="0">
      <selection activeCell="I5" sqref="I5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4">
        <f>(B6-B5)/B5</f>
        <v>0.11999999999999993</v>
      </c>
      <c r="C7" s="124">
        <f t="shared" ref="C7:H7" si="0">(C6-C5)/C5</f>
        <v>0.12500000000000011</v>
      </c>
      <c r="D7" s="124">
        <f t="shared" si="0"/>
        <v>0.11428571428571425</v>
      </c>
      <c r="E7" s="124">
        <f t="shared" si="0"/>
        <v>0.15254237288135583</v>
      </c>
      <c r="F7" s="124">
        <f t="shared" si="0"/>
        <v>0.11594202898550722</v>
      </c>
      <c r="G7" s="124">
        <f t="shared" si="0"/>
        <v>0.13333333333333325</v>
      </c>
      <c r="H7" s="124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zoomScale="80" zoomScaleNormal="80" workbookViewId="0">
      <selection activeCell="J18" sqref="J18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8" width="9.125" style="11"/>
    <col min="9" max="9" width="17.4375" style="11" customWidth="1"/>
    <col min="10" max="256" width="9.125" style="11"/>
    <col min="257" max="257" width="30.125" style="11" customWidth="1"/>
    <col min="258" max="258" width="13.5625" style="11" bestFit="1" customWidth="1"/>
    <col min="259" max="259" width="12" style="11" customWidth="1"/>
    <col min="260" max="260" width="11.4375" style="11" customWidth="1"/>
    <col min="261" max="264" width="9.125" style="11"/>
    <col min="265" max="265" width="17.4375" style="11" customWidth="1"/>
    <col min="266" max="512" width="9.125" style="11"/>
    <col min="513" max="513" width="30.125" style="11" customWidth="1"/>
    <col min="514" max="514" width="13.5625" style="11" bestFit="1" customWidth="1"/>
    <col min="515" max="515" width="12" style="11" customWidth="1"/>
    <col min="516" max="516" width="11.4375" style="11" customWidth="1"/>
    <col min="517" max="520" width="9.125" style="11"/>
    <col min="521" max="521" width="17.4375" style="11" customWidth="1"/>
    <col min="522" max="768" width="9.125" style="11"/>
    <col min="769" max="769" width="30.125" style="11" customWidth="1"/>
    <col min="770" max="770" width="13.5625" style="11" bestFit="1" customWidth="1"/>
    <col min="771" max="771" width="12" style="11" customWidth="1"/>
    <col min="772" max="772" width="11.4375" style="11" customWidth="1"/>
    <col min="773" max="776" width="9.125" style="11"/>
    <col min="777" max="777" width="17.4375" style="11" customWidth="1"/>
    <col min="778" max="1024" width="9.125" style="11"/>
    <col min="1025" max="1025" width="30.125" style="11" customWidth="1"/>
    <col min="1026" max="1026" width="13.5625" style="11" bestFit="1" customWidth="1"/>
    <col min="1027" max="1027" width="12" style="11" customWidth="1"/>
    <col min="1028" max="1028" width="11.4375" style="11" customWidth="1"/>
    <col min="1029" max="1032" width="9.125" style="11"/>
    <col min="1033" max="1033" width="17.4375" style="11" customWidth="1"/>
    <col min="1034" max="1280" width="9.125" style="11"/>
    <col min="1281" max="1281" width="30.125" style="11" customWidth="1"/>
    <col min="1282" max="1282" width="13.5625" style="11" bestFit="1" customWidth="1"/>
    <col min="1283" max="1283" width="12" style="11" customWidth="1"/>
    <col min="1284" max="1284" width="11.4375" style="11" customWidth="1"/>
    <col min="1285" max="1288" width="9.125" style="11"/>
    <col min="1289" max="1289" width="17.4375" style="11" customWidth="1"/>
    <col min="1290" max="1536" width="9.125" style="11"/>
    <col min="1537" max="1537" width="30.125" style="11" customWidth="1"/>
    <col min="1538" max="1538" width="13.5625" style="11" bestFit="1" customWidth="1"/>
    <col min="1539" max="1539" width="12" style="11" customWidth="1"/>
    <col min="1540" max="1540" width="11.4375" style="11" customWidth="1"/>
    <col min="1541" max="1544" width="9.125" style="11"/>
    <col min="1545" max="1545" width="17.4375" style="11" customWidth="1"/>
    <col min="1546" max="1792" width="9.125" style="11"/>
    <col min="1793" max="1793" width="30.125" style="11" customWidth="1"/>
    <col min="1794" max="1794" width="13.5625" style="11" bestFit="1" customWidth="1"/>
    <col min="1795" max="1795" width="12" style="11" customWidth="1"/>
    <col min="1796" max="1796" width="11.4375" style="11" customWidth="1"/>
    <col min="1797" max="1800" width="9.125" style="11"/>
    <col min="1801" max="1801" width="17.4375" style="11" customWidth="1"/>
    <col min="1802" max="2048" width="9.125" style="11"/>
    <col min="2049" max="2049" width="30.125" style="11" customWidth="1"/>
    <col min="2050" max="2050" width="13.5625" style="11" bestFit="1" customWidth="1"/>
    <col min="2051" max="2051" width="12" style="11" customWidth="1"/>
    <col min="2052" max="2052" width="11.4375" style="11" customWidth="1"/>
    <col min="2053" max="2056" width="9.125" style="11"/>
    <col min="2057" max="2057" width="17.4375" style="11" customWidth="1"/>
    <col min="2058" max="2304" width="9.125" style="11"/>
    <col min="2305" max="2305" width="30.125" style="11" customWidth="1"/>
    <col min="2306" max="2306" width="13.5625" style="11" bestFit="1" customWidth="1"/>
    <col min="2307" max="2307" width="12" style="11" customWidth="1"/>
    <col min="2308" max="2308" width="11.4375" style="11" customWidth="1"/>
    <col min="2309" max="2312" width="9.125" style="11"/>
    <col min="2313" max="2313" width="17.4375" style="11" customWidth="1"/>
    <col min="2314" max="2560" width="9.125" style="11"/>
    <col min="2561" max="2561" width="30.125" style="11" customWidth="1"/>
    <col min="2562" max="2562" width="13.5625" style="11" bestFit="1" customWidth="1"/>
    <col min="2563" max="2563" width="12" style="11" customWidth="1"/>
    <col min="2564" max="2564" width="11.4375" style="11" customWidth="1"/>
    <col min="2565" max="2568" width="9.125" style="11"/>
    <col min="2569" max="2569" width="17.4375" style="11" customWidth="1"/>
    <col min="2570" max="2816" width="9.125" style="11"/>
    <col min="2817" max="2817" width="30.125" style="11" customWidth="1"/>
    <col min="2818" max="2818" width="13.5625" style="11" bestFit="1" customWidth="1"/>
    <col min="2819" max="2819" width="12" style="11" customWidth="1"/>
    <col min="2820" max="2820" width="11.4375" style="11" customWidth="1"/>
    <col min="2821" max="2824" width="9.125" style="11"/>
    <col min="2825" max="2825" width="17.4375" style="11" customWidth="1"/>
    <col min="2826" max="3072" width="9.125" style="11"/>
    <col min="3073" max="3073" width="30.125" style="11" customWidth="1"/>
    <col min="3074" max="3074" width="13.5625" style="11" bestFit="1" customWidth="1"/>
    <col min="3075" max="3075" width="12" style="11" customWidth="1"/>
    <col min="3076" max="3076" width="11.4375" style="11" customWidth="1"/>
    <col min="3077" max="3080" width="9.125" style="11"/>
    <col min="3081" max="3081" width="17.4375" style="11" customWidth="1"/>
    <col min="3082" max="3328" width="9.125" style="11"/>
    <col min="3329" max="3329" width="30.125" style="11" customWidth="1"/>
    <col min="3330" max="3330" width="13.5625" style="11" bestFit="1" customWidth="1"/>
    <col min="3331" max="3331" width="12" style="11" customWidth="1"/>
    <col min="3332" max="3332" width="11.4375" style="11" customWidth="1"/>
    <col min="3333" max="3336" width="9.125" style="11"/>
    <col min="3337" max="3337" width="17.4375" style="11" customWidth="1"/>
    <col min="3338" max="3584" width="9.125" style="11"/>
    <col min="3585" max="3585" width="30.125" style="11" customWidth="1"/>
    <col min="3586" max="3586" width="13.5625" style="11" bestFit="1" customWidth="1"/>
    <col min="3587" max="3587" width="12" style="11" customWidth="1"/>
    <col min="3588" max="3588" width="11.4375" style="11" customWidth="1"/>
    <col min="3589" max="3592" width="9.125" style="11"/>
    <col min="3593" max="3593" width="17.4375" style="11" customWidth="1"/>
    <col min="3594" max="3840" width="9.125" style="11"/>
    <col min="3841" max="3841" width="30.125" style="11" customWidth="1"/>
    <col min="3842" max="3842" width="13.5625" style="11" bestFit="1" customWidth="1"/>
    <col min="3843" max="3843" width="12" style="11" customWidth="1"/>
    <col min="3844" max="3844" width="11.4375" style="11" customWidth="1"/>
    <col min="3845" max="3848" width="9.125" style="11"/>
    <col min="3849" max="3849" width="17.4375" style="11" customWidth="1"/>
    <col min="3850" max="4096" width="9.125" style="11"/>
    <col min="4097" max="4097" width="30.125" style="11" customWidth="1"/>
    <col min="4098" max="4098" width="13.5625" style="11" bestFit="1" customWidth="1"/>
    <col min="4099" max="4099" width="12" style="11" customWidth="1"/>
    <col min="4100" max="4100" width="11.4375" style="11" customWidth="1"/>
    <col min="4101" max="4104" width="9.125" style="11"/>
    <col min="4105" max="4105" width="17.4375" style="11" customWidth="1"/>
    <col min="4106" max="4352" width="9.125" style="11"/>
    <col min="4353" max="4353" width="30.125" style="11" customWidth="1"/>
    <col min="4354" max="4354" width="13.5625" style="11" bestFit="1" customWidth="1"/>
    <col min="4355" max="4355" width="12" style="11" customWidth="1"/>
    <col min="4356" max="4356" width="11.4375" style="11" customWidth="1"/>
    <col min="4357" max="4360" width="9.125" style="11"/>
    <col min="4361" max="4361" width="17.4375" style="11" customWidth="1"/>
    <col min="4362" max="4608" width="9.125" style="11"/>
    <col min="4609" max="4609" width="30.125" style="11" customWidth="1"/>
    <col min="4610" max="4610" width="13.5625" style="11" bestFit="1" customWidth="1"/>
    <col min="4611" max="4611" width="12" style="11" customWidth="1"/>
    <col min="4612" max="4612" width="11.4375" style="11" customWidth="1"/>
    <col min="4613" max="4616" width="9.125" style="11"/>
    <col min="4617" max="4617" width="17.4375" style="11" customWidth="1"/>
    <col min="4618" max="4864" width="9.125" style="11"/>
    <col min="4865" max="4865" width="30.125" style="11" customWidth="1"/>
    <col min="4866" max="4866" width="13.5625" style="11" bestFit="1" customWidth="1"/>
    <col min="4867" max="4867" width="12" style="11" customWidth="1"/>
    <col min="4868" max="4868" width="11.4375" style="11" customWidth="1"/>
    <col min="4869" max="4872" width="9.125" style="11"/>
    <col min="4873" max="4873" width="17.4375" style="11" customWidth="1"/>
    <col min="4874" max="5120" width="9.125" style="11"/>
    <col min="5121" max="5121" width="30.125" style="11" customWidth="1"/>
    <col min="5122" max="5122" width="13.5625" style="11" bestFit="1" customWidth="1"/>
    <col min="5123" max="5123" width="12" style="11" customWidth="1"/>
    <col min="5124" max="5124" width="11.4375" style="11" customWidth="1"/>
    <col min="5125" max="5128" width="9.125" style="11"/>
    <col min="5129" max="5129" width="17.4375" style="11" customWidth="1"/>
    <col min="5130" max="5376" width="9.125" style="11"/>
    <col min="5377" max="5377" width="30.125" style="11" customWidth="1"/>
    <col min="5378" max="5378" width="13.5625" style="11" bestFit="1" customWidth="1"/>
    <col min="5379" max="5379" width="12" style="11" customWidth="1"/>
    <col min="5380" max="5380" width="11.4375" style="11" customWidth="1"/>
    <col min="5381" max="5384" width="9.125" style="11"/>
    <col min="5385" max="5385" width="17.4375" style="11" customWidth="1"/>
    <col min="5386" max="5632" width="9.125" style="11"/>
    <col min="5633" max="5633" width="30.125" style="11" customWidth="1"/>
    <col min="5634" max="5634" width="13.5625" style="11" bestFit="1" customWidth="1"/>
    <col min="5635" max="5635" width="12" style="11" customWidth="1"/>
    <col min="5636" max="5636" width="11.4375" style="11" customWidth="1"/>
    <col min="5637" max="5640" width="9.125" style="11"/>
    <col min="5641" max="5641" width="17.4375" style="11" customWidth="1"/>
    <col min="5642" max="5888" width="9.125" style="11"/>
    <col min="5889" max="5889" width="30.125" style="11" customWidth="1"/>
    <col min="5890" max="5890" width="13.5625" style="11" bestFit="1" customWidth="1"/>
    <col min="5891" max="5891" width="12" style="11" customWidth="1"/>
    <col min="5892" max="5892" width="11.4375" style="11" customWidth="1"/>
    <col min="5893" max="5896" width="9.125" style="11"/>
    <col min="5897" max="5897" width="17.4375" style="11" customWidth="1"/>
    <col min="5898" max="6144" width="9.125" style="11"/>
    <col min="6145" max="6145" width="30.125" style="11" customWidth="1"/>
    <col min="6146" max="6146" width="13.5625" style="11" bestFit="1" customWidth="1"/>
    <col min="6147" max="6147" width="12" style="11" customWidth="1"/>
    <col min="6148" max="6148" width="11.4375" style="11" customWidth="1"/>
    <col min="6149" max="6152" width="9.125" style="11"/>
    <col min="6153" max="6153" width="17.4375" style="11" customWidth="1"/>
    <col min="6154" max="6400" width="9.125" style="11"/>
    <col min="6401" max="6401" width="30.125" style="11" customWidth="1"/>
    <col min="6402" max="6402" width="13.5625" style="11" bestFit="1" customWidth="1"/>
    <col min="6403" max="6403" width="12" style="11" customWidth="1"/>
    <col min="6404" max="6404" width="11.4375" style="11" customWidth="1"/>
    <col min="6405" max="6408" width="9.125" style="11"/>
    <col min="6409" max="6409" width="17.4375" style="11" customWidth="1"/>
    <col min="6410" max="6656" width="9.125" style="11"/>
    <col min="6657" max="6657" width="30.125" style="11" customWidth="1"/>
    <col min="6658" max="6658" width="13.5625" style="11" bestFit="1" customWidth="1"/>
    <col min="6659" max="6659" width="12" style="11" customWidth="1"/>
    <col min="6660" max="6660" width="11.4375" style="11" customWidth="1"/>
    <col min="6661" max="6664" width="9.125" style="11"/>
    <col min="6665" max="6665" width="17.4375" style="11" customWidth="1"/>
    <col min="6666" max="6912" width="9.125" style="11"/>
    <col min="6913" max="6913" width="30.125" style="11" customWidth="1"/>
    <col min="6914" max="6914" width="13.5625" style="11" bestFit="1" customWidth="1"/>
    <col min="6915" max="6915" width="12" style="11" customWidth="1"/>
    <col min="6916" max="6916" width="11.4375" style="11" customWidth="1"/>
    <col min="6917" max="6920" width="9.125" style="11"/>
    <col min="6921" max="6921" width="17.4375" style="11" customWidth="1"/>
    <col min="6922" max="7168" width="9.125" style="11"/>
    <col min="7169" max="7169" width="30.125" style="11" customWidth="1"/>
    <col min="7170" max="7170" width="13.5625" style="11" bestFit="1" customWidth="1"/>
    <col min="7171" max="7171" width="12" style="11" customWidth="1"/>
    <col min="7172" max="7172" width="11.4375" style="11" customWidth="1"/>
    <col min="7173" max="7176" width="9.125" style="11"/>
    <col min="7177" max="7177" width="17.4375" style="11" customWidth="1"/>
    <col min="7178" max="7424" width="9.125" style="11"/>
    <col min="7425" max="7425" width="30.125" style="11" customWidth="1"/>
    <col min="7426" max="7426" width="13.5625" style="11" bestFit="1" customWidth="1"/>
    <col min="7427" max="7427" width="12" style="11" customWidth="1"/>
    <col min="7428" max="7428" width="11.4375" style="11" customWidth="1"/>
    <col min="7429" max="7432" width="9.125" style="11"/>
    <col min="7433" max="7433" width="17.4375" style="11" customWidth="1"/>
    <col min="7434" max="7680" width="9.125" style="11"/>
    <col min="7681" max="7681" width="30.125" style="11" customWidth="1"/>
    <col min="7682" max="7682" width="13.5625" style="11" bestFit="1" customWidth="1"/>
    <col min="7683" max="7683" width="12" style="11" customWidth="1"/>
    <col min="7684" max="7684" width="11.4375" style="11" customWidth="1"/>
    <col min="7685" max="7688" width="9.125" style="11"/>
    <col min="7689" max="7689" width="17.4375" style="11" customWidth="1"/>
    <col min="7690" max="7936" width="9.125" style="11"/>
    <col min="7937" max="7937" width="30.125" style="11" customWidth="1"/>
    <col min="7938" max="7938" width="13.5625" style="11" bestFit="1" customWidth="1"/>
    <col min="7939" max="7939" width="12" style="11" customWidth="1"/>
    <col min="7940" max="7940" width="11.4375" style="11" customWidth="1"/>
    <col min="7941" max="7944" width="9.125" style="11"/>
    <col min="7945" max="7945" width="17.4375" style="11" customWidth="1"/>
    <col min="7946" max="8192" width="9.125" style="11"/>
    <col min="8193" max="8193" width="30.125" style="11" customWidth="1"/>
    <col min="8194" max="8194" width="13.5625" style="11" bestFit="1" customWidth="1"/>
    <col min="8195" max="8195" width="12" style="11" customWidth="1"/>
    <col min="8196" max="8196" width="11.4375" style="11" customWidth="1"/>
    <col min="8197" max="8200" width="9.125" style="11"/>
    <col min="8201" max="8201" width="17.4375" style="11" customWidth="1"/>
    <col min="8202" max="8448" width="9.125" style="11"/>
    <col min="8449" max="8449" width="30.125" style="11" customWidth="1"/>
    <col min="8450" max="8450" width="13.5625" style="11" bestFit="1" customWidth="1"/>
    <col min="8451" max="8451" width="12" style="11" customWidth="1"/>
    <col min="8452" max="8452" width="11.4375" style="11" customWidth="1"/>
    <col min="8453" max="8456" width="9.125" style="11"/>
    <col min="8457" max="8457" width="17.4375" style="11" customWidth="1"/>
    <col min="8458" max="8704" width="9.125" style="11"/>
    <col min="8705" max="8705" width="30.125" style="11" customWidth="1"/>
    <col min="8706" max="8706" width="13.5625" style="11" bestFit="1" customWidth="1"/>
    <col min="8707" max="8707" width="12" style="11" customWidth="1"/>
    <col min="8708" max="8708" width="11.4375" style="11" customWidth="1"/>
    <col min="8709" max="8712" width="9.125" style="11"/>
    <col min="8713" max="8713" width="17.4375" style="11" customWidth="1"/>
    <col min="8714" max="8960" width="9.125" style="11"/>
    <col min="8961" max="8961" width="30.125" style="11" customWidth="1"/>
    <col min="8962" max="8962" width="13.5625" style="11" bestFit="1" customWidth="1"/>
    <col min="8963" max="8963" width="12" style="11" customWidth="1"/>
    <col min="8964" max="8964" width="11.4375" style="11" customWidth="1"/>
    <col min="8965" max="8968" width="9.125" style="11"/>
    <col min="8969" max="8969" width="17.4375" style="11" customWidth="1"/>
    <col min="8970" max="9216" width="9.125" style="11"/>
    <col min="9217" max="9217" width="30.125" style="11" customWidth="1"/>
    <col min="9218" max="9218" width="13.5625" style="11" bestFit="1" customWidth="1"/>
    <col min="9219" max="9219" width="12" style="11" customWidth="1"/>
    <col min="9220" max="9220" width="11.4375" style="11" customWidth="1"/>
    <col min="9221" max="9224" width="9.125" style="11"/>
    <col min="9225" max="9225" width="17.4375" style="11" customWidth="1"/>
    <col min="9226" max="9472" width="9.125" style="11"/>
    <col min="9473" max="9473" width="30.125" style="11" customWidth="1"/>
    <col min="9474" max="9474" width="13.5625" style="11" bestFit="1" customWidth="1"/>
    <col min="9475" max="9475" width="12" style="11" customWidth="1"/>
    <col min="9476" max="9476" width="11.4375" style="11" customWidth="1"/>
    <col min="9477" max="9480" width="9.125" style="11"/>
    <col min="9481" max="9481" width="17.4375" style="11" customWidth="1"/>
    <col min="9482" max="9728" width="9.125" style="11"/>
    <col min="9729" max="9729" width="30.125" style="11" customWidth="1"/>
    <col min="9730" max="9730" width="13.5625" style="11" bestFit="1" customWidth="1"/>
    <col min="9731" max="9731" width="12" style="11" customWidth="1"/>
    <col min="9732" max="9732" width="11.4375" style="11" customWidth="1"/>
    <col min="9733" max="9736" width="9.125" style="11"/>
    <col min="9737" max="9737" width="17.4375" style="11" customWidth="1"/>
    <col min="9738" max="9984" width="9.125" style="11"/>
    <col min="9985" max="9985" width="30.125" style="11" customWidth="1"/>
    <col min="9986" max="9986" width="13.5625" style="11" bestFit="1" customWidth="1"/>
    <col min="9987" max="9987" width="12" style="11" customWidth="1"/>
    <col min="9988" max="9988" width="11.4375" style="11" customWidth="1"/>
    <col min="9989" max="9992" width="9.125" style="11"/>
    <col min="9993" max="9993" width="17.4375" style="11" customWidth="1"/>
    <col min="9994" max="10240" width="9.125" style="11"/>
    <col min="10241" max="10241" width="30.125" style="11" customWidth="1"/>
    <col min="10242" max="10242" width="13.5625" style="11" bestFit="1" customWidth="1"/>
    <col min="10243" max="10243" width="12" style="11" customWidth="1"/>
    <col min="10244" max="10244" width="11.4375" style="11" customWidth="1"/>
    <col min="10245" max="10248" width="9.125" style="11"/>
    <col min="10249" max="10249" width="17.4375" style="11" customWidth="1"/>
    <col min="10250" max="10496" width="9.125" style="11"/>
    <col min="10497" max="10497" width="30.125" style="11" customWidth="1"/>
    <col min="10498" max="10498" width="13.5625" style="11" bestFit="1" customWidth="1"/>
    <col min="10499" max="10499" width="12" style="11" customWidth="1"/>
    <col min="10500" max="10500" width="11.4375" style="11" customWidth="1"/>
    <col min="10501" max="10504" width="9.125" style="11"/>
    <col min="10505" max="10505" width="17.4375" style="11" customWidth="1"/>
    <col min="10506" max="10752" width="9.125" style="11"/>
    <col min="10753" max="10753" width="30.125" style="11" customWidth="1"/>
    <col min="10754" max="10754" width="13.5625" style="11" bestFit="1" customWidth="1"/>
    <col min="10755" max="10755" width="12" style="11" customWidth="1"/>
    <col min="10756" max="10756" width="11.4375" style="11" customWidth="1"/>
    <col min="10757" max="10760" width="9.125" style="11"/>
    <col min="10761" max="10761" width="17.4375" style="11" customWidth="1"/>
    <col min="10762" max="11008" width="9.125" style="11"/>
    <col min="11009" max="11009" width="30.125" style="11" customWidth="1"/>
    <col min="11010" max="11010" width="13.5625" style="11" bestFit="1" customWidth="1"/>
    <col min="11011" max="11011" width="12" style="11" customWidth="1"/>
    <col min="11012" max="11012" width="11.4375" style="11" customWidth="1"/>
    <col min="11013" max="11016" width="9.125" style="11"/>
    <col min="11017" max="11017" width="17.4375" style="11" customWidth="1"/>
    <col min="11018" max="11264" width="9.125" style="11"/>
    <col min="11265" max="11265" width="30.125" style="11" customWidth="1"/>
    <col min="11266" max="11266" width="13.5625" style="11" bestFit="1" customWidth="1"/>
    <col min="11267" max="11267" width="12" style="11" customWidth="1"/>
    <col min="11268" max="11268" width="11.4375" style="11" customWidth="1"/>
    <col min="11269" max="11272" width="9.125" style="11"/>
    <col min="11273" max="11273" width="17.4375" style="11" customWidth="1"/>
    <col min="11274" max="11520" width="9.125" style="11"/>
    <col min="11521" max="11521" width="30.125" style="11" customWidth="1"/>
    <col min="11522" max="11522" width="13.5625" style="11" bestFit="1" customWidth="1"/>
    <col min="11523" max="11523" width="12" style="11" customWidth="1"/>
    <col min="11524" max="11524" width="11.4375" style="11" customWidth="1"/>
    <col min="11525" max="11528" width="9.125" style="11"/>
    <col min="11529" max="11529" width="17.4375" style="11" customWidth="1"/>
    <col min="11530" max="11776" width="9.125" style="11"/>
    <col min="11777" max="11777" width="30.125" style="11" customWidth="1"/>
    <col min="11778" max="11778" width="13.5625" style="11" bestFit="1" customWidth="1"/>
    <col min="11779" max="11779" width="12" style="11" customWidth="1"/>
    <col min="11780" max="11780" width="11.4375" style="11" customWidth="1"/>
    <col min="11781" max="11784" width="9.125" style="11"/>
    <col min="11785" max="11785" width="17.4375" style="11" customWidth="1"/>
    <col min="11786" max="12032" width="9.125" style="11"/>
    <col min="12033" max="12033" width="30.125" style="11" customWidth="1"/>
    <col min="12034" max="12034" width="13.5625" style="11" bestFit="1" customWidth="1"/>
    <col min="12035" max="12035" width="12" style="11" customWidth="1"/>
    <col min="12036" max="12036" width="11.4375" style="11" customWidth="1"/>
    <col min="12037" max="12040" width="9.125" style="11"/>
    <col min="12041" max="12041" width="17.4375" style="11" customWidth="1"/>
    <col min="12042" max="12288" width="9.125" style="11"/>
    <col min="12289" max="12289" width="30.125" style="11" customWidth="1"/>
    <col min="12290" max="12290" width="13.5625" style="11" bestFit="1" customWidth="1"/>
    <col min="12291" max="12291" width="12" style="11" customWidth="1"/>
    <col min="12292" max="12292" width="11.4375" style="11" customWidth="1"/>
    <col min="12293" max="12296" width="9.125" style="11"/>
    <col min="12297" max="12297" width="17.4375" style="11" customWidth="1"/>
    <col min="12298" max="12544" width="9.125" style="11"/>
    <col min="12545" max="12545" width="30.125" style="11" customWidth="1"/>
    <col min="12546" max="12546" width="13.5625" style="11" bestFit="1" customWidth="1"/>
    <col min="12547" max="12547" width="12" style="11" customWidth="1"/>
    <col min="12548" max="12548" width="11.4375" style="11" customWidth="1"/>
    <col min="12549" max="12552" width="9.125" style="11"/>
    <col min="12553" max="12553" width="17.4375" style="11" customWidth="1"/>
    <col min="12554" max="12800" width="9.125" style="11"/>
    <col min="12801" max="12801" width="30.125" style="11" customWidth="1"/>
    <col min="12802" max="12802" width="13.5625" style="11" bestFit="1" customWidth="1"/>
    <col min="12803" max="12803" width="12" style="11" customWidth="1"/>
    <col min="12804" max="12804" width="11.4375" style="11" customWidth="1"/>
    <col min="12805" max="12808" width="9.125" style="11"/>
    <col min="12809" max="12809" width="17.4375" style="11" customWidth="1"/>
    <col min="12810" max="13056" width="9.125" style="11"/>
    <col min="13057" max="13057" width="30.125" style="11" customWidth="1"/>
    <col min="13058" max="13058" width="13.5625" style="11" bestFit="1" customWidth="1"/>
    <col min="13059" max="13059" width="12" style="11" customWidth="1"/>
    <col min="13060" max="13060" width="11.4375" style="11" customWidth="1"/>
    <col min="13061" max="13064" width="9.125" style="11"/>
    <col min="13065" max="13065" width="17.4375" style="11" customWidth="1"/>
    <col min="13066" max="13312" width="9.125" style="11"/>
    <col min="13313" max="13313" width="30.125" style="11" customWidth="1"/>
    <col min="13314" max="13314" width="13.5625" style="11" bestFit="1" customWidth="1"/>
    <col min="13315" max="13315" width="12" style="11" customWidth="1"/>
    <col min="13316" max="13316" width="11.4375" style="11" customWidth="1"/>
    <col min="13317" max="13320" width="9.125" style="11"/>
    <col min="13321" max="13321" width="17.4375" style="11" customWidth="1"/>
    <col min="13322" max="13568" width="9.125" style="11"/>
    <col min="13569" max="13569" width="30.125" style="11" customWidth="1"/>
    <col min="13570" max="13570" width="13.5625" style="11" bestFit="1" customWidth="1"/>
    <col min="13571" max="13571" width="12" style="11" customWidth="1"/>
    <col min="13572" max="13572" width="11.4375" style="11" customWidth="1"/>
    <col min="13573" max="13576" width="9.125" style="11"/>
    <col min="13577" max="13577" width="17.4375" style="11" customWidth="1"/>
    <col min="13578" max="13824" width="9.125" style="11"/>
    <col min="13825" max="13825" width="30.125" style="11" customWidth="1"/>
    <col min="13826" max="13826" width="13.5625" style="11" bestFit="1" customWidth="1"/>
    <col min="13827" max="13827" width="12" style="11" customWidth="1"/>
    <col min="13828" max="13828" width="11.4375" style="11" customWidth="1"/>
    <col min="13829" max="13832" width="9.125" style="11"/>
    <col min="13833" max="13833" width="17.4375" style="11" customWidth="1"/>
    <col min="13834" max="14080" width="9.125" style="11"/>
    <col min="14081" max="14081" width="30.125" style="11" customWidth="1"/>
    <col min="14082" max="14082" width="13.5625" style="11" bestFit="1" customWidth="1"/>
    <col min="14083" max="14083" width="12" style="11" customWidth="1"/>
    <col min="14084" max="14084" width="11.4375" style="11" customWidth="1"/>
    <col min="14085" max="14088" width="9.125" style="11"/>
    <col min="14089" max="14089" width="17.4375" style="11" customWidth="1"/>
    <col min="14090" max="14336" width="9.125" style="11"/>
    <col min="14337" max="14337" width="30.125" style="11" customWidth="1"/>
    <col min="14338" max="14338" width="13.5625" style="11" bestFit="1" customWidth="1"/>
    <col min="14339" max="14339" width="12" style="11" customWidth="1"/>
    <col min="14340" max="14340" width="11.4375" style="11" customWidth="1"/>
    <col min="14341" max="14344" width="9.125" style="11"/>
    <col min="14345" max="14345" width="17.4375" style="11" customWidth="1"/>
    <col min="14346" max="14592" width="9.125" style="11"/>
    <col min="14593" max="14593" width="30.125" style="11" customWidth="1"/>
    <col min="14594" max="14594" width="13.5625" style="11" bestFit="1" customWidth="1"/>
    <col min="14595" max="14595" width="12" style="11" customWidth="1"/>
    <col min="14596" max="14596" width="11.4375" style="11" customWidth="1"/>
    <col min="14597" max="14600" width="9.125" style="11"/>
    <col min="14601" max="14601" width="17.4375" style="11" customWidth="1"/>
    <col min="14602" max="14848" width="9.125" style="11"/>
    <col min="14849" max="14849" width="30.125" style="11" customWidth="1"/>
    <col min="14850" max="14850" width="13.5625" style="11" bestFit="1" customWidth="1"/>
    <col min="14851" max="14851" width="12" style="11" customWidth="1"/>
    <col min="14852" max="14852" width="11.4375" style="11" customWidth="1"/>
    <col min="14853" max="14856" width="9.125" style="11"/>
    <col min="14857" max="14857" width="17.4375" style="11" customWidth="1"/>
    <col min="14858" max="15104" width="9.125" style="11"/>
    <col min="15105" max="15105" width="30.125" style="11" customWidth="1"/>
    <col min="15106" max="15106" width="13.5625" style="11" bestFit="1" customWidth="1"/>
    <col min="15107" max="15107" width="12" style="11" customWidth="1"/>
    <col min="15108" max="15108" width="11.4375" style="11" customWidth="1"/>
    <col min="15109" max="15112" width="9.125" style="11"/>
    <col min="15113" max="15113" width="17.4375" style="11" customWidth="1"/>
    <col min="15114" max="15360" width="9.125" style="11"/>
    <col min="15361" max="15361" width="30.125" style="11" customWidth="1"/>
    <col min="15362" max="15362" width="13.5625" style="11" bestFit="1" customWidth="1"/>
    <col min="15363" max="15363" width="12" style="11" customWidth="1"/>
    <col min="15364" max="15364" width="11.4375" style="11" customWidth="1"/>
    <col min="15365" max="15368" width="9.125" style="11"/>
    <col min="15369" max="15369" width="17.4375" style="11" customWidth="1"/>
    <col min="15370" max="15616" width="9.125" style="11"/>
    <col min="15617" max="15617" width="30.125" style="11" customWidth="1"/>
    <col min="15618" max="15618" width="13.5625" style="11" bestFit="1" customWidth="1"/>
    <col min="15619" max="15619" width="12" style="11" customWidth="1"/>
    <col min="15620" max="15620" width="11.4375" style="11" customWidth="1"/>
    <col min="15621" max="15624" width="9.125" style="11"/>
    <col min="15625" max="15625" width="17.4375" style="11" customWidth="1"/>
    <col min="15626" max="15872" width="9.125" style="11"/>
    <col min="15873" max="15873" width="30.125" style="11" customWidth="1"/>
    <col min="15874" max="15874" width="13.5625" style="11" bestFit="1" customWidth="1"/>
    <col min="15875" max="15875" width="12" style="11" customWidth="1"/>
    <col min="15876" max="15876" width="11.4375" style="11" customWidth="1"/>
    <col min="15877" max="15880" width="9.125" style="11"/>
    <col min="15881" max="15881" width="17.4375" style="11" customWidth="1"/>
    <col min="15882" max="16128" width="9.125" style="11"/>
    <col min="16129" max="16129" width="30.125" style="11" customWidth="1"/>
    <col min="16130" max="16130" width="13.5625" style="11" bestFit="1" customWidth="1"/>
    <col min="16131" max="16131" width="12" style="11" customWidth="1"/>
    <col min="16132" max="16132" width="11.4375" style="11" customWidth="1"/>
    <col min="16133" max="16136" width="9.125" style="11"/>
    <col min="16137" max="16137" width="17.4375" style="11" customWidth="1"/>
    <col min="16138" max="16384" width="9.125" style="11"/>
  </cols>
  <sheetData>
    <row r="1" spans="1:9">
      <c r="A1" s="25" t="s">
        <v>161</v>
      </c>
      <c r="H1" s="33"/>
    </row>
    <row r="2" spans="1:9">
      <c r="E2" s="11" t="s">
        <v>593</v>
      </c>
      <c r="F2" s="11">
        <f>9999</f>
        <v>9999</v>
      </c>
      <c r="H2" s="33"/>
    </row>
    <row r="3" spans="1:9">
      <c r="A3" s="20" t="s">
        <v>162</v>
      </c>
      <c r="I3" s="20"/>
    </row>
    <row r="4" spans="1:9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9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9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9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9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9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9">
      <c r="D11" s="20"/>
    </row>
    <row r="12" spans="1:9">
      <c r="A12" s="20" t="s">
        <v>173</v>
      </c>
      <c r="D12" s="20"/>
    </row>
    <row r="13" spans="1:9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G13" s="23"/>
      <c r="I13" s="23"/>
    </row>
    <row r="14" spans="1:9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H14" s="29"/>
    </row>
    <row r="15" spans="1:9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9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452</v>
      </c>
    </row>
    <row r="2" spans="1:23" ht="13.9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7">
        <f>SUMPRODUCT(N4:T4,$N$3:$T$3)</f>
        <v>23</v>
      </c>
      <c r="V4" s="11" t="s">
        <v>598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8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8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8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8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8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8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8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0"/>
      <c r="C13" s="70"/>
    </row>
    <row r="14" spans="1:17">
      <c r="B14" s="70"/>
      <c r="C14" s="70"/>
      <c r="D14" s="40"/>
    </row>
    <row r="15" spans="1:17">
      <c r="A15" s="11" t="s">
        <v>89</v>
      </c>
      <c r="B15" s="40"/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/>
    </row>
    <row r="25" spans="1:7">
      <c r="A25" s="11" t="s">
        <v>293</v>
      </c>
      <c r="B25" s="71"/>
    </row>
    <row r="26" spans="1:7">
      <c r="A26" s="11" t="s">
        <v>181</v>
      </c>
      <c r="B26" s="71"/>
    </row>
    <row r="28" spans="1:7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3.5"/>
  <cols>
    <col min="1" max="1" width="31.56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372</v>
      </c>
      <c r="F6" t="s">
        <v>378</v>
      </c>
      <c r="G6" s="79">
        <v>100</v>
      </c>
      <c r="H6" s="79">
        <v>100</v>
      </c>
      <c r="I6" s="79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79">
        <v>0.5</v>
      </c>
      <c r="H8" s="79">
        <v>0.4</v>
      </c>
      <c r="I8" s="79">
        <v>1</v>
      </c>
    </row>
    <row r="9" spans="1:12">
      <c r="A9" t="s">
        <v>401</v>
      </c>
      <c r="F9" t="s">
        <v>372</v>
      </c>
      <c r="G9" s="52"/>
      <c r="H9" s="52"/>
      <c r="I9" s="52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1">
        <f>SQRT(($B$6-B2)^2+($C$6-C2)^2)</f>
        <v>5.8309518948453007</v>
      </c>
      <c r="E2" s="91">
        <f>SQRT(SUMSQ(B2-$B$6,C2-$C$6))</f>
        <v>5.8309518948453007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2</v>
      </c>
      <c r="E3" s="91">
        <f t="shared" ref="E3:E5" si="1">SQRT(SUMSQ(B3-$B$6,C3-$C$6))</f>
        <v>2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10.63014581273465</v>
      </c>
      <c r="E4" s="91">
        <f t="shared" si="1"/>
        <v>10.63014581273465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6.4031242374328485</v>
      </c>
      <c r="E5" s="91">
        <f t="shared" si="1"/>
        <v>6.4031242374328485</v>
      </c>
      <c r="F5">
        <v>300</v>
      </c>
      <c r="G5" s="92"/>
    </row>
    <row r="6" spans="1:7">
      <c r="A6" t="s">
        <v>442</v>
      </c>
      <c r="B6" s="52">
        <v>8</v>
      </c>
      <c r="C6" s="52">
        <v>5</v>
      </c>
    </row>
    <row r="7" spans="1:7">
      <c r="A7" s="123" t="s">
        <v>444</v>
      </c>
      <c r="B7" s="123"/>
      <c r="C7" s="123"/>
      <c r="D7" s="123"/>
      <c r="E7" s="123"/>
      <c r="F7" s="91">
        <f>SUMPRODUCT(F2:F5,E2:E5)</f>
        <v>5513.1568127458449</v>
      </c>
      <c r="G7" s="92"/>
    </row>
    <row r="8" spans="1:7">
      <c r="D8" s="91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30</vt:i4>
      </vt:variant>
    </vt:vector>
  </HeadingPairs>
  <TitlesOfParts>
    <vt:vector size="64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2026-08-29T06:05:48Z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