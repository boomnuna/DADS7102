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229\Documents\GitHub\DADS7102\HW2\result\"/>
    </mc:Choice>
  </mc:AlternateContent>
  <xr:revisionPtr revIDLastSave="0" documentId="13_ncr:1_{05B5A3B6-48D9-417B-B2AC-2B095B1333B1}" xr6:coauthVersionLast="47" xr6:coauthVersionMax="47" xr10:uidLastSave="{00000000-0000-0000-0000-000000000000}"/>
  <bookViews>
    <workbookView xWindow="-120" yWindow="-120" windowWidth="29040" windowHeight="15720" xr2:uid="{743BE6A8-4582-4DE1-BD9D-D3263963213D}"/>
  </bookViews>
  <sheets>
    <sheet name="Farmer" sheetId="1" r:id="rId1"/>
    <sheet name="Fractional" sheetId="2" r:id="rId2"/>
  </sheets>
  <externalReferences>
    <externalReference r:id="rId3"/>
  </externalReferences>
  <definedNames>
    <definedName name="AFinish">[1]project!$K$6</definedName>
    <definedName name="BFinish">[1]project!$K$7</definedName>
    <definedName name="CFinish">[1]project!$K$8</definedName>
    <definedName name="DFinish">[1]project!$K$9</definedName>
    <definedName name="EFinish">[1]project!$K$10</definedName>
    <definedName name="FFinish">[1]project!$K$11</definedName>
    <definedName name="GFinish">[1]project!$K$12</definedName>
    <definedName name="HFinish">[1]project!$K$13</definedName>
    <definedName name="IFinish">[1]project!$K$14</definedName>
    <definedName name="JFinish">[1]project!$K$15</definedName>
    <definedName name="KFinish">[1]project!$K$16</definedName>
    <definedName name="LFinish">[1]project!$K$17</definedName>
    <definedName name="MFinish">[1]project!$K$18</definedName>
    <definedName name="NFinish">[1]project!$K$19</definedName>
    <definedName name="solver_adj" localSheetId="0" hidden="1">Farmer!$C$3:$F$5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Farmer!$I$12:$I$13</definedName>
    <definedName name="solver_lhs2" localSheetId="0" hidden="1">Farmer!$I$9:$I$11</definedName>
    <definedName name="solver_lhs3" localSheetId="0" hidden="1">Farmer!$I$11</definedName>
    <definedName name="solver_lhs4" localSheetId="0" hidden="1">Farmer!$I$11</definedName>
    <definedName name="solver_lhs5" localSheetId="0" hidden="1">Farmer!$I$11</definedName>
    <definedName name="solver_lhs6" localSheetId="0" hidden="1">Farmer!#REF!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Farmer!$E$10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hs1" localSheetId="0" hidden="1">Farmer!$K$12:$K$13</definedName>
    <definedName name="solver_rhs2" localSheetId="0" hidden="1">Farmer!$K$9:$K$11</definedName>
    <definedName name="solver_rhs3" localSheetId="0" hidden="1">Farmer!$K$11</definedName>
    <definedName name="solver_rhs4" localSheetId="0" hidden="1">Farmer!$K$11</definedName>
    <definedName name="solver_rhs5" localSheetId="0" hidden="1">Farmer!$K$11</definedName>
    <definedName name="solver_rhs6" localSheetId="0" hidden="1">Farmer!#REF!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" i="1" l="1"/>
  <c r="I13" i="1"/>
  <c r="K12" i="1"/>
  <c r="I12" i="1"/>
  <c r="K11" i="1"/>
  <c r="I11" i="1"/>
  <c r="K10" i="1"/>
  <c r="I10" i="1"/>
  <c r="K9" i="1"/>
  <c r="I9" i="1"/>
  <c r="D10" i="1"/>
  <c r="C10" i="1"/>
  <c r="B10" i="1"/>
  <c r="E10" i="1" l="1"/>
</calcChain>
</file>

<file path=xl/sharedStrings.xml><?xml version="1.0" encoding="utf-8"?>
<sst xmlns="http://schemas.openxmlformats.org/spreadsheetml/2006/main" count="35" uniqueCount="29">
  <si>
    <t>wheat</t>
  </si>
  <si>
    <t>corn</t>
  </si>
  <si>
    <t>sugar</t>
  </si>
  <si>
    <t>x</t>
  </si>
  <si>
    <t>plant</t>
  </si>
  <si>
    <t>plant_cost</t>
  </si>
  <si>
    <t>w</t>
  </si>
  <si>
    <t>sold</t>
  </si>
  <si>
    <t>sell_price</t>
  </si>
  <si>
    <t>y</t>
  </si>
  <si>
    <t>buy</t>
  </si>
  <si>
    <t>purchase_cost</t>
  </si>
  <si>
    <t>yeild_per_acres</t>
  </si>
  <si>
    <t xml:space="preserve">planting cost </t>
  </si>
  <si>
    <t xml:space="preserve">purchase cost </t>
  </si>
  <si>
    <t>revenue</t>
  </si>
  <si>
    <t xml:space="preserve">cost </t>
  </si>
  <si>
    <t xml:space="preserve">constraint </t>
  </si>
  <si>
    <t>z</t>
  </si>
  <si>
    <t xml:space="preserve">land </t>
  </si>
  <si>
    <t>&lt;=</t>
  </si>
  <si>
    <t>beet_sold</t>
  </si>
  <si>
    <t>sugar_under_quota</t>
  </si>
  <si>
    <t>wheat_req</t>
  </si>
  <si>
    <t>&gt;=</t>
  </si>
  <si>
    <t>corn_req</t>
  </si>
  <si>
    <t>decision variable</t>
  </si>
  <si>
    <t xml:space="preserve">information </t>
  </si>
  <si>
    <t>objective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</si>
</sst>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3" borderId="0" xfId="0" applyFill="1"/>
    <xf numFmtId="0" fontId="0" fillId="0" borderId="0" xfId="0" applyFill="1" applyAlignment="1">
      <alignment horizontal="center"/>
    </xf>
    <xf numFmtId="0" fontId="0" fillId="4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00229/Desktop/desktop/Optimization/data-files-optim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W_Sensitivity Report 1"/>
      <sheetName val="HW"/>
      <sheetName val="ProductMix"/>
      <sheetName val="ProductMix2"/>
      <sheetName val="HW_2"/>
      <sheetName val="Dual"/>
      <sheetName val="ProdPlanning"/>
      <sheetName val="project"/>
      <sheetName val="BlendingOil"/>
      <sheetName val="Transport1"/>
      <sheetName val="AssignmentProblem"/>
      <sheetName val="BinPacking"/>
      <sheetName val="cuttingStock"/>
      <sheetName val="RedBrandLogistics"/>
      <sheetName val="MCNF"/>
      <sheetName val="ShortestPath"/>
      <sheetName val="Aggregate1"/>
      <sheetName val="CapitalBudget"/>
      <sheetName val="FixedCost"/>
      <sheetName val="Hub"/>
      <sheetName val="WorkerScheduling"/>
      <sheetName val="Transport1-2"/>
      <sheetName val="MMULT"/>
      <sheetName val="MDETERM"/>
      <sheetName val="Peakload"/>
      <sheetName val="Portfolio"/>
      <sheetName val="EOQ"/>
      <sheetName val="SVM1"/>
      <sheetName val="MLE"/>
      <sheetName val="OLS"/>
      <sheetName val="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K6">
            <v>2</v>
          </cell>
        </row>
        <row r="7">
          <cell r="K7">
            <v>6</v>
          </cell>
        </row>
        <row r="8">
          <cell r="K8">
            <v>16</v>
          </cell>
        </row>
        <row r="9">
          <cell r="K9">
            <v>22</v>
          </cell>
        </row>
        <row r="10">
          <cell r="K10">
            <v>20</v>
          </cell>
        </row>
        <row r="11">
          <cell r="K11">
            <v>23</v>
          </cell>
        </row>
        <row r="12">
          <cell r="K12">
            <v>29</v>
          </cell>
        </row>
        <row r="13">
          <cell r="K13">
            <v>38</v>
          </cell>
        </row>
        <row r="14">
          <cell r="K14">
            <v>23</v>
          </cell>
        </row>
        <row r="15">
          <cell r="K15">
            <v>29</v>
          </cell>
        </row>
        <row r="16">
          <cell r="K16">
            <v>34</v>
          </cell>
        </row>
        <row r="17">
          <cell r="K17">
            <v>34</v>
          </cell>
        </row>
        <row r="18">
          <cell r="K18">
            <v>40</v>
          </cell>
        </row>
        <row r="19">
          <cell r="K19">
            <v>40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D4FA-8A00-4FF2-8641-FF1AE1300BD3}">
  <dimension ref="A1:L14"/>
  <sheetViews>
    <sheetView tabSelected="1" workbookViewId="0">
      <selection activeCell="Q32" sqref="Q32"/>
    </sheetView>
  </sheetViews>
  <sheetFormatPr defaultRowHeight="15" x14ac:dyDescent="0.25"/>
  <cols>
    <col min="2" max="2" width="12" bestFit="1" customWidth="1"/>
    <col min="3" max="3" width="12.7109375" bestFit="1" customWidth="1"/>
    <col min="4" max="4" width="13.5703125" bestFit="1" customWidth="1"/>
    <col min="5" max="5" width="13.5703125" customWidth="1"/>
    <col min="6" max="6" width="8.42578125" customWidth="1"/>
    <col min="8" max="8" width="18.42578125" bestFit="1" customWidth="1"/>
  </cols>
  <sheetData>
    <row r="1" spans="1:12" x14ac:dyDescent="0.25">
      <c r="A1" s="2" t="s">
        <v>26</v>
      </c>
      <c r="H1" s="2" t="s">
        <v>27</v>
      </c>
    </row>
    <row r="2" spans="1:12" x14ac:dyDescent="0.25">
      <c r="C2" s="4" t="s">
        <v>0</v>
      </c>
      <c r="D2" s="4" t="s">
        <v>1</v>
      </c>
      <c r="E2" s="4" t="s">
        <v>2</v>
      </c>
      <c r="I2" s="4" t="s">
        <v>0</v>
      </c>
      <c r="J2" s="4" t="s">
        <v>1</v>
      </c>
      <c r="K2" s="4" t="s">
        <v>2</v>
      </c>
    </row>
    <row r="3" spans="1:12" x14ac:dyDescent="0.25">
      <c r="A3" t="s">
        <v>3</v>
      </c>
      <c r="B3" t="s">
        <v>4</v>
      </c>
      <c r="C3" s="5">
        <v>120</v>
      </c>
      <c r="D3" s="5">
        <v>80</v>
      </c>
      <c r="E3" s="5">
        <v>300</v>
      </c>
      <c r="F3">
        <v>0</v>
      </c>
      <c r="H3" t="s">
        <v>5</v>
      </c>
      <c r="I3">
        <v>150</v>
      </c>
      <c r="J3">
        <v>230</v>
      </c>
      <c r="K3">
        <v>260</v>
      </c>
    </row>
    <row r="4" spans="1:12" x14ac:dyDescent="0.25">
      <c r="A4" t="s">
        <v>6</v>
      </c>
      <c r="B4" t="s">
        <v>7</v>
      </c>
      <c r="C4">
        <v>100</v>
      </c>
      <c r="D4">
        <v>0</v>
      </c>
      <c r="E4">
        <v>6000</v>
      </c>
      <c r="F4">
        <v>0</v>
      </c>
      <c r="H4" t="s">
        <v>8</v>
      </c>
      <c r="I4">
        <v>170</v>
      </c>
      <c r="J4">
        <v>150</v>
      </c>
      <c r="K4">
        <v>36</v>
      </c>
      <c r="L4">
        <v>10</v>
      </c>
    </row>
    <row r="5" spans="1:12" x14ac:dyDescent="0.25">
      <c r="A5" t="s">
        <v>9</v>
      </c>
      <c r="B5" t="s">
        <v>10</v>
      </c>
      <c r="C5">
        <v>0</v>
      </c>
      <c r="D5">
        <v>0</v>
      </c>
      <c r="E5">
        <v>0</v>
      </c>
      <c r="F5">
        <v>0</v>
      </c>
      <c r="H5" t="s">
        <v>11</v>
      </c>
      <c r="I5">
        <v>238</v>
      </c>
      <c r="J5">
        <v>210</v>
      </c>
    </row>
    <row r="6" spans="1:12" x14ac:dyDescent="0.25">
      <c r="H6" t="s">
        <v>12</v>
      </c>
      <c r="I6">
        <v>2.5</v>
      </c>
      <c r="J6">
        <v>3</v>
      </c>
      <c r="K6">
        <v>20</v>
      </c>
    </row>
    <row r="8" spans="1:12" x14ac:dyDescent="0.25">
      <c r="A8" s="2" t="s">
        <v>28</v>
      </c>
      <c r="H8" s="2" t="s">
        <v>17</v>
      </c>
    </row>
    <row r="9" spans="1:12" x14ac:dyDescent="0.25">
      <c r="B9" s="1" t="s">
        <v>13</v>
      </c>
      <c r="C9" s="1" t="s">
        <v>14</v>
      </c>
      <c r="D9" s="1" t="s">
        <v>15</v>
      </c>
      <c r="E9" s="1" t="s">
        <v>16</v>
      </c>
      <c r="H9" t="s">
        <v>19</v>
      </c>
      <c r="I9" s="6">
        <f>SUM(C3:E3)</f>
        <v>500</v>
      </c>
      <c r="J9" t="s">
        <v>20</v>
      </c>
      <c r="K9" s="3">
        <f>500</f>
        <v>500</v>
      </c>
    </row>
    <row r="10" spans="1:12" x14ac:dyDescent="0.25">
      <c r="A10" t="s">
        <v>18</v>
      </c>
      <c r="B10">
        <f>SUMPRODUCT(C3:E3,I3:K3)</f>
        <v>114400</v>
      </c>
      <c r="C10">
        <f>SUMPRODUCT(C5:D5,I5:J5)</f>
        <v>0</v>
      </c>
      <c r="D10">
        <f>SUMPRODUCT(C4:F4,I4:L4)</f>
        <v>233000</v>
      </c>
      <c r="E10">
        <f>B10+C10-D10</f>
        <v>-118600</v>
      </c>
      <c r="H10" t="s">
        <v>21</v>
      </c>
      <c r="I10" s="6">
        <f>SUM(E4:F4)</f>
        <v>6000</v>
      </c>
      <c r="J10" t="s">
        <v>20</v>
      </c>
      <c r="K10" s="3">
        <f>20*E3</f>
        <v>6000</v>
      </c>
    </row>
    <row r="11" spans="1:12" x14ac:dyDescent="0.25">
      <c r="H11" t="s">
        <v>22</v>
      </c>
      <c r="I11" s="6">
        <f>E4</f>
        <v>6000</v>
      </c>
      <c r="J11" t="s">
        <v>20</v>
      </c>
      <c r="K11" s="3">
        <f>6000</f>
        <v>6000</v>
      </c>
    </row>
    <row r="12" spans="1:12" x14ac:dyDescent="0.25">
      <c r="H12" t="s">
        <v>23</v>
      </c>
      <c r="I12" s="6">
        <f>(I6*C3) + C5 - C4</f>
        <v>200</v>
      </c>
      <c r="J12" t="s">
        <v>24</v>
      </c>
      <c r="K12" s="3">
        <f>200</f>
        <v>200</v>
      </c>
    </row>
    <row r="13" spans="1:12" x14ac:dyDescent="0.25">
      <c r="H13" t="s">
        <v>25</v>
      </c>
      <c r="I13" s="6">
        <f>(J6*D3) + D5 - D4</f>
        <v>240</v>
      </c>
      <c r="J13" t="s">
        <v>24</v>
      </c>
      <c r="K13" s="3">
        <f>240</f>
        <v>240</v>
      </c>
    </row>
    <row r="14" spans="1:12" x14ac:dyDescent="0.25">
      <c r="B1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1110-8A22-41AD-B4DC-22BED4234CBA}">
  <dimension ref="A1"/>
  <sheetViews>
    <sheetView workbookViewId="0">
      <selection activeCell="B8" sqref="B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Farmer</vt:lpstr>
      <vt:lpstr>Fractional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Janpitak</dc:creator>
  <cp:lastModifiedBy>Pannatorn Janpitak</cp:lastModifiedBy>
  <dcterms:created xsi:type="dcterms:W3CDTF">2026-08-20T06:14:13Z</dcterms:created>
  <dcterms:modified xsi:type="dcterms:W3CDTF">2026-09-18T07:12:03Z</dcterms:modified>
</cp:coreProperties>
</file>