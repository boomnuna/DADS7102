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GitHub\DADS7102\HW7\result\"/>
    </mc:Choice>
  </mc:AlternateContent>
  <xr:revisionPtr revIDLastSave="0" documentId="13_ncr:1_{DB54E8AD-5ABA-46A6-AAD0-49CC2A6AD894}" xr6:coauthVersionLast="47" xr6:coauthVersionMax="47" xr10:uidLastSave="{00000000-0000-0000-0000-000000000000}"/>
  <bookViews>
    <workbookView xWindow="-98" yWindow="-98" windowWidth="21795" windowHeight="12975" xr2:uid="{EF30D337-AC89-4A81-A3FC-43F5CBEE8CD4}"/>
  </bookViews>
  <sheets>
    <sheet name="HW7.1" sheetId="1" r:id="rId1"/>
    <sheet name="HW7.2" sheetId="2" r:id="rId2"/>
  </sheets>
  <definedNames>
    <definedName name="solver_adj" localSheetId="1" hidden="1">'HW7.2'!$B$2:$D$2</definedName>
    <definedName name="solver_cvg" localSheetId="1" hidden="1">0.0001</definedName>
    <definedName name="solver_drv" localSheetId="1" hidden="1">2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'HW7.2'!$E$6:$E$7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'HW7.2'!$E$4</definedName>
    <definedName name="solver_pre" localSheetId="1" hidden="1">0.000001</definedName>
    <definedName name="solver_rbv" localSheetId="1" hidden="1">2</definedName>
    <definedName name="solver_rel1" localSheetId="1" hidden="1">1</definedName>
    <definedName name="solver_rhs1" localSheetId="1" hidden="1">'HW7.2'!$G$6:$G$7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I8" i="1"/>
  <c r="G7" i="2"/>
  <c r="K7" i="2"/>
  <c r="C3" i="2"/>
  <c r="D3" i="2"/>
  <c r="B3" i="2"/>
  <c r="I6" i="2"/>
  <c r="C6" i="2"/>
  <c r="D6" i="2"/>
  <c r="B6" i="2"/>
  <c r="B12" i="2"/>
  <c r="C12" i="2"/>
  <c r="D12" i="2"/>
  <c r="E12" i="2"/>
  <c r="E7" i="2"/>
  <c r="E4" i="2"/>
  <c r="F20" i="1"/>
  <c r="C4" i="1"/>
  <c r="B16" i="1"/>
  <c r="F16" i="1" s="1" a="1"/>
  <c r="F19" i="1" s="1" a="1"/>
  <c r="C17" i="1"/>
  <c r="C16" i="1"/>
  <c r="B17" i="1"/>
  <c r="B12" i="1"/>
  <c r="B4" i="1"/>
  <c r="B13" i="1" s="1"/>
  <c r="B14" i="1" s="1"/>
  <c r="C8" i="1"/>
  <c r="B8" i="1"/>
  <c r="C7" i="1"/>
  <c r="B7" i="1"/>
  <c r="J6" i="2" l="1"/>
  <c r="K6" i="2" s="1"/>
  <c r="E6" i="2" s="1"/>
  <c r="G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<sst xmlns="http://schemas.openxmlformats.org/spreadsheetml/2006/main" count="37" uniqueCount="30">
  <si>
    <t>ham</t>
  </si>
  <si>
    <t>sand</t>
  </si>
  <si>
    <t>mean</t>
  </si>
  <si>
    <t>std</t>
  </si>
  <si>
    <t xml:space="preserve">&gt;= </t>
  </si>
  <si>
    <t>a. &amp; b.</t>
  </si>
  <si>
    <t>c</t>
  </si>
  <si>
    <t>d</t>
  </si>
  <si>
    <t xml:space="preserve">ham out, go get chicken </t>
  </si>
  <si>
    <t>margin</t>
  </si>
  <si>
    <t xml:space="preserve">e </t>
  </si>
  <si>
    <t xml:space="preserve">mean </t>
  </si>
  <si>
    <t>var</t>
  </si>
  <si>
    <t>V^0.5</t>
  </si>
  <si>
    <t>correlation</t>
  </si>
  <si>
    <t>covariance</t>
  </si>
  <si>
    <t xml:space="preserve">b </t>
  </si>
  <si>
    <t>std(t)</t>
  </si>
  <si>
    <t>var(t)</t>
  </si>
  <si>
    <t>x1</t>
  </si>
  <si>
    <t>x2</t>
  </si>
  <si>
    <t>x3</t>
  </si>
  <si>
    <t>coef</t>
  </si>
  <si>
    <t>const</t>
  </si>
  <si>
    <t>B</t>
  </si>
  <si>
    <t>A11</t>
  </si>
  <si>
    <t>A12</t>
  </si>
  <si>
    <t>A13</t>
  </si>
  <si>
    <t>X^2</t>
  </si>
  <si>
    <t>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</si>
</sst>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000%"/>
  </numFmts>
  <fonts count="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0" borderId="1" xfId="0" applyBorder="1"/>
    <xf numFmtId="187" fontId="0" fillId="3" borderId="0" xfId="1" applyNumberFormat="1" applyFont="1" applyFill="1"/>
    <xf numFmtId="0" fontId="0" fillId="4" borderId="0" xfId="0" applyFill="1"/>
    <xf numFmtId="0" fontId="0" fillId="5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9B698-0931-4D93-BA24-D672D8D75F34}">
  <dimension ref="A1:J23"/>
  <sheetViews>
    <sheetView tabSelected="1" workbookViewId="0">
      <selection activeCell="M19" sqref="M19"/>
    </sheetView>
  </sheetViews>
  <sheetFormatPr defaultRowHeight="13.5" x14ac:dyDescent="0.35"/>
  <cols>
    <col min="2" max="2" width="7.75" customWidth="1"/>
    <col min="4" max="4" width="3.875" bestFit="1" customWidth="1"/>
    <col min="7" max="7" width="12" bestFit="1" customWidth="1"/>
  </cols>
  <sheetData>
    <row r="1" spans="1:10" x14ac:dyDescent="0.35">
      <c r="B1" s="2" t="s">
        <v>0</v>
      </c>
      <c r="C1" s="2" t="s">
        <v>1</v>
      </c>
    </row>
    <row r="2" spans="1:10" x14ac:dyDescent="0.35">
      <c r="A2" t="s">
        <v>2</v>
      </c>
      <c r="B2">
        <v>313</v>
      </c>
      <c r="C2">
        <v>93</v>
      </c>
    </row>
    <row r="3" spans="1:10" x14ac:dyDescent="0.35">
      <c r="A3" t="s">
        <v>3</v>
      </c>
      <c r="B3">
        <v>57</v>
      </c>
      <c r="C3">
        <v>22</v>
      </c>
    </row>
    <row r="4" spans="1:10" x14ac:dyDescent="0.35">
      <c r="A4" t="s">
        <v>12</v>
      </c>
      <c r="B4">
        <f>B3^2</f>
        <v>3249</v>
      </c>
      <c r="C4">
        <f>C3^2</f>
        <v>484</v>
      </c>
    </row>
    <row r="5" spans="1:10" x14ac:dyDescent="0.35">
      <c r="A5" t="s">
        <v>9</v>
      </c>
      <c r="B5">
        <v>8</v>
      </c>
      <c r="C5">
        <v>5</v>
      </c>
    </row>
    <row r="7" spans="1:10" x14ac:dyDescent="0.35">
      <c r="A7" t="s">
        <v>5</v>
      </c>
      <c r="B7" s="3">
        <f>_xlfn.NORM.INV($E$7, B2, B3)</f>
        <v>430.06368790601385</v>
      </c>
      <c r="C7" s="3">
        <f>_xlfn.NORM.INV($E$7, C2, C3)</f>
        <v>138.18247603390009</v>
      </c>
      <c r="D7" s="2" t="s">
        <v>4</v>
      </c>
      <c r="E7">
        <v>0.98</v>
      </c>
    </row>
    <row r="8" spans="1:10" x14ac:dyDescent="0.35">
      <c r="A8" t="s">
        <v>6</v>
      </c>
      <c r="B8">
        <f>_xlfn.NORM.DIST(E8,B2,B3,TRUE)</f>
        <v>0.93653438087161944</v>
      </c>
      <c r="C8">
        <f>_xlfn.NORM.DIST(F8,C2,C3,TRUE)</f>
        <v>0.99521386127579103</v>
      </c>
      <c r="E8">
        <v>400</v>
      </c>
      <c r="F8">
        <v>150</v>
      </c>
      <c r="G8" s="5">
        <f>(1-B8) * (1-C8)</f>
        <v>3.0375525736623944E-4</v>
      </c>
      <c r="I8">
        <f>1-B8</f>
        <v>6.3465619128380557E-2</v>
      </c>
      <c r="J8">
        <f>1-C8</f>
        <v>4.7861387242089659E-3</v>
      </c>
    </row>
    <row r="9" spans="1:10" x14ac:dyDescent="0.35">
      <c r="A9" t="s">
        <v>7</v>
      </c>
      <c r="B9" s="3" t="s">
        <v>8</v>
      </c>
    </row>
    <row r="11" spans="1:10" x14ac:dyDescent="0.35">
      <c r="A11" t="s">
        <v>10</v>
      </c>
    </row>
    <row r="12" spans="1:10" x14ac:dyDescent="0.35">
      <c r="A12" t="s">
        <v>11</v>
      </c>
      <c r="B12" s="3">
        <f>SUM(B2:C2)</f>
        <v>406</v>
      </c>
    </row>
    <row r="13" spans="1:10" x14ac:dyDescent="0.35">
      <c r="A13" t="s">
        <v>12</v>
      </c>
      <c r="B13">
        <f>SUM(B4:C4)</f>
        <v>3733</v>
      </c>
    </row>
    <row r="14" spans="1:10" x14ac:dyDescent="0.35">
      <c r="A14" t="s">
        <v>3</v>
      </c>
      <c r="B14" s="3">
        <f>SQRT(B13)</f>
        <v>61.098281481560512</v>
      </c>
    </row>
    <row r="16" spans="1:10" x14ac:dyDescent="0.35">
      <c r="A16" t="s">
        <v>13</v>
      </c>
      <c r="B16" s="4">
        <f>B3</f>
        <v>57</v>
      </c>
      <c r="C16" s="4">
        <f>0</f>
        <v>0</v>
      </c>
      <c r="E16" t="s">
        <v>15</v>
      </c>
      <c r="F16" s="4" cm="1">
        <f t="array" ref="F16:G17">MMULT(MMULT(B16:C17,B19:C20),B16:C17)</f>
        <v>3249</v>
      </c>
      <c r="G16" s="4">
        <v>-463.98</v>
      </c>
    </row>
    <row r="17" spans="1:7" x14ac:dyDescent="0.35">
      <c r="B17" s="4">
        <f>0</f>
        <v>0</v>
      </c>
      <c r="C17" s="4">
        <f>C3</f>
        <v>22</v>
      </c>
      <c r="F17" s="4">
        <v>-463.98</v>
      </c>
      <c r="G17" s="4">
        <v>484</v>
      </c>
    </row>
    <row r="19" spans="1:7" x14ac:dyDescent="0.35">
      <c r="A19" t="s">
        <v>14</v>
      </c>
      <c r="B19" s="4">
        <v>1</v>
      </c>
      <c r="C19" s="4">
        <v>-0.37</v>
      </c>
      <c r="E19" t="s">
        <v>18</v>
      </c>
      <c r="F19" cm="1">
        <f t="array" ref="F19">MMULT(MMULT(TRANSPOSE(B22:B23),_xlfn.ANCHORARRAY(F16)),B22:B23)</f>
        <v>2805.04</v>
      </c>
    </row>
    <row r="20" spans="1:7" x14ac:dyDescent="0.35">
      <c r="B20" s="4">
        <v>-0.37</v>
      </c>
      <c r="C20" s="4">
        <v>1</v>
      </c>
      <c r="E20" t="s">
        <v>17</v>
      </c>
      <c r="F20" s="3">
        <f>SQRT(F19)</f>
        <v>52.96262833357121</v>
      </c>
    </row>
    <row r="22" spans="1:7" x14ac:dyDescent="0.35">
      <c r="A22" t="s">
        <v>16</v>
      </c>
      <c r="B22" s="4">
        <v>1</v>
      </c>
    </row>
    <row r="23" spans="1:7" x14ac:dyDescent="0.35">
      <c r="B23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42F76-2CCF-4518-AB23-5BF680091132}">
  <dimension ref="A1:K12"/>
  <sheetViews>
    <sheetView workbookViewId="0">
      <selection activeCell="E4" sqref="E4"/>
    </sheetView>
  </sheetViews>
  <sheetFormatPr defaultRowHeight="13.5" x14ac:dyDescent="0.35"/>
  <sheetData>
    <row r="1" spans="1:11" x14ac:dyDescent="0.35">
      <c r="B1" s="2" t="s">
        <v>19</v>
      </c>
      <c r="C1" s="2" t="s">
        <v>20</v>
      </c>
      <c r="D1" s="2" t="s">
        <v>21</v>
      </c>
    </row>
    <row r="2" spans="1:11" x14ac:dyDescent="0.35">
      <c r="B2" s="1">
        <v>0.46252381186337749</v>
      </c>
      <c r="C2" s="1">
        <v>0.63274390554705096</v>
      </c>
      <c r="D2" s="1">
        <v>0</v>
      </c>
    </row>
    <row r="3" spans="1:11" x14ac:dyDescent="0.35">
      <c r="A3" t="s">
        <v>28</v>
      </c>
      <c r="B3">
        <f>B2^2</f>
        <v>0.21392827654062901</v>
      </c>
      <c r="C3">
        <f t="shared" ref="C3:D3" si="0">C2^2</f>
        <v>0.40036485000693534</v>
      </c>
      <c r="D3">
        <f t="shared" si="0"/>
        <v>0</v>
      </c>
    </row>
    <row r="4" spans="1:11" x14ac:dyDescent="0.35">
      <c r="A4" t="s">
        <v>22</v>
      </c>
      <c r="B4">
        <v>5</v>
      </c>
      <c r="C4">
        <v>6</v>
      </c>
      <c r="D4">
        <v>3</v>
      </c>
      <c r="E4" s="3">
        <f>SUMPRODUCT(B4:D4,B2:D2)</f>
        <v>6.1090824925991933</v>
      </c>
    </row>
    <row r="5" spans="1:11" x14ac:dyDescent="0.35">
      <c r="I5" s="2"/>
      <c r="J5" s="2"/>
    </row>
    <row r="6" spans="1:11" x14ac:dyDescent="0.35">
      <c r="A6" t="s">
        <v>23</v>
      </c>
      <c r="B6">
        <f>B10</f>
        <v>1</v>
      </c>
      <c r="C6">
        <f t="shared" ref="C6:D6" si="1">C10</f>
        <v>3</v>
      </c>
      <c r="D6">
        <f t="shared" si="1"/>
        <v>9</v>
      </c>
      <c r="E6" s="6">
        <f>K6+K7</f>
        <v>7.9999999985544648</v>
      </c>
      <c r="F6" t="s">
        <v>29</v>
      </c>
      <c r="G6" s="7">
        <v>8</v>
      </c>
      <c r="H6">
        <v>0.95</v>
      </c>
      <c r="I6">
        <f>_xlfn.NORM.S.INV($H$6)</f>
        <v>1.6448536269514715</v>
      </c>
      <c r="J6">
        <f>SQRT(SUMPRODUCT(B3:D3,B11:D11))</f>
        <v>3.4284172023875232</v>
      </c>
      <c r="K6">
        <f>I6*J6</f>
        <v>5.6392444700499347</v>
      </c>
    </row>
    <row r="7" spans="1:11" x14ac:dyDescent="0.35">
      <c r="B7">
        <v>5</v>
      </c>
      <c r="C7">
        <v>1</v>
      </c>
      <c r="D7">
        <v>6</v>
      </c>
      <c r="E7" s="6">
        <f>SUMPRODUCT(B7:D7, B2:D2)</f>
        <v>2.9453629648639383</v>
      </c>
      <c r="F7" t="s">
        <v>29</v>
      </c>
      <c r="G7" s="7">
        <f>_xlfn.NORM.INV(1-$H$7, $E$10,$E$12)</f>
        <v>10.844654696633802</v>
      </c>
      <c r="H7">
        <v>0.1</v>
      </c>
      <c r="K7">
        <f>SUMPRODUCT(B6:D6,B2:D2)</f>
        <v>2.3607555285045305</v>
      </c>
    </row>
    <row r="9" spans="1:11" x14ac:dyDescent="0.35">
      <c r="A9" t="s">
        <v>23</v>
      </c>
      <c r="B9" s="2" t="s">
        <v>25</v>
      </c>
      <c r="C9" s="2" t="s">
        <v>26</v>
      </c>
      <c r="D9" s="2" t="s">
        <v>27</v>
      </c>
      <c r="E9" s="2" t="s">
        <v>24</v>
      </c>
    </row>
    <row r="10" spans="1:11" x14ac:dyDescent="0.35">
      <c r="A10" t="s">
        <v>2</v>
      </c>
      <c r="B10">
        <v>1</v>
      </c>
      <c r="C10">
        <v>3</v>
      </c>
      <c r="D10">
        <v>9</v>
      </c>
      <c r="E10">
        <v>7</v>
      </c>
    </row>
    <row r="11" spans="1:11" x14ac:dyDescent="0.35">
      <c r="A11" t="s">
        <v>12</v>
      </c>
      <c r="B11">
        <v>25</v>
      </c>
      <c r="C11">
        <v>16</v>
      </c>
      <c r="D11">
        <v>4</v>
      </c>
      <c r="E11">
        <v>9</v>
      </c>
    </row>
    <row r="12" spans="1:11" x14ac:dyDescent="0.35">
      <c r="A12" t="s">
        <v>3</v>
      </c>
      <c r="B12">
        <f t="shared" ref="B12:D12" si="2">SQRT(B11)</f>
        <v>5</v>
      </c>
      <c r="C12">
        <f t="shared" si="2"/>
        <v>4</v>
      </c>
      <c r="D12">
        <f t="shared" si="2"/>
        <v>2</v>
      </c>
      <c r="E12">
        <f>SQRT(E11)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HW7.1</vt:lpstr>
      <vt:lpstr>HW7.2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Pannatorn Janpitak</dc:creator>
  <cp:lastModifiedBy>Pannatorn Janpitak</cp:lastModifiedBy>
  <dcterms:created xsi:type="dcterms:W3CDTF">2026-10-04T02:55:33Z</dcterms:created>
  <dcterms:modified xsi:type="dcterms:W3CDTF">2026-10-04T05:48:11Z</dcterms:modified>
</cp:coreProperties>
</file>