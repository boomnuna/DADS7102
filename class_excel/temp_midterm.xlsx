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ocuments\GitHub\DADS7102\class_excel\"/>
    </mc:Choice>
  </mc:AlternateContent>
  <xr:revisionPtr revIDLastSave="0" documentId="13_ncr:1_{C3CE1B8C-61F3-436E-965F-F24741E7636A}" xr6:coauthVersionLast="47" xr6:coauthVersionMax="47" xr10:uidLastSave="{00000000-0000-0000-0000-000000000000}"/>
  <bookViews>
    <workbookView xWindow="-98" yWindow="-98" windowWidth="21795" windowHeight="12975" activeTab="7" xr2:uid="{962D6ACA-47B2-4C7E-82D5-0F5476EE75BF}"/>
  </bookViews>
  <sheets>
    <sheet name="ch_1_1" sheetId="1" r:id="rId1"/>
    <sheet name="ch_1_2" sheetId="5" r:id="rId2"/>
    <sheet name="ch_2_1" sheetId="4" r:id="rId3"/>
    <sheet name="ch_2_2" sheetId="9" r:id="rId4"/>
    <sheet name="ch_2_3" sheetId="11" r:id="rId5"/>
    <sheet name="ch_2_4" sheetId="15" r:id="rId6"/>
    <sheet name="ch_3_1" sheetId="16" r:id="rId7"/>
    <sheet name="ch_3_2" sheetId="17" r:id="rId8"/>
  </sheets>
  <definedNames>
    <definedName name="solver_adj" localSheetId="0" hidden="1">ch_1_1!$L$2:$N$2</definedName>
    <definedName name="solver_adj" localSheetId="1" hidden="1">ch_1_2!$B$2:$C$2</definedName>
    <definedName name="solver_adj" localSheetId="2" hidden="1">ch_2_1!$B$2:$I$3</definedName>
    <definedName name="solver_adj" localSheetId="3" hidden="1">ch_2_2!$B$2:$C$2</definedName>
    <definedName name="solver_adj" localSheetId="4" hidden="1">ch_2_3!$B$2:$E$4</definedName>
    <definedName name="solver_adj" localSheetId="5" hidden="1">ch_2_4!$B$2:$H$2</definedName>
    <definedName name="solver_adj" localSheetId="6" hidden="1">ch_3_1!$D$3:$D$28</definedName>
    <definedName name="solver_adj" localSheetId="7" hidden="1">ch_3_2!$D$3:$D$8</definedName>
    <definedName name="solver_cvg" localSheetId="0" hidden="1">0.0001</definedName>
    <definedName name="solver_cvg" localSheetId="1" hidden="1">0.0001</definedName>
    <definedName name="solver_cvg" localSheetId="2" hidden="1">0.0001</definedName>
    <definedName name="solver_cvg" localSheetId="3" hidden="1">0.0001</definedName>
    <definedName name="solver_cvg" localSheetId="4" hidden="1">0.0001</definedName>
    <definedName name="solver_cvg" localSheetId="5" hidden="1">0.0001</definedName>
    <definedName name="solver_cvg" localSheetId="6" hidden="1">0.0001</definedName>
    <definedName name="solver_cvg" localSheetId="7" hidden="1">0.0001</definedName>
    <definedName name="solver_drv" localSheetId="0" hidden="1">1</definedName>
    <definedName name="solver_drv" localSheetId="1" hidden="1">1</definedName>
    <definedName name="solver_drv" localSheetId="2" hidden="1">1</definedName>
    <definedName name="solver_drv" localSheetId="3" hidden="1">1</definedName>
    <definedName name="solver_drv" localSheetId="4" hidden="1">1</definedName>
    <definedName name="solver_drv" localSheetId="5" hidden="1">2</definedName>
    <definedName name="solver_drv" localSheetId="6" hidden="1">1</definedName>
    <definedName name="solver_drv" localSheetId="7" hidden="1">1</definedName>
    <definedName name="solver_eng" localSheetId="0" hidden="1">2</definedName>
    <definedName name="solver_eng" localSheetId="1" hidden="1">2</definedName>
    <definedName name="solver_eng" localSheetId="2" hidden="1">2</definedName>
    <definedName name="solver_eng" localSheetId="3" hidden="1">2</definedName>
    <definedName name="solver_eng" localSheetId="4" hidden="1">2</definedName>
    <definedName name="solver_eng" localSheetId="5" hidden="1">2</definedName>
    <definedName name="solver_eng" localSheetId="6" hidden="1">2</definedName>
    <definedName name="solver_eng" localSheetId="7" hidden="1">2</definedName>
    <definedName name="solver_est" localSheetId="0" hidden="1">1</definedName>
    <definedName name="solver_est" localSheetId="1" hidden="1">1</definedName>
    <definedName name="solver_est" localSheetId="2" hidden="1">1</definedName>
    <definedName name="solver_est" localSheetId="3" hidden="1">1</definedName>
    <definedName name="solver_est" localSheetId="4" hidden="1">1</definedName>
    <definedName name="solver_est" localSheetId="5" hidden="1">1</definedName>
    <definedName name="solver_est" localSheetId="6" hidden="1">1</definedName>
    <definedName name="solver_est" localSheetId="7" hidden="1">1</definedName>
    <definedName name="solver_itr" localSheetId="0" hidden="1">2147483647</definedName>
    <definedName name="solver_itr" localSheetId="1" hidden="1">2147483647</definedName>
    <definedName name="solver_itr" localSheetId="2" hidden="1">2147483647</definedName>
    <definedName name="solver_itr" localSheetId="3" hidden="1">2147483647</definedName>
    <definedName name="solver_itr" localSheetId="4" hidden="1">2147483647</definedName>
    <definedName name="solver_itr" localSheetId="5" hidden="1">2147483647</definedName>
    <definedName name="solver_itr" localSheetId="6" hidden="1">2147483647</definedName>
    <definedName name="solver_itr" localSheetId="7" hidden="1">2147483647</definedName>
    <definedName name="solver_lhs1" localSheetId="0" hidden="1">ch_1_1!$B$3:$B$5</definedName>
    <definedName name="solver_lhs1" localSheetId="1" hidden="1">ch_1_2!$F$5:$F$7</definedName>
    <definedName name="solver_lhs1" localSheetId="2" hidden="1">ch_2_1!$B$4:$I$4</definedName>
    <definedName name="solver_lhs1" localSheetId="3" hidden="1">ch_2_2!$E$4:$E$6</definedName>
    <definedName name="solver_lhs1" localSheetId="4" hidden="1">ch_2_3!$G$2:$G$6</definedName>
    <definedName name="solver_lhs1" localSheetId="5" hidden="1">ch_2_4!$B$2:$H$2</definedName>
    <definedName name="solver_lhs1" localSheetId="6" hidden="1">ch_3_1!$D$3:$D$28</definedName>
    <definedName name="solver_lhs1" localSheetId="7" hidden="1">ch_3_2!$D$3:$D$8</definedName>
    <definedName name="solver_lhs2" localSheetId="0" hidden="1">ch_1_1!$B$8:$B$9</definedName>
    <definedName name="solver_lhs2" localSheetId="2" hidden="1">ch_2_1!$O$2:$O$4</definedName>
    <definedName name="solver_lhs2" localSheetId="5" hidden="1">ch_2_4!$J$3</definedName>
    <definedName name="solver_lhs2" localSheetId="6" hidden="1">ch_3_1!$K$3:$K$9</definedName>
    <definedName name="solver_lhs2" localSheetId="7" hidden="1">ch_3_2!$K$3:$K$7</definedName>
    <definedName name="solver_mip" localSheetId="0" hidden="1">2147483647</definedName>
    <definedName name="solver_mip" localSheetId="1" hidden="1">2147483647</definedName>
    <definedName name="solver_mip" localSheetId="2" hidden="1">2147483647</definedName>
    <definedName name="solver_mip" localSheetId="3" hidden="1">2147483647</definedName>
    <definedName name="solver_mip" localSheetId="4" hidden="1">2147483647</definedName>
    <definedName name="solver_mip" localSheetId="5" hidden="1">2147483647</definedName>
    <definedName name="solver_mip" localSheetId="6" hidden="1">2147483647</definedName>
    <definedName name="solver_mip" localSheetId="7" hidden="1">2147483647</definedName>
    <definedName name="solver_mni" localSheetId="0" hidden="1">30</definedName>
    <definedName name="solver_mni" localSheetId="1" hidden="1">30</definedName>
    <definedName name="solver_mni" localSheetId="2" hidden="1">30</definedName>
    <definedName name="solver_mni" localSheetId="3" hidden="1">30</definedName>
    <definedName name="solver_mni" localSheetId="4" hidden="1">30</definedName>
    <definedName name="solver_mni" localSheetId="5" hidden="1">30</definedName>
    <definedName name="solver_mni" localSheetId="6" hidden="1">30</definedName>
    <definedName name="solver_mni" localSheetId="7" hidden="1">30</definedName>
    <definedName name="solver_mrt" localSheetId="0" hidden="1">0.075</definedName>
    <definedName name="solver_mrt" localSheetId="1" hidden="1">0.075</definedName>
    <definedName name="solver_mrt" localSheetId="2" hidden="1">0.075</definedName>
    <definedName name="solver_mrt" localSheetId="3" hidden="1">0.075</definedName>
    <definedName name="solver_mrt" localSheetId="4" hidden="1">0.075</definedName>
    <definedName name="solver_mrt" localSheetId="5" hidden="1">0.075</definedName>
    <definedName name="solver_mrt" localSheetId="6" hidden="1">0.075</definedName>
    <definedName name="solver_mrt" localSheetId="7" hidden="1">0.075</definedName>
    <definedName name="solver_msl" localSheetId="0" hidden="1">2</definedName>
    <definedName name="solver_msl" localSheetId="1" hidden="1">2</definedName>
    <definedName name="solver_msl" localSheetId="2" hidden="1">2</definedName>
    <definedName name="solver_msl" localSheetId="3" hidden="1">2</definedName>
    <definedName name="solver_msl" localSheetId="4" hidden="1">2</definedName>
    <definedName name="solver_msl" localSheetId="5" hidden="1">2</definedName>
    <definedName name="solver_msl" localSheetId="6" hidden="1">2</definedName>
    <definedName name="solver_msl" localSheetId="7" hidden="1">2</definedName>
    <definedName name="solver_neg" localSheetId="0" hidden="1">1</definedName>
    <definedName name="solver_neg" localSheetId="1" hidden="1">1</definedName>
    <definedName name="solver_neg" localSheetId="2" hidden="1">1</definedName>
    <definedName name="solver_neg" localSheetId="3" hidden="1">1</definedName>
    <definedName name="solver_neg" localSheetId="4" hidden="1">1</definedName>
    <definedName name="solver_neg" localSheetId="5" hidden="1">1</definedName>
    <definedName name="solver_neg" localSheetId="6" hidden="1">1</definedName>
    <definedName name="solver_neg" localSheetId="7" hidden="1">1</definedName>
    <definedName name="solver_nod" localSheetId="0" hidden="1">2147483647</definedName>
    <definedName name="solver_nod" localSheetId="1" hidden="1">2147483647</definedName>
    <definedName name="solver_nod" localSheetId="2" hidden="1">2147483647</definedName>
    <definedName name="solver_nod" localSheetId="3" hidden="1">2147483647</definedName>
    <definedName name="solver_nod" localSheetId="4" hidden="1">2147483647</definedName>
    <definedName name="solver_nod" localSheetId="5" hidden="1">2147483647</definedName>
    <definedName name="solver_nod" localSheetId="6" hidden="1">2147483647</definedName>
    <definedName name="solver_nod" localSheetId="7" hidden="1">2147483647</definedName>
    <definedName name="solver_num" localSheetId="0" hidden="1">2</definedName>
    <definedName name="solver_num" localSheetId="1" hidden="1">1</definedName>
    <definedName name="solver_num" localSheetId="2" hidden="1">2</definedName>
    <definedName name="solver_num" localSheetId="3" hidden="1">1</definedName>
    <definedName name="solver_num" localSheetId="4" hidden="1">1</definedName>
    <definedName name="solver_num" localSheetId="5" hidden="1">2</definedName>
    <definedName name="solver_num" localSheetId="6" hidden="1">2</definedName>
    <definedName name="solver_num" localSheetId="7" hidden="1">2</definedName>
    <definedName name="solver_nwt" localSheetId="0" hidden="1">1</definedName>
    <definedName name="solver_nwt" localSheetId="1" hidden="1">1</definedName>
    <definedName name="solver_nwt" localSheetId="2" hidden="1">1</definedName>
    <definedName name="solver_nwt" localSheetId="3" hidden="1">1</definedName>
    <definedName name="solver_nwt" localSheetId="4" hidden="1">1</definedName>
    <definedName name="solver_nwt" localSheetId="5" hidden="1">1</definedName>
    <definedName name="solver_nwt" localSheetId="6" hidden="1">1</definedName>
    <definedName name="solver_nwt" localSheetId="7" hidden="1">1</definedName>
    <definedName name="solver_opt" localSheetId="0" hidden="1">ch_1_1!$B$17</definedName>
    <definedName name="solver_opt" localSheetId="1" hidden="1">ch_1_2!$B$10</definedName>
    <definedName name="solver_opt" localSheetId="2" hidden="1">ch_2_1!$J$22</definedName>
    <definedName name="solver_opt" localSheetId="3" hidden="1">ch_2_2!$B$10</definedName>
    <definedName name="solver_opt" localSheetId="4" hidden="1">ch_2_3!$B$14</definedName>
    <definedName name="solver_opt" localSheetId="5" hidden="1">ch_2_4!$B$8</definedName>
    <definedName name="solver_opt" localSheetId="6" hidden="1">ch_3_1!$I$11</definedName>
    <definedName name="solver_opt" localSheetId="7" hidden="1">ch_3_2!$B$11</definedName>
    <definedName name="solver_pre" localSheetId="0" hidden="1">0.000001</definedName>
    <definedName name="solver_pre" localSheetId="1" hidden="1">0.000001</definedName>
    <definedName name="solver_pre" localSheetId="2" hidden="1">0.000001</definedName>
    <definedName name="solver_pre" localSheetId="3" hidden="1">0.000001</definedName>
    <definedName name="solver_pre" localSheetId="4" hidden="1">0.000001</definedName>
    <definedName name="solver_pre" localSheetId="5" hidden="1">0.000001</definedName>
    <definedName name="solver_pre" localSheetId="6" hidden="1">0.000001</definedName>
    <definedName name="solver_pre" localSheetId="7" hidden="1">0.000001</definedName>
    <definedName name="solver_rbv" localSheetId="0" hidden="1">1</definedName>
    <definedName name="solver_rbv" localSheetId="1" hidden="1">1</definedName>
    <definedName name="solver_rbv" localSheetId="2" hidden="1">1</definedName>
    <definedName name="solver_rbv" localSheetId="3" hidden="1">1</definedName>
    <definedName name="solver_rbv" localSheetId="4" hidden="1">1</definedName>
    <definedName name="solver_rbv" localSheetId="5" hidden="1">2</definedName>
    <definedName name="solver_rbv" localSheetId="6" hidden="1">1</definedName>
    <definedName name="solver_rbv" localSheetId="7" hidden="1">1</definedName>
    <definedName name="solver_rel1" localSheetId="0" hidden="1">1</definedName>
    <definedName name="solver_rel1" localSheetId="1" hidden="1">1</definedName>
    <definedName name="solver_rel1" localSheetId="2" hidden="1">1</definedName>
    <definedName name="solver_rel1" localSheetId="3" hidden="1">3</definedName>
    <definedName name="solver_rel1" localSheetId="4" hidden="1">1</definedName>
    <definedName name="solver_rel1" localSheetId="5" hidden="1">1</definedName>
    <definedName name="solver_rel1" localSheetId="6" hidden="1">1</definedName>
    <definedName name="solver_rel1" localSheetId="7" hidden="1">1</definedName>
    <definedName name="solver_rel2" localSheetId="0" hidden="1">1</definedName>
    <definedName name="solver_rel2" localSheetId="2" hidden="1">1</definedName>
    <definedName name="solver_rel2" localSheetId="5" hidden="1">1</definedName>
    <definedName name="solver_rel2" localSheetId="6" hidden="1">1</definedName>
    <definedName name="solver_rel2" localSheetId="7" hidden="1">1</definedName>
    <definedName name="solver_rhs1" localSheetId="0" hidden="1">ch_1_1!$D$3:$D$5</definedName>
    <definedName name="solver_rhs1" localSheetId="1" hidden="1">ch_1_2!$H$5:$H$7</definedName>
    <definedName name="solver_rhs1" localSheetId="2" hidden="1">ch_2_1!$B$6:$I$6</definedName>
    <definedName name="solver_rhs1" localSheetId="3" hidden="1">ch_2_2!$G$4:$G$6</definedName>
    <definedName name="solver_rhs1" localSheetId="4" hidden="1">ch_2_3!$I$2:$I$6</definedName>
    <definedName name="solver_rhs1" localSheetId="5" hidden="1">1</definedName>
    <definedName name="solver_rhs1" localSheetId="6" hidden="1">ch_3_1!$F$3:$F$28</definedName>
    <definedName name="solver_rhs1" localSheetId="7" hidden="1">ch_3_2!$F$3:$F$8</definedName>
    <definedName name="solver_rhs2" localSheetId="0" hidden="1">ch_1_1!$D$8:$D$9</definedName>
    <definedName name="solver_rhs2" localSheetId="2" hidden="1">ch_2_1!$Q$2:$Q$4</definedName>
    <definedName name="solver_rhs2" localSheetId="5" hidden="1">ch_2_4!$L$3</definedName>
    <definedName name="solver_rhs2" localSheetId="6" hidden="1">ch_3_1!$M$3:$M$9</definedName>
    <definedName name="solver_rhs2" localSheetId="7" hidden="1">ch_3_2!$M$3:$M$7</definedName>
    <definedName name="solver_rlx" localSheetId="0" hidden="1">2</definedName>
    <definedName name="solver_rlx" localSheetId="1" hidden="1">2</definedName>
    <definedName name="solver_rlx" localSheetId="2" hidden="1">2</definedName>
    <definedName name="solver_rlx" localSheetId="3" hidden="1">2</definedName>
    <definedName name="solver_rlx" localSheetId="4" hidden="1">2</definedName>
    <definedName name="solver_rlx" localSheetId="5" hidden="1">2</definedName>
    <definedName name="solver_rlx" localSheetId="6" hidden="1">2</definedName>
    <definedName name="solver_rlx" localSheetId="7" hidden="1">2</definedName>
    <definedName name="solver_rsd" localSheetId="0" hidden="1">0</definedName>
    <definedName name="solver_rsd" localSheetId="1" hidden="1">0</definedName>
    <definedName name="solver_rsd" localSheetId="2" hidden="1">0</definedName>
    <definedName name="solver_rsd" localSheetId="3" hidden="1">0</definedName>
    <definedName name="solver_rsd" localSheetId="4" hidden="1">0</definedName>
    <definedName name="solver_rsd" localSheetId="5" hidden="1">0</definedName>
    <definedName name="solver_rsd" localSheetId="6" hidden="1">0</definedName>
    <definedName name="solver_rsd" localSheetId="7" hidden="1">0</definedName>
    <definedName name="solver_scl" localSheetId="0" hidden="1">1</definedName>
    <definedName name="solver_scl" localSheetId="1" hidden="1">1</definedName>
    <definedName name="solver_scl" localSheetId="2" hidden="1">1</definedName>
    <definedName name="solver_scl" localSheetId="3" hidden="1">1</definedName>
    <definedName name="solver_scl" localSheetId="4" hidden="1">1</definedName>
    <definedName name="solver_scl" localSheetId="5" hidden="1">2</definedName>
    <definedName name="solver_scl" localSheetId="6" hidden="1">1</definedName>
    <definedName name="solver_scl" localSheetId="7" hidden="1">1</definedName>
    <definedName name="solver_sho" localSheetId="0" hidden="1">2</definedName>
    <definedName name="solver_sho" localSheetId="1" hidden="1">2</definedName>
    <definedName name="solver_sho" localSheetId="2" hidden="1">2</definedName>
    <definedName name="solver_sho" localSheetId="3" hidden="1">2</definedName>
    <definedName name="solver_sho" localSheetId="4" hidden="1">2</definedName>
    <definedName name="solver_sho" localSheetId="5" hidden="1">2</definedName>
    <definedName name="solver_sho" localSheetId="6" hidden="1">2</definedName>
    <definedName name="solver_sho" localSheetId="7" hidden="1">2</definedName>
    <definedName name="solver_ssz" localSheetId="0" hidden="1">100</definedName>
    <definedName name="solver_ssz" localSheetId="1" hidden="1">100</definedName>
    <definedName name="solver_ssz" localSheetId="2" hidden="1">100</definedName>
    <definedName name="solver_ssz" localSheetId="3" hidden="1">100</definedName>
    <definedName name="solver_ssz" localSheetId="4" hidden="1">100</definedName>
    <definedName name="solver_ssz" localSheetId="5" hidden="1">100</definedName>
    <definedName name="solver_ssz" localSheetId="6" hidden="1">100</definedName>
    <definedName name="solver_ssz" localSheetId="7" hidden="1">100</definedName>
    <definedName name="solver_tim" localSheetId="0" hidden="1">2147483647</definedName>
    <definedName name="solver_tim" localSheetId="1" hidden="1">2147483647</definedName>
    <definedName name="solver_tim" localSheetId="2" hidden="1">2147483647</definedName>
    <definedName name="solver_tim" localSheetId="3" hidden="1">2147483647</definedName>
    <definedName name="solver_tim" localSheetId="4" hidden="1">2147483647</definedName>
    <definedName name="solver_tim" localSheetId="5" hidden="1">2147483647</definedName>
    <definedName name="solver_tim" localSheetId="6" hidden="1">2147483647</definedName>
    <definedName name="solver_tim" localSheetId="7" hidden="1">2147483647</definedName>
    <definedName name="solver_tol" localSheetId="0" hidden="1">0.01</definedName>
    <definedName name="solver_tol" localSheetId="1" hidden="1">0.01</definedName>
    <definedName name="solver_tol" localSheetId="2" hidden="1">0.01</definedName>
    <definedName name="solver_tol" localSheetId="3" hidden="1">0.01</definedName>
    <definedName name="solver_tol" localSheetId="4" hidden="1">0.01</definedName>
    <definedName name="solver_tol" localSheetId="5" hidden="1">0.01</definedName>
    <definedName name="solver_tol" localSheetId="6" hidden="1">0.01</definedName>
    <definedName name="solver_tol" localSheetId="7" hidden="1">0.01</definedName>
    <definedName name="solver_typ" localSheetId="0" hidden="1">1</definedName>
    <definedName name="solver_typ" localSheetId="1" hidden="1">1</definedName>
    <definedName name="solver_typ" localSheetId="2" hidden="1">1</definedName>
    <definedName name="solver_typ" localSheetId="3" hidden="1">2</definedName>
    <definedName name="solver_typ" localSheetId="4" hidden="1">1</definedName>
    <definedName name="solver_typ" localSheetId="5" hidden="1">1</definedName>
    <definedName name="solver_typ" localSheetId="6" hidden="1">2</definedName>
    <definedName name="solver_typ" localSheetId="7" hidden="1">2</definedName>
    <definedName name="solver_val" localSheetId="0" hidden="1">0</definedName>
    <definedName name="solver_val" localSheetId="1" hidden="1">0</definedName>
    <definedName name="solver_val" localSheetId="2" hidden="1">0</definedName>
    <definedName name="solver_val" localSheetId="3" hidden="1">0</definedName>
    <definedName name="solver_val" localSheetId="4" hidden="1">0</definedName>
    <definedName name="solver_val" localSheetId="5" hidden="1">0</definedName>
    <definedName name="solver_val" localSheetId="6" hidden="1">0</definedName>
    <definedName name="solver_val" localSheetId="7" hidden="1">0</definedName>
    <definedName name="solver_ver" localSheetId="0" hidden="1">3</definedName>
    <definedName name="solver_ver" localSheetId="1" hidden="1">3</definedName>
    <definedName name="solver_ver" localSheetId="2" hidden="1">3</definedName>
    <definedName name="solver_ver" localSheetId="3" hidden="1">3</definedName>
    <definedName name="solver_ver" localSheetId="4" hidden="1">3</definedName>
    <definedName name="solver_ver" localSheetId="5" hidden="1">3</definedName>
    <definedName name="solver_ver" localSheetId="6" hidden="1">3</definedName>
    <definedName name="solver_ver" localSheetId="7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" i="17" l="1"/>
  <c r="J4" i="17"/>
  <c r="J5" i="17"/>
  <c r="J6" i="17"/>
  <c r="J7" i="17"/>
  <c r="J3" i="17"/>
  <c r="I4" i="17"/>
  <c r="K4" i="17" s="1"/>
  <c r="I5" i="17"/>
  <c r="I6" i="17"/>
  <c r="I7" i="17"/>
  <c r="K7" i="17" s="1"/>
  <c r="I3" i="17"/>
  <c r="K3" i="17" s="1"/>
  <c r="F6" i="17"/>
  <c r="F4" i="17"/>
  <c r="I11" i="16"/>
  <c r="J4" i="16"/>
  <c r="J5" i="16"/>
  <c r="J6" i="16"/>
  <c r="J7" i="16"/>
  <c r="J8" i="16"/>
  <c r="J9" i="16"/>
  <c r="J3" i="16"/>
  <c r="I4" i="16"/>
  <c r="I5" i="16"/>
  <c r="I6" i="16"/>
  <c r="I7" i="16"/>
  <c r="I8" i="16"/>
  <c r="I9" i="16"/>
  <c r="I3" i="16"/>
  <c r="K3" i="16" s="1"/>
  <c r="B8" i="15"/>
  <c r="J3" i="15"/>
  <c r="K5" i="17" l="1"/>
  <c r="K6" i="17"/>
  <c r="K8" i="16"/>
  <c r="K7" i="16"/>
  <c r="K9" i="16"/>
  <c r="K4" i="16"/>
  <c r="K5" i="16"/>
  <c r="K6" i="16"/>
  <c r="C6" i="15"/>
  <c r="D6" i="15"/>
  <c r="E6" i="15"/>
  <c r="F6" i="15"/>
  <c r="G6" i="15"/>
  <c r="H6" i="15"/>
  <c r="B6" i="15"/>
  <c r="G4" i="11" l="1"/>
  <c r="G3" i="11"/>
  <c r="I5" i="11"/>
  <c r="G5" i="11"/>
  <c r="G6" i="11"/>
  <c r="G2" i="11"/>
  <c r="B12" i="11"/>
  <c r="B13" i="11"/>
  <c r="B11" i="11"/>
  <c r="B10" i="9"/>
  <c r="E5" i="9"/>
  <c r="E6" i="9"/>
  <c r="E4" i="9"/>
  <c r="F5" i="5"/>
  <c r="H5" i="5"/>
  <c r="H7" i="5"/>
  <c r="B14" i="11" l="1"/>
  <c r="F6" i="5" l="1"/>
  <c r="F7" i="5"/>
  <c r="B10" i="5"/>
  <c r="O4" i="4"/>
  <c r="O3" i="4"/>
  <c r="O2" i="4"/>
  <c r="J22" i="4"/>
  <c r="C22" i="4"/>
  <c r="D22" i="4"/>
  <c r="E22" i="4"/>
  <c r="F22" i="4"/>
  <c r="G22" i="4"/>
  <c r="H22" i="4"/>
  <c r="I22" i="4"/>
  <c r="B22" i="4"/>
  <c r="I4" i="4"/>
  <c r="C4" i="4"/>
  <c r="D4" i="4"/>
  <c r="E4" i="4"/>
  <c r="F4" i="4"/>
  <c r="G4" i="4"/>
  <c r="H4" i="4"/>
  <c r="B4" i="4"/>
  <c r="C17" i="4"/>
  <c r="D17" i="4"/>
  <c r="E17" i="4"/>
  <c r="F17" i="4"/>
  <c r="G17" i="4"/>
  <c r="H17" i="4"/>
  <c r="I17" i="4"/>
  <c r="B17" i="4"/>
  <c r="C16" i="4"/>
  <c r="D16" i="4"/>
  <c r="E16" i="4"/>
  <c r="F16" i="4"/>
  <c r="G16" i="4"/>
  <c r="H16" i="4"/>
  <c r="I16" i="4"/>
  <c r="B16" i="4"/>
  <c r="I15" i="4"/>
  <c r="C15" i="4"/>
  <c r="D15" i="4"/>
  <c r="E15" i="4"/>
  <c r="F15" i="4"/>
  <c r="G15" i="4"/>
  <c r="H15" i="4"/>
  <c r="H20" i="4" s="1"/>
  <c r="B15" i="4"/>
  <c r="C20" i="4" l="1"/>
  <c r="D20" i="4"/>
  <c r="B20" i="4"/>
  <c r="G19" i="4"/>
  <c r="I19" i="4"/>
  <c r="I20" i="4"/>
  <c r="E19" i="4"/>
  <c r="B19" i="4"/>
  <c r="C19" i="4"/>
  <c r="H19" i="4"/>
  <c r="F20" i="4"/>
  <c r="D19" i="4"/>
  <c r="G20" i="4"/>
  <c r="E20" i="4"/>
  <c r="F19" i="4"/>
  <c r="B9" i="1" l="1"/>
  <c r="B16" i="1" s="1"/>
  <c r="B8" i="1"/>
  <c r="B15" i="1" s="1"/>
  <c r="B14" i="1"/>
  <c r="B13" i="1"/>
  <c r="B3" i="1"/>
  <c r="B5" i="1"/>
  <c r="B4" i="1"/>
  <c r="B17" i="1" l="1"/>
</calcChain>
</file>

<file path=xl/sharedStrings.xml><?xml version="1.0" encoding="utf-8"?>
<sst xmlns="http://schemas.openxmlformats.org/spreadsheetml/2006/main" count="191" uniqueCount="99">
  <si>
    <t xml:space="preserve">basic </t>
  </si>
  <si>
    <t>xp</t>
  </si>
  <si>
    <t>&lt;=</t>
  </si>
  <si>
    <t>price</t>
  </si>
  <si>
    <t xml:space="preserve">cost </t>
  </si>
  <si>
    <t>total sell basic</t>
  </si>
  <si>
    <t>total sell xp</t>
  </si>
  <si>
    <t>assembly</t>
  </si>
  <si>
    <t xml:space="preserve">testing </t>
  </si>
  <si>
    <t>labor price</t>
  </si>
  <si>
    <t>labor test</t>
  </si>
  <si>
    <t xml:space="preserve">total sell </t>
  </si>
  <si>
    <t xml:space="preserve">total profit </t>
  </si>
  <si>
    <t xml:space="preserve">component cost </t>
  </si>
  <si>
    <t xml:space="preserve">assembly cost </t>
  </si>
  <si>
    <t>labor cost</t>
  </si>
  <si>
    <t>Cost</t>
  </si>
  <si>
    <t>vxp</t>
  </si>
  <si>
    <t>total sell vxp</t>
  </si>
  <si>
    <t>model_1</t>
  </si>
  <si>
    <t>model_2</t>
  </si>
  <si>
    <t>model_3</t>
  </si>
  <si>
    <t>model_4</t>
  </si>
  <si>
    <t>model_5</t>
  </si>
  <si>
    <t>model_6</t>
  </si>
  <si>
    <t>model_7</t>
  </si>
  <si>
    <t>model_8</t>
  </si>
  <si>
    <t>line_1</t>
  </si>
  <si>
    <t>line_2</t>
  </si>
  <si>
    <t>component</t>
  </si>
  <si>
    <t>sell</t>
  </si>
  <si>
    <t>margin_line_1</t>
  </si>
  <si>
    <t>margin_line_2</t>
  </si>
  <si>
    <t>cost_assembly</t>
  </si>
  <si>
    <t>cost_line_1</t>
  </si>
  <si>
    <t>cost_line_2</t>
  </si>
  <si>
    <t>total_ cost_assembly</t>
  </si>
  <si>
    <t>total_cost_line_1</t>
  </si>
  <si>
    <t>total_cost_line_2</t>
  </si>
  <si>
    <t>profit</t>
  </si>
  <si>
    <t>total</t>
  </si>
  <si>
    <t>total_assembly</t>
  </si>
  <si>
    <t>labor_line_1</t>
  </si>
  <si>
    <t>labor_line_2</t>
  </si>
  <si>
    <t>total_labor_line_1</t>
  </si>
  <si>
    <t>total_labor_line_2</t>
  </si>
  <si>
    <t>var</t>
  </si>
  <si>
    <t>rolltop</t>
  </si>
  <si>
    <t>regular</t>
  </si>
  <si>
    <t>cedar</t>
  </si>
  <si>
    <t>maple</t>
  </si>
  <si>
    <t xml:space="preserve">&lt;= </t>
  </si>
  <si>
    <t>each profit</t>
  </si>
  <si>
    <t>total profit</t>
  </si>
  <si>
    <t>pine</t>
  </si>
  <si>
    <t xml:space="preserve">x1 </t>
  </si>
  <si>
    <t>x2</t>
  </si>
  <si>
    <t>HIM</t>
  </si>
  <si>
    <t>LIP</t>
  </si>
  <si>
    <t>HIW</t>
  </si>
  <si>
    <t xml:space="preserve">total_cost </t>
  </si>
  <si>
    <t>&gt;=</t>
  </si>
  <si>
    <t>wheat</t>
  </si>
  <si>
    <t>corn</t>
  </si>
  <si>
    <t>plant</t>
  </si>
  <si>
    <t>buy</t>
  </si>
  <si>
    <t>yield</t>
  </si>
  <si>
    <t xml:space="preserve">plant_cost </t>
  </si>
  <si>
    <t>sell_price</t>
  </si>
  <si>
    <t>buy_price</t>
  </si>
  <si>
    <t>cost</t>
  </si>
  <si>
    <t>sugar_1</t>
  </si>
  <si>
    <t>sugar_2</t>
  </si>
  <si>
    <t>invest_1</t>
  </si>
  <si>
    <t>invest_2</t>
  </si>
  <si>
    <t>invest_3</t>
  </si>
  <si>
    <t>invest_4</t>
  </si>
  <si>
    <t>invest_5</t>
  </si>
  <si>
    <t>invest_6</t>
  </si>
  <si>
    <t>invest_7</t>
  </si>
  <si>
    <t>return</t>
  </si>
  <si>
    <t>percent_return</t>
  </si>
  <si>
    <t>percet_port</t>
  </si>
  <si>
    <t>Origin</t>
  </si>
  <si>
    <t>Destination</t>
  </si>
  <si>
    <t>Unit Cost</t>
  </si>
  <si>
    <t>Flow</t>
  </si>
  <si>
    <t>Arc Capacity</t>
  </si>
  <si>
    <t>node</t>
  </si>
  <si>
    <t>out</t>
  </si>
  <si>
    <t xml:space="preserve">in </t>
  </si>
  <si>
    <t xml:space="preserve">limit </t>
  </si>
  <si>
    <t>=</t>
  </si>
  <si>
    <t xml:space="preserve">des </t>
  </si>
  <si>
    <t>src</t>
  </si>
  <si>
    <t>limit</t>
  </si>
  <si>
    <t>transport</t>
  </si>
  <si>
    <t>in</t>
  </si>
  <si>
    <t>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</si>
</sst>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Tahoma"/>
      <family val="2"/>
      <scheme val="minor"/>
    </font>
    <font>
      <sz val="8"/>
      <name val="Tahoma"/>
      <family val="2"/>
      <scheme val="minor"/>
    </font>
    <font>
      <sz val="10"/>
      <name val="MS Sans Serif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2" borderId="1" xfId="0" applyFill="1" applyBorder="1"/>
    <xf numFmtId="0" fontId="0" fillId="0" borderId="0" xfId="0" applyAlignment="1">
      <alignment horizontal="right"/>
    </xf>
    <xf numFmtId="0" fontId="0" fillId="7" borderId="0" xfId="0" applyFill="1"/>
  </cellXfs>
  <cellStyles count="2">
    <cellStyle name="Normal" xfId="0" builtinId="0"/>
    <cellStyle name="Normal 2" xfId="1" xr:uid="{67581A20-F69A-473C-AA9B-FD9B097B2E8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64809-11C3-4C28-A777-28C2126910BA}">
  <dimension ref="A1:N18"/>
  <sheetViews>
    <sheetView workbookViewId="0">
      <selection activeCell="E13" sqref="E13"/>
    </sheetView>
  </sheetViews>
  <sheetFormatPr defaultRowHeight="13.5" x14ac:dyDescent="0.35"/>
  <cols>
    <col min="1" max="1" width="13.6875" bestFit="1" customWidth="1"/>
    <col min="2" max="2" width="8.4375" bestFit="1" customWidth="1"/>
  </cols>
  <sheetData>
    <row r="1" spans="1:14" x14ac:dyDescent="0.35">
      <c r="H1" t="s">
        <v>0</v>
      </c>
      <c r="I1" t="s">
        <v>1</v>
      </c>
      <c r="J1" t="s">
        <v>17</v>
      </c>
      <c r="L1" t="s">
        <v>0</v>
      </c>
      <c r="M1" t="s">
        <v>1</v>
      </c>
      <c r="N1" t="s">
        <v>17</v>
      </c>
    </row>
    <row r="2" spans="1:14" x14ac:dyDescent="0.35">
      <c r="G2" t="s">
        <v>3</v>
      </c>
      <c r="H2">
        <v>316</v>
      </c>
      <c r="I2">
        <v>450</v>
      </c>
      <c r="J2">
        <v>560</v>
      </c>
      <c r="L2" s="1">
        <v>514.28571428571422</v>
      </c>
      <c r="M2" s="1">
        <v>1200</v>
      </c>
      <c r="N2" s="5">
        <v>28.571428571428573</v>
      </c>
    </row>
    <row r="3" spans="1:14" x14ac:dyDescent="0.35">
      <c r="A3" t="s">
        <v>5</v>
      </c>
      <c r="B3" s="4">
        <f>$L$2</f>
        <v>514.28571428571422</v>
      </c>
      <c r="C3" t="s">
        <v>2</v>
      </c>
      <c r="D3" s="3">
        <v>600</v>
      </c>
      <c r="G3" t="s">
        <v>4</v>
      </c>
      <c r="H3">
        <v>150</v>
      </c>
      <c r="I3">
        <v>225</v>
      </c>
      <c r="J3">
        <v>275</v>
      </c>
      <c r="L3">
        <v>514.28571428571422</v>
      </c>
      <c r="M3">
        <v>1200</v>
      </c>
      <c r="N3">
        <v>28.571428571428573</v>
      </c>
    </row>
    <row r="4" spans="1:14" x14ac:dyDescent="0.35">
      <c r="A4" t="s">
        <v>6</v>
      </c>
      <c r="B4" s="4">
        <f>$M$2</f>
        <v>1200</v>
      </c>
      <c r="C4" t="s">
        <v>2</v>
      </c>
      <c r="D4" s="3">
        <v>1200</v>
      </c>
      <c r="G4" t="s">
        <v>7</v>
      </c>
      <c r="H4">
        <v>5</v>
      </c>
      <c r="I4">
        <v>6</v>
      </c>
      <c r="J4">
        <v>8</v>
      </c>
    </row>
    <row r="5" spans="1:14" x14ac:dyDescent="0.35">
      <c r="A5" t="s">
        <v>18</v>
      </c>
      <c r="B5" s="4">
        <f>$N$2</f>
        <v>28.571428571428573</v>
      </c>
      <c r="C5" t="s">
        <v>2</v>
      </c>
      <c r="D5" s="3">
        <v>50</v>
      </c>
      <c r="G5" t="s">
        <v>8</v>
      </c>
      <c r="H5">
        <v>1</v>
      </c>
      <c r="I5">
        <v>2</v>
      </c>
      <c r="J5">
        <v>3</v>
      </c>
    </row>
    <row r="8" spans="1:14" x14ac:dyDescent="0.35">
      <c r="A8" t="s">
        <v>7</v>
      </c>
      <c r="B8" s="4">
        <f>SUMPRODUCT(H4:J4,L2:N2)</f>
        <v>10000</v>
      </c>
      <c r="C8" t="s">
        <v>2</v>
      </c>
      <c r="D8" s="3">
        <v>10000</v>
      </c>
      <c r="G8" t="s">
        <v>9</v>
      </c>
      <c r="H8">
        <v>11</v>
      </c>
    </row>
    <row r="9" spans="1:14" x14ac:dyDescent="0.35">
      <c r="A9" t="s">
        <v>8</v>
      </c>
      <c r="B9" s="4">
        <f>SUMPRODUCT(H5:J5,L2:N2)</f>
        <v>3000</v>
      </c>
      <c r="C9" t="s">
        <v>2</v>
      </c>
      <c r="D9" s="3">
        <v>3000</v>
      </c>
      <c r="G9" t="s">
        <v>10</v>
      </c>
      <c r="H9">
        <v>15</v>
      </c>
    </row>
    <row r="13" spans="1:14" x14ac:dyDescent="0.35">
      <c r="A13" t="s">
        <v>11</v>
      </c>
      <c r="B13">
        <f>SUMPRODUCT(H2:J2,L2:N2)</f>
        <v>718514.28571428568</v>
      </c>
    </row>
    <row r="14" spans="1:14" x14ac:dyDescent="0.35">
      <c r="A14" t="s">
        <v>13</v>
      </c>
      <c r="B14">
        <f>SUMPRODUCT(H3:J3,L2:N2)</f>
        <v>355000</v>
      </c>
    </row>
    <row r="15" spans="1:14" x14ac:dyDescent="0.35">
      <c r="A15" t="s">
        <v>14</v>
      </c>
      <c r="B15">
        <f>$B$8*11</f>
        <v>110000</v>
      </c>
    </row>
    <row r="16" spans="1:14" x14ac:dyDescent="0.35">
      <c r="A16" t="s">
        <v>15</v>
      </c>
      <c r="B16">
        <f>$B$9 * 15</f>
        <v>45000</v>
      </c>
    </row>
    <row r="17" spans="1:2" x14ac:dyDescent="0.35">
      <c r="A17" t="s">
        <v>12</v>
      </c>
      <c r="B17" s="2">
        <f>B13 - (B14+B15+B16)</f>
        <v>208514.28571428568</v>
      </c>
    </row>
    <row r="18" spans="1:2" x14ac:dyDescent="0.35">
      <c r="B18">
        <v>200285.71428571432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592CD-86CB-44D4-97B2-69C4BC78FBD6}">
  <dimension ref="A1:H10"/>
  <sheetViews>
    <sheetView workbookViewId="0">
      <selection activeCell="J24" sqref="J24:J25"/>
    </sheetView>
  </sheetViews>
  <sheetFormatPr defaultRowHeight="13.5" x14ac:dyDescent="0.35"/>
  <cols>
    <col min="1" max="1" width="10.5625" bestFit="1" customWidth="1"/>
  </cols>
  <sheetData>
    <row r="1" spans="1:8" x14ac:dyDescent="0.35">
      <c r="B1" t="s">
        <v>47</v>
      </c>
      <c r="C1" t="s">
        <v>48</v>
      </c>
    </row>
    <row r="2" spans="1:8" x14ac:dyDescent="0.35">
      <c r="A2" t="s">
        <v>46</v>
      </c>
      <c r="B2" s="1">
        <v>14.499999999999998</v>
      </c>
      <c r="C2" s="1">
        <v>0.25000000000000072</v>
      </c>
    </row>
    <row r="4" spans="1:8" x14ac:dyDescent="0.35">
      <c r="B4" t="s">
        <v>47</v>
      </c>
      <c r="C4" t="s">
        <v>48</v>
      </c>
    </row>
    <row r="5" spans="1:8" x14ac:dyDescent="0.35">
      <c r="A5" t="s">
        <v>54</v>
      </c>
      <c r="B5">
        <v>10</v>
      </c>
      <c r="C5">
        <v>20</v>
      </c>
      <c r="E5" t="s">
        <v>54</v>
      </c>
      <c r="F5">
        <f>SUMPRODUCT(B5:C5,$B$2:$C$2)</f>
        <v>150</v>
      </c>
      <c r="G5" s="7" t="s">
        <v>51</v>
      </c>
      <c r="H5" s="3">
        <f>200-50</f>
        <v>150</v>
      </c>
    </row>
    <row r="6" spans="1:8" x14ac:dyDescent="0.35">
      <c r="A6" t="s">
        <v>49</v>
      </c>
      <c r="B6">
        <v>4</v>
      </c>
      <c r="C6">
        <v>16</v>
      </c>
      <c r="E6" t="s">
        <v>49</v>
      </c>
      <c r="F6">
        <f t="shared" ref="F6:F7" si="0">SUMPRODUCT(B6:C6,$B$2:$C$2)</f>
        <v>62.000000000000007</v>
      </c>
      <c r="G6" s="7" t="s">
        <v>51</v>
      </c>
      <c r="H6" s="3">
        <v>128</v>
      </c>
    </row>
    <row r="7" spans="1:8" x14ac:dyDescent="0.35">
      <c r="A7" t="s">
        <v>50</v>
      </c>
      <c r="B7">
        <v>15</v>
      </c>
      <c r="C7">
        <v>10</v>
      </c>
      <c r="E7" t="s">
        <v>50</v>
      </c>
      <c r="F7">
        <f t="shared" si="0"/>
        <v>219.99999999999997</v>
      </c>
      <c r="G7" s="7" t="s">
        <v>51</v>
      </c>
      <c r="H7" s="3">
        <f>220</f>
        <v>220</v>
      </c>
    </row>
    <row r="9" spans="1:8" x14ac:dyDescent="0.35">
      <c r="A9" t="s">
        <v>52</v>
      </c>
      <c r="B9">
        <v>115</v>
      </c>
      <c r="C9">
        <v>90</v>
      </c>
    </row>
    <row r="10" spans="1:8" x14ac:dyDescent="0.35">
      <c r="A10" t="s">
        <v>53</v>
      </c>
      <c r="B10" s="2">
        <f>SUMPRODUCT(B2:C2,B9:C9)</f>
        <v>1689.9999999999998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45CA-8758-49BF-B735-9E5D292B0FF0}">
  <dimension ref="A1:Q22"/>
  <sheetViews>
    <sheetView workbookViewId="0">
      <selection activeCell="P9" sqref="P9"/>
    </sheetView>
  </sheetViews>
  <sheetFormatPr defaultRowHeight="13.5" x14ac:dyDescent="0.35"/>
  <cols>
    <col min="1" max="1" width="19.6875" bestFit="1" customWidth="1"/>
    <col min="11" max="11" width="14" bestFit="1" customWidth="1"/>
    <col min="14" max="14" width="17.4375" bestFit="1" customWidth="1"/>
  </cols>
  <sheetData>
    <row r="1" spans="1:17" x14ac:dyDescent="0.35"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M1" s="8"/>
    </row>
    <row r="2" spans="1:17" ht="15.75" customHeight="1" x14ac:dyDescent="0.35">
      <c r="A2" t="s">
        <v>27</v>
      </c>
      <c r="B2" s="6">
        <v>1500</v>
      </c>
      <c r="C2" s="6">
        <v>0</v>
      </c>
      <c r="D2" s="6">
        <v>0</v>
      </c>
      <c r="E2" s="6">
        <v>124.99999999999989</v>
      </c>
      <c r="F2" s="6">
        <v>0</v>
      </c>
      <c r="G2" s="6">
        <v>0</v>
      </c>
      <c r="H2" s="6">
        <v>1000</v>
      </c>
      <c r="I2" s="6">
        <v>0</v>
      </c>
      <c r="M2" s="8"/>
      <c r="N2" t="s">
        <v>41</v>
      </c>
      <c r="O2">
        <f>SUMPRODUCT(B4:I4,B9:I9)</f>
        <v>20000</v>
      </c>
      <c r="P2" s="7" t="s">
        <v>2</v>
      </c>
      <c r="Q2" s="3">
        <v>20000</v>
      </c>
    </row>
    <row r="3" spans="1:17" ht="15.75" customHeight="1" x14ac:dyDescent="0.35">
      <c r="A3" t="s">
        <v>28</v>
      </c>
      <c r="B3" s="6">
        <v>0</v>
      </c>
      <c r="C3" s="6">
        <v>0</v>
      </c>
      <c r="D3" s="6">
        <v>0</v>
      </c>
      <c r="E3" s="6">
        <v>474.99999999999994</v>
      </c>
      <c r="F3" s="6">
        <v>0</v>
      </c>
      <c r="G3" s="6">
        <v>1000</v>
      </c>
      <c r="H3" s="6">
        <v>0</v>
      </c>
      <c r="I3" s="6">
        <v>0</v>
      </c>
      <c r="M3" s="8"/>
      <c r="N3" t="s">
        <v>44</v>
      </c>
      <c r="O3">
        <f>SUMPRODUCT(B2:I2,B10:I10)</f>
        <v>5000</v>
      </c>
      <c r="P3" s="7" t="s">
        <v>2</v>
      </c>
      <c r="Q3" s="3">
        <v>5000</v>
      </c>
    </row>
    <row r="4" spans="1:17" ht="15.75" customHeight="1" x14ac:dyDescent="0.35">
      <c r="A4" t="s">
        <v>40</v>
      </c>
      <c r="B4">
        <f>SUM(B2:B3)</f>
        <v>1500</v>
      </c>
      <c r="C4">
        <f t="shared" ref="C4:H4" si="0">SUM(C2:C3)</f>
        <v>0</v>
      </c>
      <c r="D4">
        <f t="shared" si="0"/>
        <v>0</v>
      </c>
      <c r="E4">
        <f t="shared" si="0"/>
        <v>599.99999999999977</v>
      </c>
      <c r="F4">
        <f t="shared" si="0"/>
        <v>0</v>
      </c>
      <c r="G4">
        <f t="shared" si="0"/>
        <v>1000</v>
      </c>
      <c r="H4">
        <f t="shared" si="0"/>
        <v>1000</v>
      </c>
      <c r="I4">
        <f>SUM(I2:I3)</f>
        <v>0</v>
      </c>
      <c r="M4" s="8"/>
      <c r="N4" t="s">
        <v>45</v>
      </c>
      <c r="O4">
        <f>SUMPRODUCT(B3:I3, B11:I11)</f>
        <v>4187.5</v>
      </c>
      <c r="P4" s="7" t="s">
        <v>2</v>
      </c>
      <c r="Q4" s="3">
        <v>6000</v>
      </c>
    </row>
    <row r="5" spans="1:17" x14ac:dyDescent="0.35">
      <c r="B5" s="7" t="s">
        <v>2</v>
      </c>
      <c r="C5" s="7" t="s">
        <v>2</v>
      </c>
      <c r="D5" s="7" t="s">
        <v>2</v>
      </c>
      <c r="E5" s="7" t="s">
        <v>2</v>
      </c>
      <c r="F5" s="7" t="s">
        <v>2</v>
      </c>
      <c r="G5" s="7" t="s">
        <v>2</v>
      </c>
      <c r="H5" s="7" t="s">
        <v>2</v>
      </c>
      <c r="I5" s="7" t="s">
        <v>2</v>
      </c>
      <c r="M5" s="8"/>
    </row>
    <row r="6" spans="1:17" ht="15.75" customHeight="1" x14ac:dyDescent="0.35">
      <c r="B6" s="3">
        <v>1500</v>
      </c>
      <c r="C6" s="3">
        <v>1250</v>
      </c>
      <c r="D6" s="3">
        <v>1250</v>
      </c>
      <c r="E6" s="3">
        <v>1250</v>
      </c>
      <c r="F6" s="3">
        <v>1000</v>
      </c>
      <c r="G6" s="3">
        <v>1000</v>
      </c>
      <c r="H6" s="3">
        <v>1000</v>
      </c>
      <c r="I6" s="3">
        <v>800</v>
      </c>
      <c r="M6" s="8"/>
    </row>
    <row r="7" spans="1:17" ht="15.75" customHeight="1" x14ac:dyDescent="0.35">
      <c r="M7" s="8"/>
    </row>
    <row r="8" spans="1:17" x14ac:dyDescent="0.35">
      <c r="M8" s="8"/>
    </row>
    <row r="9" spans="1:17" x14ac:dyDescent="0.35">
      <c r="A9" t="s">
        <v>7</v>
      </c>
      <c r="B9">
        <v>4</v>
      </c>
      <c r="C9">
        <v>5</v>
      </c>
      <c r="D9">
        <v>5</v>
      </c>
      <c r="E9">
        <v>5</v>
      </c>
      <c r="F9">
        <v>5.5</v>
      </c>
      <c r="G9">
        <v>5.5</v>
      </c>
      <c r="H9">
        <v>5.5</v>
      </c>
      <c r="I9">
        <v>6</v>
      </c>
      <c r="K9" t="s">
        <v>33</v>
      </c>
      <c r="L9">
        <v>11</v>
      </c>
      <c r="M9" s="8"/>
    </row>
    <row r="10" spans="1:17" x14ac:dyDescent="0.35">
      <c r="A10" t="s">
        <v>42</v>
      </c>
      <c r="B10">
        <v>1.5</v>
      </c>
      <c r="C10">
        <v>2</v>
      </c>
      <c r="D10">
        <v>2</v>
      </c>
      <c r="E10">
        <v>2</v>
      </c>
      <c r="F10">
        <v>2.5</v>
      </c>
      <c r="G10">
        <v>2.5</v>
      </c>
      <c r="H10">
        <v>2.5</v>
      </c>
      <c r="I10">
        <v>3</v>
      </c>
      <c r="K10" t="s">
        <v>34</v>
      </c>
      <c r="L10">
        <v>19</v>
      </c>
      <c r="M10" s="8"/>
    </row>
    <row r="11" spans="1:17" x14ac:dyDescent="0.35">
      <c r="A11" t="s">
        <v>43</v>
      </c>
      <c r="B11">
        <v>2</v>
      </c>
      <c r="C11">
        <v>2.5</v>
      </c>
      <c r="D11">
        <v>2.5</v>
      </c>
      <c r="E11">
        <v>2.5</v>
      </c>
      <c r="F11">
        <v>3</v>
      </c>
      <c r="G11">
        <v>3</v>
      </c>
      <c r="H11">
        <v>3.5</v>
      </c>
      <c r="I11">
        <v>3.5</v>
      </c>
      <c r="K11" t="s">
        <v>35</v>
      </c>
      <c r="L11">
        <v>17</v>
      </c>
      <c r="M11" s="8"/>
    </row>
    <row r="12" spans="1:17" x14ac:dyDescent="0.35">
      <c r="M12" s="8"/>
    </row>
    <row r="13" spans="1:17" x14ac:dyDescent="0.35">
      <c r="A13" t="s">
        <v>29</v>
      </c>
      <c r="B13">
        <v>150</v>
      </c>
      <c r="C13">
        <v>225</v>
      </c>
      <c r="D13">
        <v>225</v>
      </c>
      <c r="E13">
        <v>225</v>
      </c>
      <c r="F13">
        <v>250</v>
      </c>
      <c r="G13">
        <v>250</v>
      </c>
      <c r="H13">
        <v>250</v>
      </c>
      <c r="I13">
        <v>300</v>
      </c>
      <c r="M13" s="8"/>
    </row>
    <row r="14" spans="1:17" x14ac:dyDescent="0.35">
      <c r="A14" t="s">
        <v>30</v>
      </c>
      <c r="B14">
        <v>350</v>
      </c>
      <c r="C14">
        <v>450</v>
      </c>
      <c r="D14">
        <v>460</v>
      </c>
      <c r="E14">
        <v>470</v>
      </c>
      <c r="F14">
        <v>500</v>
      </c>
      <c r="G14">
        <v>525</v>
      </c>
      <c r="H14">
        <v>530</v>
      </c>
      <c r="I14">
        <v>600</v>
      </c>
      <c r="M14" s="8"/>
    </row>
    <row r="15" spans="1:17" x14ac:dyDescent="0.35">
      <c r="A15" t="s">
        <v>36</v>
      </c>
      <c r="B15">
        <f>B9 * $L$9</f>
        <v>44</v>
      </c>
      <c r="C15">
        <f t="shared" ref="C15:I15" si="1">C9 * $L$9</f>
        <v>55</v>
      </c>
      <c r="D15">
        <f t="shared" si="1"/>
        <v>55</v>
      </c>
      <c r="E15">
        <f t="shared" si="1"/>
        <v>55</v>
      </c>
      <c r="F15">
        <f t="shared" si="1"/>
        <v>60.5</v>
      </c>
      <c r="G15">
        <f t="shared" si="1"/>
        <v>60.5</v>
      </c>
      <c r="H15">
        <f t="shared" si="1"/>
        <v>60.5</v>
      </c>
      <c r="I15">
        <f t="shared" si="1"/>
        <v>66</v>
      </c>
      <c r="M15" s="8"/>
    </row>
    <row r="16" spans="1:17" x14ac:dyDescent="0.35">
      <c r="A16" t="s">
        <v>37</v>
      </c>
      <c r="B16">
        <f>B10 * $L$10</f>
        <v>28.5</v>
      </c>
      <c r="C16">
        <f t="shared" ref="C16:I16" si="2">C10 * $L$10</f>
        <v>38</v>
      </c>
      <c r="D16">
        <f t="shared" si="2"/>
        <v>38</v>
      </c>
      <c r="E16">
        <f t="shared" si="2"/>
        <v>38</v>
      </c>
      <c r="F16">
        <f t="shared" si="2"/>
        <v>47.5</v>
      </c>
      <c r="G16">
        <f t="shared" si="2"/>
        <v>47.5</v>
      </c>
      <c r="H16">
        <f t="shared" si="2"/>
        <v>47.5</v>
      </c>
      <c r="I16">
        <f t="shared" si="2"/>
        <v>57</v>
      </c>
      <c r="M16" s="8"/>
    </row>
    <row r="17" spans="1:13" x14ac:dyDescent="0.35">
      <c r="A17" t="s">
        <v>38</v>
      </c>
      <c r="B17">
        <f xml:space="preserve"> B11 * $L$11</f>
        <v>34</v>
      </c>
      <c r="C17">
        <f t="shared" ref="C17:I17" si="3" xml:space="preserve"> C11 * $L$11</f>
        <v>42.5</v>
      </c>
      <c r="D17">
        <f t="shared" si="3"/>
        <v>42.5</v>
      </c>
      <c r="E17">
        <f t="shared" si="3"/>
        <v>42.5</v>
      </c>
      <c r="F17">
        <f t="shared" si="3"/>
        <v>51</v>
      </c>
      <c r="G17">
        <f t="shared" si="3"/>
        <v>51</v>
      </c>
      <c r="H17">
        <f t="shared" si="3"/>
        <v>59.5</v>
      </c>
      <c r="I17">
        <f t="shared" si="3"/>
        <v>59.5</v>
      </c>
      <c r="M17" s="8"/>
    </row>
    <row r="18" spans="1:13" x14ac:dyDescent="0.35">
      <c r="M18" s="8"/>
    </row>
    <row r="19" spans="1:13" x14ac:dyDescent="0.35">
      <c r="A19" t="s">
        <v>31</v>
      </c>
      <c r="B19">
        <f>B14 - (B13+B15+B16)</f>
        <v>127.5</v>
      </c>
      <c r="C19">
        <f t="shared" ref="C19:I19" si="4">C14 - (C13+C15+C16)</f>
        <v>132</v>
      </c>
      <c r="D19">
        <f t="shared" si="4"/>
        <v>142</v>
      </c>
      <c r="E19">
        <f t="shared" si="4"/>
        <v>152</v>
      </c>
      <c r="F19">
        <f t="shared" si="4"/>
        <v>142</v>
      </c>
      <c r="G19">
        <f t="shared" si="4"/>
        <v>167</v>
      </c>
      <c r="H19">
        <f t="shared" si="4"/>
        <v>172</v>
      </c>
      <c r="I19">
        <f t="shared" si="4"/>
        <v>177</v>
      </c>
      <c r="M19" s="8"/>
    </row>
    <row r="20" spans="1:13" x14ac:dyDescent="0.35">
      <c r="A20" t="s">
        <v>32</v>
      </c>
      <c r="B20">
        <f>B14 - (B13+B15+B17)</f>
        <v>122</v>
      </c>
      <c r="C20">
        <f t="shared" ref="C20:I20" si="5">C14 - (C13+C15+C17)</f>
        <v>127.5</v>
      </c>
      <c r="D20">
        <f t="shared" si="5"/>
        <v>137.5</v>
      </c>
      <c r="E20">
        <f t="shared" si="5"/>
        <v>147.5</v>
      </c>
      <c r="F20">
        <f t="shared" si="5"/>
        <v>138.5</v>
      </c>
      <c r="G20">
        <f t="shared" si="5"/>
        <v>163.5</v>
      </c>
      <c r="H20">
        <f t="shared" si="5"/>
        <v>160</v>
      </c>
      <c r="I20">
        <f t="shared" si="5"/>
        <v>174.5</v>
      </c>
      <c r="M20" s="8"/>
    </row>
    <row r="21" spans="1:13" x14ac:dyDescent="0.35">
      <c r="M21" s="8"/>
    </row>
    <row r="22" spans="1:13" x14ac:dyDescent="0.35">
      <c r="A22" t="s">
        <v>39</v>
      </c>
      <c r="B22">
        <f>SUMPRODUCT(B19:B20,B2:B3)</f>
        <v>191250</v>
      </c>
      <c r="C22">
        <f t="shared" ref="C22:I22" si="6">SUMPRODUCT(C19:C20,C2:C3)</f>
        <v>0</v>
      </c>
      <c r="D22">
        <f t="shared" si="6"/>
        <v>0</v>
      </c>
      <c r="E22">
        <f t="shared" si="6"/>
        <v>89062.499999999971</v>
      </c>
      <c r="F22">
        <f t="shared" si="6"/>
        <v>0</v>
      </c>
      <c r="G22">
        <f t="shared" si="6"/>
        <v>163500</v>
      </c>
      <c r="H22">
        <f t="shared" si="6"/>
        <v>172000</v>
      </c>
      <c r="I22">
        <f t="shared" si="6"/>
        <v>0</v>
      </c>
      <c r="J22" s="2">
        <f>SUM(B22:I22)</f>
        <v>615812.5</v>
      </c>
      <c r="M22" s="8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7EC63-9A54-4477-BBCB-EE695471FCE4}">
  <dimension ref="A1:G10"/>
  <sheetViews>
    <sheetView workbookViewId="0">
      <selection activeCell="H12" sqref="H12:H13"/>
    </sheetView>
  </sheetViews>
  <sheetFormatPr defaultRowHeight="13.5" x14ac:dyDescent="0.35"/>
  <sheetData>
    <row r="1" spans="1:7" x14ac:dyDescent="0.35">
      <c r="B1" t="s">
        <v>55</v>
      </c>
      <c r="C1" t="s">
        <v>56</v>
      </c>
    </row>
    <row r="2" spans="1:7" x14ac:dyDescent="0.35">
      <c r="B2" s="1">
        <v>4.3333333333333339</v>
      </c>
      <c r="C2" s="1">
        <v>3.333333333333333</v>
      </c>
    </row>
    <row r="4" spans="1:7" x14ac:dyDescent="0.35">
      <c r="A4" t="s">
        <v>57</v>
      </c>
      <c r="B4">
        <v>7</v>
      </c>
      <c r="C4">
        <v>3</v>
      </c>
      <c r="E4" s="4">
        <f>SUMPRODUCT(B4:C4,$B$2:$C$2)</f>
        <v>40.333333333333336</v>
      </c>
      <c r="F4" s="7" t="s">
        <v>61</v>
      </c>
      <c r="G4" s="3">
        <v>40</v>
      </c>
    </row>
    <row r="5" spans="1:7" x14ac:dyDescent="0.35">
      <c r="A5" t="s">
        <v>58</v>
      </c>
      <c r="B5">
        <v>10</v>
      </c>
      <c r="C5">
        <v>5</v>
      </c>
      <c r="E5" s="4">
        <f t="shared" ref="E5:E6" si="0">SUMPRODUCT(B5:C5,$B$2:$C$2)</f>
        <v>60.000000000000007</v>
      </c>
      <c r="F5" s="7" t="s">
        <v>61</v>
      </c>
      <c r="G5" s="3">
        <v>61</v>
      </c>
    </row>
    <row r="6" spans="1:7" x14ac:dyDescent="0.35">
      <c r="A6" t="s">
        <v>59</v>
      </c>
      <c r="B6">
        <v>5</v>
      </c>
      <c r="C6">
        <v>4</v>
      </c>
      <c r="E6" s="4">
        <f t="shared" si="0"/>
        <v>35</v>
      </c>
      <c r="F6" s="7" t="s">
        <v>61</v>
      </c>
      <c r="G6" s="3">
        <v>35</v>
      </c>
    </row>
    <row r="7" spans="1:7" x14ac:dyDescent="0.35">
      <c r="F7" s="7"/>
    </row>
    <row r="9" spans="1:7" x14ac:dyDescent="0.35">
      <c r="A9" t="s">
        <v>16</v>
      </c>
      <c r="B9">
        <v>100</v>
      </c>
      <c r="C9">
        <v>60</v>
      </c>
    </row>
    <row r="10" spans="1:7" x14ac:dyDescent="0.35">
      <c r="A10" t="s">
        <v>60</v>
      </c>
      <c r="B10" s="2">
        <f>SUMPRODUCT(B9:C9,B2:C2)</f>
        <v>633.33333333333337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464CB-7E70-452A-88CC-BE24E3E0118E}">
  <dimension ref="A1:I14"/>
  <sheetViews>
    <sheetView workbookViewId="0">
      <selection activeCell="Q8" sqref="Q8"/>
    </sheetView>
  </sheetViews>
  <sheetFormatPr defaultRowHeight="13.5" x14ac:dyDescent="0.35"/>
  <cols>
    <col min="1" max="1" width="10.5625" bestFit="1" customWidth="1"/>
    <col min="2" max="2" width="12.4375" customWidth="1"/>
    <col min="3" max="3" width="4.875" bestFit="1" customWidth="1"/>
    <col min="4" max="5" width="7.6875" bestFit="1" customWidth="1"/>
    <col min="7" max="7" width="8.4375" customWidth="1"/>
    <col min="8" max="8" width="3" bestFit="1" customWidth="1"/>
    <col min="9" max="9" width="6" bestFit="1" customWidth="1"/>
  </cols>
  <sheetData>
    <row r="1" spans="1:9" x14ac:dyDescent="0.35">
      <c r="B1" t="s">
        <v>62</v>
      </c>
      <c r="C1" t="s">
        <v>63</v>
      </c>
      <c r="D1" t="s">
        <v>71</v>
      </c>
      <c r="E1" t="s">
        <v>72</v>
      </c>
    </row>
    <row r="2" spans="1:9" x14ac:dyDescent="0.35">
      <c r="A2" t="s">
        <v>64</v>
      </c>
      <c r="B2" s="1">
        <v>120</v>
      </c>
      <c r="C2" s="1">
        <v>80</v>
      </c>
      <c r="D2" s="1">
        <v>300</v>
      </c>
      <c r="E2">
        <v>0</v>
      </c>
      <c r="G2">
        <f>SUM(B2:D2)</f>
        <v>500</v>
      </c>
      <c r="H2" s="7" t="s">
        <v>2</v>
      </c>
      <c r="I2" s="3">
        <v>500</v>
      </c>
    </row>
    <row r="3" spans="1:9" x14ac:dyDescent="0.35">
      <c r="A3" t="s">
        <v>30</v>
      </c>
      <c r="B3" s="1">
        <v>100</v>
      </c>
      <c r="C3" s="1">
        <v>0</v>
      </c>
      <c r="D3" s="1">
        <v>6000</v>
      </c>
      <c r="E3" s="1">
        <v>0</v>
      </c>
      <c r="G3">
        <f>-(B2 * B6) - B4 + B3</f>
        <v>-200</v>
      </c>
      <c r="H3" s="7" t="s">
        <v>2</v>
      </c>
      <c r="I3" s="3">
        <v>-200</v>
      </c>
    </row>
    <row r="4" spans="1:9" x14ac:dyDescent="0.35">
      <c r="A4" t="s">
        <v>65</v>
      </c>
      <c r="B4" s="1">
        <v>0</v>
      </c>
      <c r="C4" s="1">
        <v>0</v>
      </c>
      <c r="D4" s="1">
        <v>0</v>
      </c>
      <c r="E4">
        <v>0</v>
      </c>
      <c r="G4">
        <f>-(C2*C6) - C4 + C3</f>
        <v>-240</v>
      </c>
      <c r="H4" s="7" t="s">
        <v>2</v>
      </c>
      <c r="I4" s="3">
        <v>-240</v>
      </c>
    </row>
    <row r="5" spans="1:9" x14ac:dyDescent="0.35">
      <c r="G5">
        <f>D3 + E3</f>
        <v>6000</v>
      </c>
      <c r="H5" s="7" t="s">
        <v>2</v>
      </c>
      <c r="I5" s="3">
        <f>D2*D6</f>
        <v>6000</v>
      </c>
    </row>
    <row r="6" spans="1:9" x14ac:dyDescent="0.35">
      <c r="A6" t="s">
        <v>66</v>
      </c>
      <c r="B6">
        <v>2.5</v>
      </c>
      <c r="C6">
        <v>3</v>
      </c>
      <c r="D6">
        <v>20</v>
      </c>
      <c r="G6">
        <f>$D$3</f>
        <v>6000</v>
      </c>
      <c r="H6" s="7" t="s">
        <v>2</v>
      </c>
      <c r="I6" s="3">
        <v>6000</v>
      </c>
    </row>
    <row r="7" spans="1:9" x14ac:dyDescent="0.35">
      <c r="A7" t="s">
        <v>67</v>
      </c>
      <c r="B7">
        <v>150</v>
      </c>
      <c r="C7">
        <v>230</v>
      </c>
      <c r="D7">
        <v>260</v>
      </c>
    </row>
    <row r="8" spans="1:9" x14ac:dyDescent="0.35">
      <c r="A8" t="s">
        <v>68</v>
      </c>
      <c r="B8">
        <v>170</v>
      </c>
      <c r="C8">
        <v>150</v>
      </c>
      <c r="D8">
        <v>36</v>
      </c>
      <c r="E8">
        <v>10</v>
      </c>
    </row>
    <row r="9" spans="1:9" x14ac:dyDescent="0.35">
      <c r="A9" t="s">
        <v>69</v>
      </c>
      <c r="B9">
        <v>238</v>
      </c>
      <c r="C9">
        <v>210</v>
      </c>
    </row>
    <row r="11" spans="1:9" x14ac:dyDescent="0.35">
      <c r="A11" t="s">
        <v>30</v>
      </c>
      <c r="B11">
        <f>SUMPRODUCT(B3:E3,B8:E8)</f>
        <v>233000</v>
      </c>
    </row>
    <row r="12" spans="1:9" x14ac:dyDescent="0.35">
      <c r="A12" t="s">
        <v>65</v>
      </c>
      <c r="B12">
        <f>SUMPRODUCT(B4:C4,B9:C9)</f>
        <v>0</v>
      </c>
    </row>
    <row r="13" spans="1:9" x14ac:dyDescent="0.35">
      <c r="A13" t="s">
        <v>70</v>
      </c>
      <c r="B13">
        <f>SUMPRODUCT(B7:D7,B2:D2)</f>
        <v>114400</v>
      </c>
    </row>
    <row r="14" spans="1:9" x14ac:dyDescent="0.35">
      <c r="A14" t="s">
        <v>39</v>
      </c>
      <c r="B14" s="2">
        <f>B11 - B12 - B13</f>
        <v>118600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BCE4E-1681-441F-8DE6-2742A5A66B94}">
  <dimension ref="A1:L8"/>
  <sheetViews>
    <sheetView workbookViewId="0">
      <selection activeCell="D12" sqref="D12:D13"/>
    </sheetView>
  </sheetViews>
  <sheetFormatPr defaultRowHeight="13.5" x14ac:dyDescent="0.35"/>
  <cols>
    <col min="1" max="1" width="14.5625" bestFit="1" customWidth="1"/>
    <col min="10" max="10" width="4" bestFit="1" customWidth="1"/>
  </cols>
  <sheetData>
    <row r="1" spans="1:12" x14ac:dyDescent="0.35">
      <c r="B1" t="s">
        <v>73</v>
      </c>
      <c r="C1" t="s">
        <v>74</v>
      </c>
      <c r="D1" t="s">
        <v>75</v>
      </c>
      <c r="E1" t="s">
        <v>76</v>
      </c>
      <c r="F1" t="s">
        <v>77</v>
      </c>
      <c r="G1" t="s">
        <v>78</v>
      </c>
      <c r="H1" t="s">
        <v>79</v>
      </c>
    </row>
    <row r="2" spans="1:12" x14ac:dyDescent="0.35">
      <c r="A2" t="s">
        <v>82</v>
      </c>
      <c r="B2" s="1">
        <v>0.44000000000000028</v>
      </c>
      <c r="C2" s="1">
        <v>1</v>
      </c>
      <c r="D2" s="1">
        <v>0</v>
      </c>
      <c r="E2" s="1">
        <v>1</v>
      </c>
      <c r="F2" s="1">
        <v>0</v>
      </c>
      <c r="G2" s="1">
        <v>1</v>
      </c>
      <c r="H2" s="1">
        <v>0</v>
      </c>
      <c r="K2" s="7"/>
    </row>
    <row r="3" spans="1:12" ht="14.25" customHeight="1" x14ac:dyDescent="0.35">
      <c r="J3" s="4">
        <f>SUMPRODUCT(B2:H2, B4:H4)</f>
        <v>15.000000000000002</v>
      </c>
      <c r="K3" s="7" t="s">
        <v>2</v>
      </c>
      <c r="L3" s="3">
        <v>15</v>
      </c>
    </row>
    <row r="4" spans="1:12" x14ac:dyDescent="0.35">
      <c r="A4" t="s">
        <v>70</v>
      </c>
      <c r="B4">
        <v>5</v>
      </c>
      <c r="C4">
        <v>2.4</v>
      </c>
      <c r="D4">
        <v>3.5</v>
      </c>
      <c r="E4">
        <v>5.9</v>
      </c>
      <c r="F4">
        <v>6.9</v>
      </c>
      <c r="G4">
        <v>4.5</v>
      </c>
      <c r="H4">
        <v>3</v>
      </c>
    </row>
    <row r="5" spans="1:12" x14ac:dyDescent="0.35">
      <c r="A5" t="s">
        <v>80</v>
      </c>
      <c r="B5">
        <v>5.6</v>
      </c>
      <c r="C5">
        <v>2.7</v>
      </c>
      <c r="D5">
        <v>3.9</v>
      </c>
      <c r="E5">
        <v>6.8</v>
      </c>
      <c r="F5">
        <v>7.7</v>
      </c>
      <c r="G5">
        <v>5.0999999999999996</v>
      </c>
      <c r="H5">
        <v>3.3</v>
      </c>
    </row>
    <row r="6" spans="1:12" x14ac:dyDescent="0.35">
      <c r="A6" t="s">
        <v>81</v>
      </c>
      <c r="B6">
        <f>(B5-B4)/B4</f>
        <v>0.11999999999999993</v>
      </c>
      <c r="C6">
        <f t="shared" ref="C6:H6" si="0">(C5-C4)/C4</f>
        <v>0.12500000000000011</v>
      </c>
      <c r="D6">
        <f t="shared" si="0"/>
        <v>0.11428571428571425</v>
      </c>
      <c r="E6">
        <f t="shared" si="0"/>
        <v>0.15254237288135583</v>
      </c>
      <c r="F6">
        <f t="shared" si="0"/>
        <v>0.11594202898550722</v>
      </c>
      <c r="G6">
        <f t="shared" si="0"/>
        <v>0.13333333333333325</v>
      </c>
      <c r="H6">
        <f t="shared" si="0"/>
        <v>9.9999999999999936E-2</v>
      </c>
    </row>
    <row r="8" spans="1:12" x14ac:dyDescent="0.35">
      <c r="A8" t="s">
        <v>39</v>
      </c>
      <c r="B8" s="2">
        <f>SUMPRODUCT(B2:H2,B5:H5)</f>
        <v>17.064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6A4A6-16E8-44A6-ABD2-65E95D8954DD}">
  <dimension ref="A2:M28"/>
  <sheetViews>
    <sheetView workbookViewId="0">
      <selection activeCell="F28" sqref="A2:F28"/>
    </sheetView>
  </sheetViews>
  <sheetFormatPr defaultRowHeight="13.5" x14ac:dyDescent="0.35"/>
  <sheetData>
    <row r="2" spans="1:13" x14ac:dyDescent="0.35">
      <c r="A2" t="s">
        <v>83</v>
      </c>
      <c r="B2" t="s">
        <v>84</v>
      </c>
      <c r="C2" t="s">
        <v>85</v>
      </c>
      <c r="D2" t="s">
        <v>86</v>
      </c>
      <c r="F2" t="s">
        <v>87</v>
      </c>
      <c r="H2" t="s">
        <v>88</v>
      </c>
      <c r="I2" t="s">
        <v>89</v>
      </c>
      <c r="J2" t="s">
        <v>90</v>
      </c>
      <c r="K2" t="s">
        <v>40</v>
      </c>
      <c r="M2" t="s">
        <v>91</v>
      </c>
    </row>
    <row r="3" spans="1:13" x14ac:dyDescent="0.35">
      <c r="A3">
        <v>1</v>
      </c>
      <c r="B3">
        <v>2</v>
      </c>
      <c r="C3">
        <v>5</v>
      </c>
      <c r="D3" s="1">
        <v>0</v>
      </c>
      <c r="E3" s="7" t="s">
        <v>2</v>
      </c>
      <c r="F3" s="3">
        <v>200</v>
      </c>
      <c r="H3">
        <v>1</v>
      </c>
      <c r="I3">
        <f>SUMIF($A$3:$A$28,H3,$D$3:$D$28)</f>
        <v>180</v>
      </c>
      <c r="J3">
        <f>SUMIF($B$3:$B$28,H3,$D$3:$D$28)</f>
        <v>0</v>
      </c>
      <c r="K3" s="4">
        <f>I3-J3</f>
        <v>180</v>
      </c>
      <c r="L3" s="7" t="s">
        <v>2</v>
      </c>
      <c r="M3" s="3">
        <v>200</v>
      </c>
    </row>
    <row r="4" spans="1:13" x14ac:dyDescent="0.35">
      <c r="A4">
        <v>1</v>
      </c>
      <c r="B4">
        <v>3</v>
      </c>
      <c r="C4">
        <v>3</v>
      </c>
      <c r="D4" s="1">
        <v>180</v>
      </c>
      <c r="E4" s="7" t="s">
        <v>2</v>
      </c>
      <c r="F4" s="3">
        <v>200</v>
      </c>
      <c r="H4">
        <v>2</v>
      </c>
      <c r="I4">
        <f>SUMIF($A$3:$A$28,H4,$D$3:$D$28)</f>
        <v>300</v>
      </c>
      <c r="J4">
        <f>SUMIF($B$3:$B$28,H4,$D$3:$D$28)</f>
        <v>0</v>
      </c>
      <c r="K4" s="4">
        <f t="shared" ref="K4:K9" si="0">I4-J4</f>
        <v>300</v>
      </c>
      <c r="L4" s="7" t="s">
        <v>2</v>
      </c>
      <c r="M4" s="3">
        <v>300</v>
      </c>
    </row>
    <row r="5" spans="1:13" x14ac:dyDescent="0.35">
      <c r="A5">
        <v>1</v>
      </c>
      <c r="B5">
        <v>4</v>
      </c>
      <c r="C5">
        <v>5</v>
      </c>
      <c r="D5" s="1">
        <v>0</v>
      </c>
      <c r="E5" s="7" t="s">
        <v>2</v>
      </c>
      <c r="F5" s="3">
        <v>200</v>
      </c>
      <c r="H5">
        <v>3</v>
      </c>
      <c r="I5">
        <f t="shared" ref="I4:I9" si="1">SUMIF($A$3:$A$28,H5,$D$3:$D$28)</f>
        <v>280</v>
      </c>
      <c r="J5">
        <f t="shared" ref="J4:J9" si="2">SUMIF($B$3:$B$28,H5,$D$3:$D$28)</f>
        <v>180</v>
      </c>
      <c r="K5" s="4">
        <f t="shared" si="0"/>
        <v>100</v>
      </c>
      <c r="L5" s="7" t="s">
        <v>2</v>
      </c>
      <c r="M5" s="3">
        <v>100</v>
      </c>
    </row>
    <row r="6" spans="1:13" x14ac:dyDescent="0.35">
      <c r="A6">
        <v>1</v>
      </c>
      <c r="B6">
        <v>5</v>
      </c>
      <c r="C6">
        <v>5</v>
      </c>
      <c r="D6" s="1">
        <v>0</v>
      </c>
      <c r="E6" s="7" t="s">
        <v>2</v>
      </c>
      <c r="F6" s="3">
        <v>200</v>
      </c>
      <c r="H6">
        <v>4</v>
      </c>
      <c r="I6">
        <f t="shared" si="1"/>
        <v>200</v>
      </c>
      <c r="J6">
        <f t="shared" si="2"/>
        <v>200</v>
      </c>
      <c r="K6" s="4">
        <f t="shared" si="0"/>
        <v>0</v>
      </c>
      <c r="L6" s="7" t="s">
        <v>92</v>
      </c>
      <c r="M6" s="3">
        <v>0</v>
      </c>
    </row>
    <row r="7" spans="1:13" x14ac:dyDescent="0.35">
      <c r="A7">
        <v>1</v>
      </c>
      <c r="B7">
        <v>6</v>
      </c>
      <c r="C7">
        <v>20</v>
      </c>
      <c r="D7" s="1">
        <v>0</v>
      </c>
      <c r="E7" s="7" t="s">
        <v>2</v>
      </c>
      <c r="F7" s="3">
        <v>200</v>
      </c>
      <c r="H7">
        <v>5</v>
      </c>
      <c r="I7">
        <f t="shared" si="1"/>
        <v>200</v>
      </c>
      <c r="J7">
        <f t="shared" si="2"/>
        <v>200</v>
      </c>
      <c r="K7" s="4">
        <f t="shared" si="0"/>
        <v>0</v>
      </c>
      <c r="L7" s="7" t="s">
        <v>92</v>
      </c>
      <c r="M7" s="3">
        <v>0</v>
      </c>
    </row>
    <row r="8" spans="1:13" x14ac:dyDescent="0.35">
      <c r="A8">
        <v>1</v>
      </c>
      <c r="B8">
        <v>7</v>
      </c>
      <c r="C8">
        <v>20</v>
      </c>
      <c r="D8" s="1">
        <v>0</v>
      </c>
      <c r="E8" s="7" t="s">
        <v>2</v>
      </c>
      <c r="F8" s="3">
        <v>200</v>
      </c>
      <c r="H8">
        <v>6</v>
      </c>
      <c r="I8">
        <f t="shared" si="1"/>
        <v>180</v>
      </c>
      <c r="J8">
        <f t="shared" si="2"/>
        <v>580</v>
      </c>
      <c r="K8" s="4">
        <f t="shared" si="0"/>
        <v>-400</v>
      </c>
      <c r="L8" s="7" t="s">
        <v>2</v>
      </c>
      <c r="M8" s="3">
        <v>-400</v>
      </c>
    </row>
    <row r="9" spans="1:13" x14ac:dyDescent="0.35">
      <c r="A9">
        <v>2</v>
      </c>
      <c r="B9">
        <v>1</v>
      </c>
      <c r="C9">
        <v>9</v>
      </c>
      <c r="D9" s="1">
        <v>0</v>
      </c>
      <c r="E9" s="7" t="s">
        <v>2</v>
      </c>
      <c r="F9" s="3">
        <v>200</v>
      </c>
      <c r="H9">
        <v>7</v>
      </c>
      <c r="I9">
        <f t="shared" si="1"/>
        <v>0</v>
      </c>
      <c r="J9">
        <f t="shared" si="2"/>
        <v>180</v>
      </c>
      <c r="K9" s="4">
        <f t="shared" si="0"/>
        <v>-180</v>
      </c>
      <c r="L9" s="7" t="s">
        <v>2</v>
      </c>
      <c r="M9" s="3">
        <v>-180</v>
      </c>
    </row>
    <row r="10" spans="1:13" x14ac:dyDescent="0.35">
      <c r="A10">
        <v>2</v>
      </c>
      <c r="B10">
        <v>3</v>
      </c>
      <c r="C10">
        <v>9</v>
      </c>
      <c r="D10" s="1">
        <v>0</v>
      </c>
      <c r="E10" s="7" t="s">
        <v>2</v>
      </c>
      <c r="F10" s="3">
        <v>200</v>
      </c>
    </row>
    <row r="11" spans="1:13" x14ac:dyDescent="0.35">
      <c r="A11">
        <v>2</v>
      </c>
      <c r="B11">
        <v>4</v>
      </c>
      <c r="C11">
        <v>1</v>
      </c>
      <c r="D11" s="1">
        <v>120</v>
      </c>
      <c r="E11" s="7" t="s">
        <v>2</v>
      </c>
      <c r="F11" s="3">
        <v>200</v>
      </c>
      <c r="H11" t="s">
        <v>70</v>
      </c>
      <c r="I11" s="2">
        <f>SUMPRODUCT(C3:C28,D3:D28)</f>
        <v>3260</v>
      </c>
    </row>
    <row r="12" spans="1:13" x14ac:dyDescent="0.35">
      <c r="A12">
        <v>2</v>
      </c>
      <c r="B12">
        <v>5</v>
      </c>
      <c r="C12">
        <v>1</v>
      </c>
      <c r="D12" s="1">
        <v>0</v>
      </c>
      <c r="E12" s="7" t="s">
        <v>2</v>
      </c>
      <c r="F12" s="3">
        <v>200</v>
      </c>
    </row>
    <row r="13" spans="1:13" x14ac:dyDescent="0.35">
      <c r="A13">
        <v>2</v>
      </c>
      <c r="B13">
        <v>6</v>
      </c>
      <c r="C13">
        <v>8</v>
      </c>
      <c r="D13" s="1">
        <v>180</v>
      </c>
      <c r="E13" s="7" t="s">
        <v>2</v>
      </c>
      <c r="F13" s="3">
        <v>200</v>
      </c>
    </row>
    <row r="14" spans="1:13" x14ac:dyDescent="0.35">
      <c r="A14">
        <v>2</v>
      </c>
      <c r="B14">
        <v>7</v>
      </c>
      <c r="C14">
        <v>15</v>
      </c>
      <c r="D14" s="1">
        <v>0</v>
      </c>
      <c r="E14" s="7" t="s">
        <v>2</v>
      </c>
      <c r="F14" s="3">
        <v>200</v>
      </c>
    </row>
    <row r="15" spans="1:13" x14ac:dyDescent="0.35">
      <c r="A15">
        <v>3</v>
      </c>
      <c r="B15">
        <v>1</v>
      </c>
      <c r="C15">
        <v>0.4</v>
      </c>
      <c r="D15" s="1">
        <v>0</v>
      </c>
      <c r="E15" s="7" t="s">
        <v>2</v>
      </c>
      <c r="F15" s="3">
        <v>200</v>
      </c>
    </row>
    <row r="16" spans="1:13" x14ac:dyDescent="0.35">
      <c r="A16">
        <v>3</v>
      </c>
      <c r="B16">
        <v>2</v>
      </c>
      <c r="C16">
        <v>8</v>
      </c>
      <c r="D16" s="1">
        <v>0</v>
      </c>
      <c r="E16" s="7" t="s">
        <v>2</v>
      </c>
      <c r="F16" s="3">
        <v>200</v>
      </c>
    </row>
    <row r="17" spans="1:6" x14ac:dyDescent="0.35">
      <c r="A17">
        <v>3</v>
      </c>
      <c r="B17">
        <v>4</v>
      </c>
      <c r="C17">
        <v>1</v>
      </c>
      <c r="D17" s="1">
        <v>80</v>
      </c>
      <c r="E17" s="7" t="s">
        <v>2</v>
      </c>
      <c r="F17" s="3">
        <v>200</v>
      </c>
    </row>
    <row r="18" spans="1:6" x14ac:dyDescent="0.35">
      <c r="A18">
        <v>3</v>
      </c>
      <c r="B18">
        <v>5</v>
      </c>
      <c r="C18">
        <v>0.5</v>
      </c>
      <c r="D18" s="1">
        <v>200</v>
      </c>
      <c r="E18" s="7" t="s">
        <v>2</v>
      </c>
      <c r="F18" s="3">
        <v>200</v>
      </c>
    </row>
    <row r="19" spans="1:6" x14ac:dyDescent="0.35">
      <c r="A19">
        <v>3</v>
      </c>
      <c r="B19">
        <v>6</v>
      </c>
      <c r="C19">
        <v>10</v>
      </c>
      <c r="D19" s="1">
        <v>0</v>
      </c>
      <c r="E19" s="7" t="s">
        <v>2</v>
      </c>
      <c r="F19" s="3">
        <v>200</v>
      </c>
    </row>
    <row r="20" spans="1:6" x14ac:dyDescent="0.35">
      <c r="A20">
        <v>3</v>
      </c>
      <c r="B20">
        <v>7</v>
      </c>
      <c r="C20">
        <v>12</v>
      </c>
      <c r="D20" s="1">
        <v>0</v>
      </c>
      <c r="E20" s="7" t="s">
        <v>2</v>
      </c>
      <c r="F20" s="3">
        <v>200</v>
      </c>
    </row>
    <row r="21" spans="1:6" x14ac:dyDescent="0.35">
      <c r="A21">
        <v>4</v>
      </c>
      <c r="B21">
        <v>5</v>
      </c>
      <c r="C21">
        <v>1.2</v>
      </c>
      <c r="D21" s="1">
        <v>0</v>
      </c>
      <c r="E21" s="7" t="s">
        <v>2</v>
      </c>
      <c r="F21" s="3">
        <v>200</v>
      </c>
    </row>
    <row r="22" spans="1:6" x14ac:dyDescent="0.35">
      <c r="A22">
        <v>4</v>
      </c>
      <c r="B22">
        <v>6</v>
      </c>
      <c r="C22">
        <v>2</v>
      </c>
      <c r="D22" s="1">
        <v>200</v>
      </c>
      <c r="E22" s="7" t="s">
        <v>2</v>
      </c>
      <c r="F22" s="3">
        <v>200</v>
      </c>
    </row>
    <row r="23" spans="1:6" x14ac:dyDescent="0.35">
      <c r="A23">
        <v>4</v>
      </c>
      <c r="B23">
        <v>7</v>
      </c>
      <c r="C23">
        <v>12</v>
      </c>
      <c r="D23" s="1">
        <v>0</v>
      </c>
      <c r="E23" s="7" t="s">
        <v>2</v>
      </c>
      <c r="F23" s="3">
        <v>200</v>
      </c>
    </row>
    <row r="24" spans="1:6" x14ac:dyDescent="0.35">
      <c r="A24">
        <v>5</v>
      </c>
      <c r="B24">
        <v>4</v>
      </c>
      <c r="C24">
        <v>0.8</v>
      </c>
      <c r="D24" s="1">
        <v>0</v>
      </c>
      <c r="E24" s="7" t="s">
        <v>2</v>
      </c>
      <c r="F24" s="3">
        <v>200</v>
      </c>
    </row>
    <row r="25" spans="1:6" x14ac:dyDescent="0.35">
      <c r="A25">
        <v>5</v>
      </c>
      <c r="B25">
        <v>6</v>
      </c>
      <c r="C25">
        <v>2</v>
      </c>
      <c r="D25" s="1">
        <v>200</v>
      </c>
      <c r="E25" s="7" t="s">
        <v>2</v>
      </c>
      <c r="F25" s="3">
        <v>200</v>
      </c>
    </row>
    <row r="26" spans="1:6" x14ac:dyDescent="0.35">
      <c r="A26">
        <v>5</v>
      </c>
      <c r="B26">
        <v>7</v>
      </c>
      <c r="C26">
        <v>12</v>
      </c>
      <c r="D26" s="1">
        <v>0</v>
      </c>
      <c r="E26" s="7" t="s">
        <v>2</v>
      </c>
      <c r="F26" s="3">
        <v>200</v>
      </c>
    </row>
    <row r="27" spans="1:6" x14ac:dyDescent="0.35">
      <c r="A27">
        <v>6</v>
      </c>
      <c r="B27">
        <v>7</v>
      </c>
      <c r="C27">
        <v>1</v>
      </c>
      <c r="D27" s="1">
        <v>180</v>
      </c>
      <c r="E27" s="7" t="s">
        <v>2</v>
      </c>
      <c r="F27" s="3">
        <v>200</v>
      </c>
    </row>
    <row r="28" spans="1:6" x14ac:dyDescent="0.35">
      <c r="A28">
        <v>7</v>
      </c>
      <c r="B28">
        <v>6</v>
      </c>
      <c r="C28">
        <v>7</v>
      </c>
      <c r="D28" s="1">
        <v>0</v>
      </c>
      <c r="E28" s="7" t="s">
        <v>2</v>
      </c>
      <c r="F28" s="3">
        <v>200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F4BAA-45A2-4B9F-8DB4-EA5599549413}">
  <dimension ref="A2:M11"/>
  <sheetViews>
    <sheetView tabSelected="1" workbookViewId="0">
      <selection activeCell="N18" sqref="N18"/>
    </sheetView>
  </sheetViews>
  <sheetFormatPr defaultRowHeight="13.5" x14ac:dyDescent="0.35"/>
  <sheetData>
    <row r="2" spans="1:13" x14ac:dyDescent="0.35">
      <c r="A2" t="s">
        <v>94</v>
      </c>
      <c r="B2" t="s">
        <v>93</v>
      </c>
      <c r="C2" t="s">
        <v>70</v>
      </c>
      <c r="D2" t="s">
        <v>96</v>
      </c>
      <c r="F2" t="s">
        <v>95</v>
      </c>
      <c r="H2" t="s">
        <v>88</v>
      </c>
      <c r="I2" t="s">
        <v>89</v>
      </c>
      <c r="J2" t="s">
        <v>97</v>
      </c>
      <c r="K2" t="s">
        <v>98</v>
      </c>
      <c r="M2" t="s">
        <v>95</v>
      </c>
    </row>
    <row r="3" spans="1:13" x14ac:dyDescent="0.35">
      <c r="A3">
        <v>1</v>
      </c>
      <c r="B3">
        <v>3</v>
      </c>
      <c r="C3">
        <v>300</v>
      </c>
      <c r="D3" s="1">
        <v>50</v>
      </c>
      <c r="E3" s="7" t="s">
        <v>2</v>
      </c>
      <c r="F3" s="3">
        <v>50</v>
      </c>
      <c r="H3">
        <v>1</v>
      </c>
      <c r="I3">
        <f>SUMIF($A$3:$A$8, H3, $D$3:$D$8)</f>
        <v>80</v>
      </c>
      <c r="J3">
        <f>SUMIF($B$3:$B$8, H3, $D$3:$D$8)</f>
        <v>0</v>
      </c>
      <c r="K3" s="4">
        <f>I3-J3</f>
        <v>80</v>
      </c>
      <c r="L3" s="7" t="s">
        <v>2</v>
      </c>
      <c r="M3" s="3">
        <v>80</v>
      </c>
    </row>
    <row r="4" spans="1:13" x14ac:dyDescent="0.35">
      <c r="A4">
        <v>1</v>
      </c>
      <c r="B4">
        <v>4</v>
      </c>
      <c r="C4">
        <v>700</v>
      </c>
      <c r="D4" s="1">
        <v>30</v>
      </c>
      <c r="E4" s="7" t="s">
        <v>2</v>
      </c>
      <c r="F4" s="3">
        <f>1E+30</f>
        <v>1E+30</v>
      </c>
      <c r="H4">
        <v>2</v>
      </c>
      <c r="I4">
        <f t="shared" ref="I4:I8" si="0">SUMIF($A$3:$A$8, H4, $D$3:$D$8)</f>
        <v>70</v>
      </c>
      <c r="J4">
        <f t="shared" ref="J4:J8" si="1">SUMIF($B$3:$B$8, H4, $D$3:$D$8)</f>
        <v>0</v>
      </c>
      <c r="K4" s="4">
        <f t="shared" ref="K4:K8" si="2">I4-J4</f>
        <v>70</v>
      </c>
      <c r="L4" s="7" t="s">
        <v>2</v>
      </c>
      <c r="M4" s="3">
        <v>70</v>
      </c>
    </row>
    <row r="5" spans="1:13" x14ac:dyDescent="0.35">
      <c r="A5">
        <v>2</v>
      </c>
      <c r="B5">
        <v>3</v>
      </c>
      <c r="C5">
        <v>500</v>
      </c>
      <c r="D5" s="1">
        <v>30</v>
      </c>
      <c r="E5" s="7" t="s">
        <v>2</v>
      </c>
      <c r="F5" s="3">
        <v>50</v>
      </c>
      <c r="H5">
        <v>3</v>
      </c>
      <c r="I5">
        <f t="shared" si="0"/>
        <v>80</v>
      </c>
      <c r="J5">
        <f t="shared" si="1"/>
        <v>80</v>
      </c>
      <c r="K5" s="4">
        <f t="shared" si="2"/>
        <v>0</v>
      </c>
      <c r="L5" s="7" t="s">
        <v>2</v>
      </c>
      <c r="M5" s="3">
        <v>0</v>
      </c>
    </row>
    <row r="6" spans="1:13" x14ac:dyDescent="0.35">
      <c r="A6">
        <v>2</v>
      </c>
      <c r="B6">
        <v>5</v>
      </c>
      <c r="C6">
        <v>1000</v>
      </c>
      <c r="D6" s="1">
        <v>40</v>
      </c>
      <c r="E6" s="7" t="s">
        <v>2</v>
      </c>
      <c r="F6" s="3">
        <f>1E+30</f>
        <v>1E+30</v>
      </c>
      <c r="H6">
        <v>4</v>
      </c>
      <c r="I6">
        <f t="shared" si="0"/>
        <v>0</v>
      </c>
      <c r="J6">
        <f t="shared" si="1"/>
        <v>60</v>
      </c>
      <c r="K6" s="4">
        <f t="shared" si="2"/>
        <v>-60</v>
      </c>
      <c r="L6" s="7" t="s">
        <v>2</v>
      </c>
      <c r="M6" s="3">
        <v>-60</v>
      </c>
    </row>
    <row r="7" spans="1:13" x14ac:dyDescent="0.35">
      <c r="A7">
        <v>3</v>
      </c>
      <c r="B7">
        <v>4</v>
      </c>
      <c r="C7">
        <v>200</v>
      </c>
      <c r="D7" s="1">
        <v>30</v>
      </c>
      <c r="E7" s="7" t="s">
        <v>2</v>
      </c>
      <c r="F7" s="3">
        <v>50</v>
      </c>
      <c r="H7">
        <v>5</v>
      </c>
      <c r="I7">
        <f t="shared" si="0"/>
        <v>0</v>
      </c>
      <c r="J7">
        <f t="shared" si="1"/>
        <v>90</v>
      </c>
      <c r="K7" s="4">
        <f t="shared" si="2"/>
        <v>-90</v>
      </c>
      <c r="L7" s="7" t="s">
        <v>2</v>
      </c>
      <c r="M7" s="3">
        <v>-90</v>
      </c>
    </row>
    <row r="8" spans="1:13" x14ac:dyDescent="0.35">
      <c r="A8">
        <v>3</v>
      </c>
      <c r="B8">
        <v>5</v>
      </c>
      <c r="C8">
        <v>400</v>
      </c>
      <c r="D8" s="1">
        <v>50</v>
      </c>
      <c r="E8" s="7" t="s">
        <v>2</v>
      </c>
      <c r="F8" s="3">
        <v>50</v>
      </c>
      <c r="L8" s="7"/>
    </row>
    <row r="11" spans="1:13" x14ac:dyDescent="0.35">
      <c r="A11" t="s">
        <v>70</v>
      </c>
      <c r="B11" s="2">
        <f>SUMPRODUCT(D3:D8,C3:C8)</f>
        <v>117000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ch_1_1</vt:lpstr>
      <vt:lpstr>ch_1_2</vt:lpstr>
      <vt:lpstr>ch_2_1</vt:lpstr>
      <vt:lpstr>ch_2_2</vt:lpstr>
      <vt:lpstr>ch_2_3</vt:lpstr>
      <vt:lpstr>ch_2_4</vt:lpstr>
      <vt:lpstr>ch_3_1</vt:lpstr>
      <vt:lpstr>ch_3_2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Pannatorn  Janpitak</dc:creator>
  <cp:lastModifiedBy>Pannatorn Janpitak</cp:lastModifiedBy>
  <dcterms:created xsi:type="dcterms:W3CDTF">2026-09-16T13:39:47Z</dcterms:created>
  <dcterms:modified xsi:type="dcterms:W3CDTF">2026-09-18T16:21:28Z</dcterms:modified>
</cp:coreProperties>
</file>