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GitHub\DADS7102\HW5\result\"/>
    </mc:Choice>
  </mc:AlternateContent>
  <xr:revisionPtr revIDLastSave="0" documentId="13_ncr:1_{D602E2B7-194A-4E58-A816-AEC7E170A912}" xr6:coauthVersionLast="47" xr6:coauthVersionMax="47" xr10:uidLastSave="{00000000-0000-0000-0000-000000000000}"/>
  <bookViews>
    <workbookView xWindow="-98" yWindow="-98" windowWidth="21795" windowHeight="12975" xr2:uid="{33498688-4029-4D37-9392-6E2D196B3B0C}"/>
  </bookViews>
  <sheets>
    <sheet name="WH Location " sheetId="1" r:id="rId1"/>
    <sheet name="Uncapacitated Facility" sheetId="2" r:id="rId2"/>
  </sheets>
  <externalReferences>
    <externalReference r:id="rId3"/>
  </externalReferences>
  <definedNames>
    <definedName name="AFinish">[1]project!$K$6</definedName>
    <definedName name="BFinish">[1]project!$K$7</definedName>
    <definedName name="CFinish">[1]project!$K$8</definedName>
    <definedName name="DFinish">[1]project!$K$9</definedName>
    <definedName name="EFinish">[1]project!$K$10</definedName>
    <definedName name="FFinish">[1]project!$K$11</definedName>
    <definedName name="GFinish">[1]project!$K$12</definedName>
    <definedName name="HFinish">[1]project!$K$13</definedName>
    <definedName name="IFinish">[1]project!$K$14</definedName>
    <definedName name="invLevels">[1]CapitalBudget!$B$10:$H$10</definedName>
    <definedName name="JFinish">[1]project!$K$15</definedName>
    <definedName name="KFinish">[1]project!$K$16</definedName>
    <definedName name="LFinish">[1]project!$K$17</definedName>
    <definedName name="MFinish">[1]project!$K$18</definedName>
    <definedName name="NFinish">[1]project!$K$19</definedName>
    <definedName name="solver_adj" localSheetId="0" hidden="1">'WH Location '!$B$6:$C$6,'WH Location '!$I$2:$J$5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'WH Location '!$I$2:$I$5</definedName>
    <definedName name="solver_lhs2" localSheetId="0" hidden="1">'WH Location '!$I$2:$I$5</definedName>
    <definedName name="solver_lhs3" localSheetId="0" hidden="1">'WH Location '!$J$2:$J$5</definedName>
    <definedName name="solver_lhs4" localSheetId="0" hidden="1">'WH Location '!$J$2:$J$5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'WH Location '!$F$7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hs1" localSheetId="0" hidden="1">'WH Location '!$E$2:$E$5</definedName>
    <definedName name="solver_rhs2" localSheetId="0" hidden="1">'WH Location '!$F$2:$F$5</definedName>
    <definedName name="solver_rhs3" localSheetId="0" hidden="1">'WH Location '!$G$2:$G$5</definedName>
    <definedName name="solver_rhs4" localSheetId="0" hidden="1">'WH Location '!$H$2:$H$5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G4" i="1"/>
  <c r="H4" i="1" s="1"/>
  <c r="G2" i="1"/>
  <c r="H2" i="1" s="1"/>
  <c r="E2" i="1"/>
  <c r="F2" i="1" s="1"/>
  <c r="G3" i="1"/>
  <c r="H3" i="1" s="1"/>
  <c r="G5" i="1"/>
  <c r="H5" i="1" s="1"/>
  <c r="E5" i="1"/>
  <c r="E4" i="1"/>
  <c r="E3" i="1"/>
  <c r="F5" i="1" l="1"/>
  <c r="F4" i="1"/>
  <c r="F3" i="1"/>
  <c r="F7" i="1" l="1"/>
</calcChain>
</file>

<file path=xl/sharedStrings.xml><?xml version="1.0" encoding="utf-8"?>
<sst xmlns="http://schemas.openxmlformats.org/spreadsheetml/2006/main" count="13" uniqueCount="13">
  <si>
    <t>WH location</t>
  </si>
  <si>
    <t>Total yearly distance from WH to customers</t>
  </si>
  <si>
    <t>Customer (j)</t>
  </si>
  <si>
    <t>yj-y</t>
  </si>
  <si>
    <t>Long (Yj)</t>
  </si>
  <si>
    <t>Lat (Xj)</t>
  </si>
  <si>
    <t xml:space="preserve">xj-x </t>
  </si>
  <si>
    <t>(yj-y)</t>
  </si>
  <si>
    <t>Sj</t>
  </si>
  <si>
    <t>Tj</t>
  </si>
  <si>
    <t>(xj-x)</t>
  </si>
  <si>
    <t>Rj(Sj+Tj)</t>
  </si>
  <si>
    <t># of shipments per year (Rj)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</si>
</sst>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" x14ac:knownFonts="1">
    <font>
      <sz val="11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2" borderId="0" xfId="0" applyFill="1"/>
    <xf numFmtId="0" fontId="0" fillId="4" borderId="0" xfId="0" applyFill="1"/>
    <xf numFmtId="187" fontId="0" fillId="2" borderId="0" xfId="0" applyNumberForma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lass_excel/data-files-optimization.xlsx" TargetMode="External"/><Relationship Id="rId2" Type="http://schemas.openxmlformats.org/officeDocument/2006/relationships/externalLinkPath" Target="file:///C:\Users\Lenovo\Documents\GitHub\DADS7102\class_excel\data-files-optimization.xlsx" TargetMode="External"/><Relationship Id="rId1" Type="http://schemas.openxmlformats.org/officeDocument/2006/relationships/externalLinkPath" Target="/Users/Lenovo/Documents/GitHub/DADS7102/class_excel/data-files-optim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dvertising "/>
      <sheetName val="Advertising _Sensitivity Report"/>
      <sheetName val="monopolist"/>
      <sheetName val="Sensitivity Report 1"/>
      <sheetName val="ProductMix"/>
      <sheetName val="ProductMix_add_on"/>
      <sheetName val="ProductMix2 Sensitivity"/>
      <sheetName val="ProductMix2"/>
      <sheetName val="LM_2"/>
      <sheetName val="Dual"/>
      <sheetName val="ProdPlanning"/>
      <sheetName val="project"/>
      <sheetName val="BlendingOil"/>
      <sheetName val="Transport1"/>
      <sheetName val="AssignmentProblem"/>
      <sheetName val="BinPacking"/>
      <sheetName val="cuttingStock"/>
      <sheetName val="MCNF"/>
      <sheetName val="RedBrandLogistics"/>
      <sheetName val="HW3"/>
      <sheetName val="set_covering_model"/>
      <sheetName val="ShortestPath"/>
      <sheetName val="Aggregate1"/>
      <sheetName val="CapitalBudget"/>
      <sheetName val="FixedCost"/>
      <sheetName val="Hub"/>
      <sheetName val="WorkerScheduling"/>
      <sheetName val="Transport1-2"/>
      <sheetName val="MMULT"/>
      <sheetName val="MDETERM"/>
      <sheetName val="Peakload"/>
      <sheetName val="GameTheory"/>
      <sheetName val="Portfolio"/>
      <sheetName val="EOQ"/>
      <sheetName val="SVM1"/>
      <sheetName val="MLE"/>
      <sheetName val="OLS"/>
      <sheetName val="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K6">
            <v>2</v>
          </cell>
        </row>
        <row r="7">
          <cell r="K7">
            <v>6</v>
          </cell>
        </row>
        <row r="8">
          <cell r="K8">
            <v>16</v>
          </cell>
        </row>
        <row r="9">
          <cell r="K9">
            <v>22</v>
          </cell>
        </row>
        <row r="10">
          <cell r="K10">
            <v>20</v>
          </cell>
        </row>
        <row r="11">
          <cell r="K11">
            <v>23</v>
          </cell>
        </row>
        <row r="12">
          <cell r="K12">
            <v>29</v>
          </cell>
        </row>
        <row r="13">
          <cell r="K13">
            <v>38</v>
          </cell>
        </row>
        <row r="14">
          <cell r="K14">
            <v>23</v>
          </cell>
        </row>
        <row r="15">
          <cell r="K15">
            <v>29</v>
          </cell>
        </row>
        <row r="16">
          <cell r="K16">
            <v>34</v>
          </cell>
        </row>
        <row r="17">
          <cell r="K17">
            <v>34</v>
          </cell>
        </row>
        <row r="18">
          <cell r="K18">
            <v>40</v>
          </cell>
        </row>
        <row r="19">
          <cell r="K19">
            <v>40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0">
          <cell r="B10">
            <v>0</v>
          </cell>
          <cell r="C10">
            <v>1</v>
          </cell>
          <cell r="D10">
            <v>1</v>
          </cell>
          <cell r="E10">
            <v>1</v>
          </cell>
          <cell r="F10">
            <v>0</v>
          </cell>
          <cell r="G10">
            <v>0</v>
          </cell>
          <cell r="H10">
            <v>1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F4FE-D4FD-4FAF-995E-613C0C8290EC}">
  <dimension ref="A1:K7"/>
  <sheetViews>
    <sheetView tabSelected="1" zoomScaleNormal="100" workbookViewId="0">
      <selection activeCell="F7" sqref="F7"/>
    </sheetView>
  </sheetViews>
  <sheetFormatPr defaultRowHeight="13.5" x14ac:dyDescent="0.35"/>
  <cols>
    <col min="1" max="1" width="10.6875" bestFit="1" customWidth="1"/>
    <col min="2" max="2" width="6.5625" bestFit="1" customWidth="1"/>
    <col min="3" max="3" width="8" bestFit="1" customWidth="1"/>
    <col min="4" max="4" width="23.5625" bestFit="1" customWidth="1"/>
    <col min="5" max="6" width="9.125" bestFit="1" customWidth="1"/>
    <col min="7" max="7" width="4.125" customWidth="1"/>
    <col min="8" max="8" width="6" customWidth="1"/>
    <col min="9" max="9" width="8" bestFit="1" customWidth="1"/>
  </cols>
  <sheetData>
    <row r="1" spans="1:11" x14ac:dyDescent="0.35">
      <c r="A1" s="1" t="s">
        <v>2</v>
      </c>
      <c r="B1" s="2" t="s">
        <v>5</v>
      </c>
      <c r="C1" s="2" t="s">
        <v>4</v>
      </c>
      <c r="D1" s="2" t="s">
        <v>12</v>
      </c>
      <c r="E1" s="2" t="s">
        <v>6</v>
      </c>
      <c r="F1" s="2" t="s">
        <v>10</v>
      </c>
      <c r="G1" s="2" t="s">
        <v>3</v>
      </c>
      <c r="H1" s="2" t="s">
        <v>7</v>
      </c>
      <c r="I1" s="2" t="s">
        <v>8</v>
      </c>
      <c r="J1" s="2" t="s">
        <v>9</v>
      </c>
      <c r="K1" s="2" t="s">
        <v>11</v>
      </c>
    </row>
    <row r="2" spans="1:11" x14ac:dyDescent="0.35">
      <c r="A2">
        <v>1</v>
      </c>
      <c r="B2">
        <v>5</v>
      </c>
      <c r="C2">
        <v>10</v>
      </c>
      <c r="D2">
        <v>200</v>
      </c>
      <c r="E2" s="5">
        <f>B2-$B$6</f>
        <v>-5</v>
      </c>
      <c r="F2" s="5">
        <f>-E2</f>
        <v>5</v>
      </c>
      <c r="G2" s="5">
        <f>C2 - $C$6</f>
        <v>5</v>
      </c>
      <c r="H2" s="5">
        <f>-G2</f>
        <v>-5</v>
      </c>
      <c r="I2" s="4">
        <v>5</v>
      </c>
      <c r="J2" s="4">
        <v>5</v>
      </c>
      <c r="K2">
        <f>SUMPRODUCT(D2,I2+J2)</f>
        <v>2000</v>
      </c>
    </row>
    <row r="3" spans="1:11" x14ac:dyDescent="0.35">
      <c r="A3">
        <v>2</v>
      </c>
      <c r="B3">
        <v>10</v>
      </c>
      <c r="C3">
        <v>5</v>
      </c>
      <c r="D3">
        <v>150</v>
      </c>
      <c r="E3" s="5">
        <f>B3-$B$6</f>
        <v>0</v>
      </c>
      <c r="F3" s="5">
        <f t="shared" ref="F3:F5" si="0">-E3</f>
        <v>0</v>
      </c>
      <c r="G3" s="5">
        <f>C3 - $C$6</f>
        <v>0</v>
      </c>
      <c r="H3" s="5">
        <f t="shared" ref="H3:H5" si="1">-G3</f>
        <v>0</v>
      </c>
      <c r="I3" s="4">
        <v>0</v>
      </c>
      <c r="J3" s="4">
        <v>0</v>
      </c>
      <c r="K3">
        <f t="shared" ref="K3:K5" si="2">SUMPRODUCT(D3,I3+J3)</f>
        <v>0</v>
      </c>
    </row>
    <row r="4" spans="1:11" x14ac:dyDescent="0.35">
      <c r="A4">
        <v>3</v>
      </c>
      <c r="B4">
        <v>0</v>
      </c>
      <c r="C4">
        <v>12</v>
      </c>
      <c r="D4">
        <v>200</v>
      </c>
      <c r="E4" s="5">
        <f>B4-$B$6</f>
        <v>-10</v>
      </c>
      <c r="F4" s="5">
        <f t="shared" si="0"/>
        <v>10</v>
      </c>
      <c r="G4" s="5">
        <f>C4 - $C$6</f>
        <v>7</v>
      </c>
      <c r="H4" s="5">
        <f t="shared" si="1"/>
        <v>-7</v>
      </c>
      <c r="I4" s="4">
        <v>10</v>
      </c>
      <c r="J4" s="4">
        <v>7</v>
      </c>
      <c r="K4">
        <f t="shared" si="2"/>
        <v>3400</v>
      </c>
    </row>
    <row r="5" spans="1:11" x14ac:dyDescent="0.35">
      <c r="A5">
        <v>4</v>
      </c>
      <c r="B5">
        <v>12</v>
      </c>
      <c r="C5">
        <v>0</v>
      </c>
      <c r="D5">
        <v>300</v>
      </c>
      <c r="E5" s="5">
        <f>B5-$B$6</f>
        <v>2</v>
      </c>
      <c r="F5" s="5">
        <f t="shared" si="0"/>
        <v>-2</v>
      </c>
      <c r="G5" s="5">
        <f>C5 - $C$6</f>
        <v>-5</v>
      </c>
      <c r="H5" s="5">
        <f t="shared" si="1"/>
        <v>5</v>
      </c>
      <c r="I5" s="4">
        <v>2</v>
      </c>
      <c r="J5" s="4">
        <v>5</v>
      </c>
      <c r="K5">
        <f t="shared" si="2"/>
        <v>2100</v>
      </c>
    </row>
    <row r="6" spans="1:11" x14ac:dyDescent="0.35">
      <c r="A6" t="s">
        <v>0</v>
      </c>
      <c r="B6" s="6">
        <v>10</v>
      </c>
      <c r="C6" s="6">
        <v>5</v>
      </c>
    </row>
    <row r="7" spans="1:11" x14ac:dyDescent="0.35">
      <c r="A7" s="7" t="s">
        <v>1</v>
      </c>
      <c r="B7" s="8"/>
      <c r="C7" s="8"/>
      <c r="D7" s="8"/>
      <c r="E7" s="9"/>
      <c r="F7" s="3">
        <f>SUM(K2:K5)</f>
        <v>7500</v>
      </c>
    </row>
  </sheetData>
  <mergeCells count="1">
    <mergeCell ref="A7:E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56CD-BB6F-471C-AEDD-324919B9EA08}">
  <dimension ref="A1"/>
  <sheetViews>
    <sheetView workbookViewId="0">
      <selection activeCell="H12" sqref="H12"/>
    </sheetView>
  </sheetViews>
  <sheetFormatPr defaultRowHeight="13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 Location </vt:lpstr>
      <vt:lpstr>Uncapacitated Facility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Janpitak</dc:creator>
  <cp:lastModifiedBy>Pannatorn Janpitak</cp:lastModifiedBy>
  <dcterms:created xsi:type="dcterms:W3CDTF">2026-09-05T14:40:18Z</dcterms:created>
  <dcterms:modified xsi:type="dcterms:W3CDTF">2026-09-19T05:07:15Z</dcterms:modified>
</cp:coreProperties>
</file>