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DADS7102\screenshot\"/>
    </mc:Choice>
  </mc:AlternateContent>
  <xr:revisionPtr revIDLastSave="0" documentId="13_ncr:1_{9349C12C-370E-4CCD-83EA-311969F811F4}" xr6:coauthVersionLast="47" xr6:coauthVersionMax="47" xr10:uidLastSave="{00000000-0000-0000-0000-000000000000}"/>
  <bookViews>
    <workbookView xWindow="-120" yWindow="-120" windowWidth="29040" windowHeight="15720" activeTab="3" xr2:uid="{962D6ACA-47B2-4C7E-82D5-0F5476EE75BF}"/>
  </bookViews>
  <sheets>
    <sheet name="Sensitivity Report 1" sheetId="32" r:id="rId1"/>
    <sheet name="ch_1_1" sheetId="1" r:id="rId2"/>
    <sheet name="ch_1_2" sheetId="5" r:id="rId3"/>
    <sheet name="ch_2_1" sheetId="4" r:id="rId4"/>
    <sheet name="ch_2_2" sheetId="9" r:id="rId5"/>
    <sheet name="ch_2_3" sheetId="11" r:id="rId6"/>
    <sheet name="ch_2_4" sheetId="15" r:id="rId7"/>
    <sheet name="ch_3_1" sheetId="16" r:id="rId8"/>
    <sheet name="ch_3_2" sheetId="17" r:id="rId9"/>
    <sheet name="ch_3_3" sheetId="18" r:id="rId10"/>
    <sheet name="ch_3_4" sheetId="19" r:id="rId11"/>
    <sheet name="ch4_1" sheetId="20" r:id="rId12"/>
    <sheet name="ch4_1 (2)" sheetId="27" r:id="rId13"/>
    <sheet name="ch4_2" sheetId="21" r:id="rId14"/>
    <sheet name="ch4_3" sheetId="22" r:id="rId15"/>
    <sheet name="ch4_4" sheetId="23" r:id="rId16"/>
    <sheet name="ch4_5" sheetId="28" r:id="rId17"/>
    <sheet name="ch5_1" sheetId="29" r:id="rId18"/>
    <sheet name="ch5_2" sheetId="30" r:id="rId19"/>
    <sheet name="ch5_3" sheetId="31" r:id="rId20"/>
  </sheets>
  <externalReferences>
    <externalReference r:id="rId21"/>
  </externalReferences>
  <definedNames>
    <definedName name="AFinish">[1]project!$K$6</definedName>
    <definedName name="BFinish">[1]project!$K$7</definedName>
    <definedName name="CFinish">[1]project!$K$8</definedName>
    <definedName name="DFinish">[1]project!$K$9</definedName>
    <definedName name="EFinish">[1]project!$K$10</definedName>
    <definedName name="FFinish">[1]project!$K$11</definedName>
    <definedName name="GFinish">[1]project!$K$12</definedName>
    <definedName name="HFinish">[1]project!$K$13</definedName>
    <definedName name="IFinish">[1]project!$K$14</definedName>
    <definedName name="invLevels">[1]CapitalBudget!$B$10:$H$10</definedName>
    <definedName name="JFinish">[1]project!$K$15</definedName>
    <definedName name="KFinish">[1]project!$K$16</definedName>
    <definedName name="LFinish">[1]project!$K$17</definedName>
    <definedName name="MFinish">[1]project!$K$18</definedName>
    <definedName name="NFinish">[1]project!$K$19</definedName>
    <definedName name="solver_adj" localSheetId="1" hidden="1">ch_1_1!$G$3:$I$3</definedName>
    <definedName name="solver_adj" localSheetId="2" hidden="1">ch_1_2!$B$2:$C$2</definedName>
    <definedName name="solver_adj" localSheetId="3" hidden="1">ch_2_1!$B$3:$I$4</definedName>
    <definedName name="solver_adj" localSheetId="4" hidden="1">ch_2_2!$B$2:$C$2</definedName>
    <definedName name="solver_adj" localSheetId="5" hidden="1">ch_2_3!$B$2:$E$4</definedName>
    <definedName name="solver_adj" localSheetId="6" hidden="1">ch_2_4!$B$2:$H$2</definedName>
    <definedName name="solver_adj" localSheetId="7" hidden="1">ch_3_1!$D$3:$D$28</definedName>
    <definedName name="solver_adj" localSheetId="8" hidden="1">ch_3_2!$D$3:$D$8</definedName>
    <definedName name="solver_adj" localSheetId="9" hidden="1">ch_3_3!$B$12:$G$12</definedName>
    <definedName name="solver_adj" localSheetId="10" hidden="1">ch_3_4!$E$2:$E$11</definedName>
    <definedName name="solver_adj" localSheetId="11" hidden="1">ch4_1!$B$11:$F$12</definedName>
    <definedName name="solver_adj" localSheetId="12" hidden="1">'ch4_1 (2)'!$B$11:$G$12</definedName>
    <definedName name="solver_adj" localSheetId="13" hidden="1">ch4_2!$B$2:$H$2</definedName>
    <definedName name="solver_adj" localSheetId="14" hidden="1">ch4_3!$B$2:$G$2</definedName>
    <definedName name="solver_adj" localSheetId="15" hidden="1">ch4_4!$B$2:$H$2</definedName>
    <definedName name="solver_adj" localSheetId="16" hidden="1">ch4_5!$B$14:$G$15</definedName>
    <definedName name="solver_adj" localSheetId="17" hidden="1">ch5_1!$B$6:$C$6</definedName>
    <definedName name="solver_adj" localSheetId="18" hidden="1">ch5_2!$B$13:$C$13,ch5_2!$B$15</definedName>
    <definedName name="solver_adj" localSheetId="19" hidden="1">ch5_3!$B$7:$C$7,ch5_3!$I$3:$J$6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2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6" hidden="1">2</definedName>
    <definedName name="solver_eng" localSheetId="17" hidden="1">1</definedName>
    <definedName name="solver_eng" localSheetId="18" hidden="1">1</definedName>
    <definedName name="solver_eng" localSheetId="19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lhs1" localSheetId="1" hidden="1">ch_1_1!$B$2:$B$4</definedName>
    <definedName name="solver_lhs1" localSheetId="2" hidden="1">ch_1_2!$F$5:$F$7</definedName>
    <definedName name="solver_lhs1" localSheetId="3" hidden="1">ch_2_1!$B$5:$I$5</definedName>
    <definedName name="solver_lhs1" localSheetId="4" hidden="1">ch_2_2!$E$4:$E$6</definedName>
    <definedName name="solver_lhs1" localSheetId="5" hidden="1">ch_2_3!$G$2:$G$6</definedName>
    <definedName name="solver_lhs1" localSheetId="6" hidden="1">ch_2_4!$B$2:$H$2</definedName>
    <definedName name="solver_lhs1" localSheetId="7" hidden="1">ch_3_1!$D$3:$D$28</definedName>
    <definedName name="solver_lhs1" localSheetId="8" hidden="1">ch_3_2!$D$3:$D$8</definedName>
    <definedName name="solver_lhs1" localSheetId="9" hidden="1">ch_3_3!$B$12:$G$12</definedName>
    <definedName name="solver_lhs1" localSheetId="10" hidden="1">ch_3_4!$E$2:$E$3</definedName>
    <definedName name="solver_lhs1" localSheetId="11" hidden="1">ch4_1!$B$11:$F$11</definedName>
    <definedName name="solver_lhs1" localSheetId="12" hidden="1">'ch4_1 (2)'!$B$11:$G$11</definedName>
    <definedName name="solver_lhs1" localSheetId="13" hidden="1">ch4_2!$B$2:$H$2</definedName>
    <definedName name="solver_lhs1" localSheetId="14" hidden="1">ch4_3!$B$2:$G$2</definedName>
    <definedName name="solver_lhs1" localSheetId="15" hidden="1">ch4_4!$B$2:$H$2</definedName>
    <definedName name="solver_lhs1" localSheetId="16" hidden="1">ch4_5!$B$14:$G$14</definedName>
    <definedName name="solver_lhs1" localSheetId="18" hidden="1">ch5_2!$B$19:$C$19</definedName>
    <definedName name="solver_lhs1" localSheetId="19" hidden="1">ch5_3!$I$3:$I$6</definedName>
    <definedName name="solver_lhs2" localSheetId="1" hidden="1">ch_1_1!$B$6:$B$7</definedName>
    <definedName name="solver_lhs2" localSheetId="3" hidden="1">ch_2_1!$L$2:$L$4</definedName>
    <definedName name="solver_lhs2" localSheetId="6" hidden="1">ch_2_4!$J$3</definedName>
    <definedName name="solver_lhs2" localSheetId="7" hidden="1">ch_3_1!$K$3:$K$9</definedName>
    <definedName name="solver_lhs2" localSheetId="8" hidden="1">ch_3_2!$K$3:$K$7</definedName>
    <definedName name="solver_lhs2" localSheetId="9" hidden="1">ch_3_3!$B$20:$G$20</definedName>
    <definedName name="solver_lhs2" localSheetId="10" hidden="1">ch_3_4!$L$2:$L$8</definedName>
    <definedName name="solver_lhs2" localSheetId="11" hidden="1">ch4_1!$B$12:$F$12</definedName>
    <definedName name="solver_lhs2" localSheetId="12" hidden="1">'ch4_1 (2)'!$B$12:$G$12</definedName>
    <definedName name="solver_lhs2" localSheetId="13" hidden="1">ch4_2!$J$4</definedName>
    <definedName name="solver_lhs2" localSheetId="14" hidden="1">ch4_3!$H$4:$H$9</definedName>
    <definedName name="solver_lhs2" localSheetId="15" hidden="1">ch4_4!$I$4:$I$10</definedName>
    <definedName name="solver_lhs2" localSheetId="16" hidden="1">ch4_5!$B$15:$G$15</definedName>
    <definedName name="solver_lhs2" localSheetId="19" hidden="1">ch5_3!$I$3:$I$6</definedName>
    <definedName name="solver_lhs3" localSheetId="9" hidden="1">ch_3_3!$B$20:$G$20</definedName>
    <definedName name="solver_lhs3" localSheetId="11" hidden="1">ch4_1!$B$16:$B$17</definedName>
    <definedName name="solver_lhs3" localSheetId="12" hidden="1">'ch4_1 (2)'!$B$16:$B$17</definedName>
    <definedName name="solver_lhs3" localSheetId="16" hidden="1">ch4_5!$B$24:$G$24</definedName>
    <definedName name="solver_lhs3" localSheetId="19" hidden="1">ch5_3!$J$3:$J$6</definedName>
    <definedName name="solver_lhs4" localSheetId="19" hidden="1">ch5_3!$J$3:$J$6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um" localSheetId="1" hidden="1">2</definedName>
    <definedName name="solver_num" localSheetId="2" hidden="1">1</definedName>
    <definedName name="solver_num" localSheetId="3" hidden="1">2</definedName>
    <definedName name="solver_num" localSheetId="4" hidden="1">1</definedName>
    <definedName name="solver_num" localSheetId="5" hidden="1">1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um" localSheetId="9" hidden="1">3</definedName>
    <definedName name="solver_num" localSheetId="10" hidden="1">2</definedName>
    <definedName name="solver_num" localSheetId="11" hidden="1">3</definedName>
    <definedName name="solver_num" localSheetId="12" hidden="1">3</definedName>
    <definedName name="solver_num" localSheetId="13" hidden="1">2</definedName>
    <definedName name="solver_num" localSheetId="14" hidden="1">2</definedName>
    <definedName name="solver_num" localSheetId="15" hidden="1">2</definedName>
    <definedName name="solver_num" localSheetId="16" hidden="1">3</definedName>
    <definedName name="solver_num" localSheetId="17" hidden="1">0</definedName>
    <definedName name="solver_num" localSheetId="18" hidden="1">1</definedName>
    <definedName name="solver_num" localSheetId="19" hidden="1">4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opt" localSheetId="1" hidden="1">ch_1_1!$B$13</definedName>
    <definedName name="solver_opt" localSheetId="2" hidden="1">ch_1_2!$B$10</definedName>
    <definedName name="solver_opt" localSheetId="3" hidden="1">ch_2_1!$L$10</definedName>
    <definedName name="solver_opt" localSheetId="4" hidden="1">ch_2_2!$B$10</definedName>
    <definedName name="solver_opt" localSheetId="5" hidden="1">ch_2_3!$B$14</definedName>
    <definedName name="solver_opt" localSheetId="6" hidden="1">ch_2_4!$B$8</definedName>
    <definedName name="solver_opt" localSheetId="7" hidden="1">ch_3_1!$I$11</definedName>
    <definedName name="solver_opt" localSheetId="8" hidden="1">ch_3_2!$B$11</definedName>
    <definedName name="solver_opt" localSheetId="9" hidden="1">ch_3_3!$N$4</definedName>
    <definedName name="solver_opt" localSheetId="10" hidden="1">ch_3_4!$E$13</definedName>
    <definedName name="solver_opt" localSheetId="11" hidden="1">ch4_1!$B$22</definedName>
    <definedName name="solver_opt" localSheetId="12" hidden="1">'ch4_1 (2)'!$B$22</definedName>
    <definedName name="solver_opt" localSheetId="13" hidden="1">ch4_2!$B$9</definedName>
    <definedName name="solver_opt" localSheetId="14" hidden="1">ch4_3!$H$2</definedName>
    <definedName name="solver_opt" localSheetId="15" hidden="1">ch4_4!$I$2</definedName>
    <definedName name="solver_opt" localSheetId="16" hidden="1">ch4_5!$H$33</definedName>
    <definedName name="solver_opt" localSheetId="17" hidden="1">ch5_1!$B$7</definedName>
    <definedName name="solver_opt" localSheetId="18" hidden="1">ch5_2!$B$26</definedName>
    <definedName name="solver_opt" localSheetId="19" hidden="1">ch5_3!$B$8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2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3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1" localSheetId="9" hidden="1">1</definedName>
    <definedName name="solver_rel1" localSheetId="10" hidden="1">1</definedName>
    <definedName name="solver_rel1" localSheetId="11" hidden="1">5</definedName>
    <definedName name="solver_rel1" localSheetId="12" hidden="1">5</definedName>
    <definedName name="solver_rel1" localSheetId="13" hidden="1">5</definedName>
    <definedName name="solver_rel1" localSheetId="14" hidden="1">5</definedName>
    <definedName name="solver_rel1" localSheetId="15" hidden="1">4</definedName>
    <definedName name="solver_rel1" localSheetId="16" hidden="1">5</definedName>
    <definedName name="solver_rel1" localSheetId="18" hidden="1">1</definedName>
    <definedName name="solver_rel1" localSheetId="19" hidden="1">3</definedName>
    <definedName name="solver_rel2" localSheetId="1" hidden="1">1</definedName>
    <definedName name="solver_rel2" localSheetId="3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el2" localSheetId="9" hidden="1">1</definedName>
    <definedName name="solver_rel2" localSheetId="10" hidden="1">1</definedName>
    <definedName name="solver_rel2" localSheetId="11" hidden="1">1</definedName>
    <definedName name="solver_rel2" localSheetId="12" hidden="1">1</definedName>
    <definedName name="solver_rel2" localSheetId="13" hidden="1">1</definedName>
    <definedName name="solver_rel2" localSheetId="14" hidden="1">3</definedName>
    <definedName name="solver_rel2" localSheetId="15" hidden="1">3</definedName>
    <definedName name="solver_rel2" localSheetId="16" hidden="1">1</definedName>
    <definedName name="solver_rel2" localSheetId="19" hidden="1">3</definedName>
    <definedName name="solver_rel3" localSheetId="9" hidden="1">3</definedName>
    <definedName name="solver_rel3" localSheetId="11" hidden="1">1</definedName>
    <definedName name="solver_rel3" localSheetId="12" hidden="1">1</definedName>
    <definedName name="solver_rel3" localSheetId="16" hidden="1">3</definedName>
    <definedName name="solver_rel3" localSheetId="19" hidden="1">3</definedName>
    <definedName name="solver_rel4" localSheetId="19" hidden="1">3</definedName>
    <definedName name="solver_rhs1" localSheetId="1" hidden="1">ch_1_1!$D$2:$D$4</definedName>
    <definedName name="solver_rhs1" localSheetId="2" hidden="1">ch_1_2!$H$5:$H$7</definedName>
    <definedName name="solver_rhs1" localSheetId="3" hidden="1">ch_2_1!$B$7:$I$7</definedName>
    <definedName name="solver_rhs1" localSheetId="4" hidden="1">ch_2_2!$G$4:$G$6</definedName>
    <definedName name="solver_rhs1" localSheetId="5" hidden="1">ch_2_3!$I$2:$I$6</definedName>
    <definedName name="solver_rhs1" localSheetId="6" hidden="1">1</definedName>
    <definedName name="solver_rhs1" localSheetId="7" hidden="1">ch_3_1!$F$3:$F$28</definedName>
    <definedName name="solver_rhs1" localSheetId="8" hidden="1">ch_3_2!$F$3:$F$8</definedName>
    <definedName name="solver_rhs1" localSheetId="9" hidden="1">ch_3_3!$B$14:$G$14</definedName>
    <definedName name="solver_rhs1" localSheetId="10" hidden="1">ch_3_4!$G$2:$G$3</definedName>
    <definedName name="solver_rhs1" localSheetId="11" hidden="1">"binary"</definedName>
    <definedName name="solver_rhs1" localSheetId="12" hidden="1">"binary"</definedName>
    <definedName name="solver_rhs1" localSheetId="13" hidden="1">"binary"</definedName>
    <definedName name="solver_rhs1" localSheetId="14" hidden="1">"binary"</definedName>
    <definedName name="solver_rhs1" localSheetId="15" hidden="1">"integer"</definedName>
    <definedName name="solver_rhs1" localSheetId="16" hidden="1">"binary"</definedName>
    <definedName name="solver_rhs1" localSheetId="18" hidden="1">ch5_2!$B$21:$C$21</definedName>
    <definedName name="solver_rhs1" localSheetId="19" hidden="1">ch5_3!$E$3:$E$6</definedName>
    <definedName name="solver_rhs2" localSheetId="1" hidden="1">ch_1_1!$D$6:$D$7</definedName>
    <definedName name="solver_rhs2" localSheetId="3" hidden="1">ch_2_1!$N$2:$N$4</definedName>
    <definedName name="solver_rhs2" localSheetId="6" hidden="1">ch_2_4!$L$3</definedName>
    <definedName name="solver_rhs2" localSheetId="7" hidden="1">ch_3_1!$M$3:$M$9</definedName>
    <definedName name="solver_rhs2" localSheetId="8" hidden="1">ch_3_2!$M$3:$M$7</definedName>
    <definedName name="solver_rhs2" localSheetId="9" hidden="1">ch_3_3!$B$22:$G$22</definedName>
    <definedName name="solver_rhs2" localSheetId="10" hidden="1">ch_3_4!$N$2:$N$8</definedName>
    <definedName name="solver_rhs2" localSheetId="11" hidden="1">ch4_1!$B$14:$F$14</definedName>
    <definedName name="solver_rhs2" localSheetId="12" hidden="1">'ch4_1 (2)'!$B$14:$G$14</definedName>
    <definedName name="solver_rhs2" localSheetId="13" hidden="1">ch4_2!$L$4</definedName>
    <definedName name="solver_rhs2" localSheetId="14" hidden="1">ch4_3!$J$4:$J$9</definedName>
    <definedName name="solver_rhs2" localSheetId="15" hidden="1">ch4_4!$K$4:$K$10</definedName>
    <definedName name="solver_rhs2" localSheetId="16" hidden="1">ch4_5!$B$18:$G$18</definedName>
    <definedName name="solver_rhs2" localSheetId="19" hidden="1">ch5_3!$F$3:$F$6</definedName>
    <definedName name="solver_rhs3" localSheetId="9" hidden="1">0</definedName>
    <definedName name="solver_rhs3" localSheetId="11" hidden="1">ch4_1!$D$16:$D$17</definedName>
    <definedName name="solver_rhs3" localSheetId="12" hidden="1">'ch4_1 (2)'!$D$16:$D$17</definedName>
    <definedName name="solver_rhs3" localSheetId="16" hidden="1">0</definedName>
    <definedName name="solver_rhs3" localSheetId="19" hidden="1">ch5_3!$G$3:$G$6</definedName>
    <definedName name="solver_rhs4" localSheetId="19" hidden="1">ch5_3!$H$3:$H$6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2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2</definedName>
    <definedName name="solver_typ" localSheetId="5" hidden="1">1</definedName>
    <definedName name="solver_typ" localSheetId="6" hidden="1">1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1</definedName>
    <definedName name="solver_typ" localSheetId="12" hidden="1">1</definedName>
    <definedName name="solver_typ" localSheetId="13" hidden="1">1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1</definedName>
    <definedName name="solver_typ" localSheetId="19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4" l="1"/>
  <c r="B20" i="4"/>
  <c r="B10" i="1"/>
  <c r="B9" i="1"/>
  <c r="B7" i="1"/>
  <c r="B6" i="1"/>
  <c r="B11" i="1" s="1"/>
  <c r="B4" i="1"/>
  <c r="B3" i="1"/>
  <c r="B2" i="1"/>
  <c r="J7" i="31"/>
  <c r="I7" i="31"/>
  <c r="G4" i="31"/>
  <c r="H4" i="31" s="1"/>
  <c r="G5" i="31"/>
  <c r="H5" i="31" s="1"/>
  <c r="G6" i="31"/>
  <c r="H6" i="31" s="1"/>
  <c r="G3" i="31"/>
  <c r="H3" i="31" s="1"/>
  <c r="E4" i="31"/>
  <c r="F4" i="31" s="1"/>
  <c r="E5" i="31"/>
  <c r="F5" i="31" s="1"/>
  <c r="E6" i="31"/>
  <c r="F6" i="31" s="1"/>
  <c r="E3" i="31"/>
  <c r="F3" i="31" s="1"/>
  <c r="B25" i="30"/>
  <c r="C21" i="30"/>
  <c r="B21" i="30"/>
  <c r="C19" i="30"/>
  <c r="B19" i="30"/>
  <c r="B8" i="31" l="1"/>
  <c r="B24" i="30"/>
  <c r="B26" i="30" s="1"/>
  <c r="F3" i="29" l="1"/>
  <c r="F4" i="29"/>
  <c r="F5" i="29"/>
  <c r="F2" i="29"/>
  <c r="E3" i="29"/>
  <c r="E4" i="29"/>
  <c r="G4" i="29" s="1"/>
  <c r="E5" i="29"/>
  <c r="G5" i="29" s="1"/>
  <c r="E2" i="29"/>
  <c r="G2" i="29" s="1"/>
  <c r="B24" i="28"/>
  <c r="C24" i="28" s="1"/>
  <c r="D24" i="28" s="1"/>
  <c r="G18" i="28"/>
  <c r="D18" i="28"/>
  <c r="B18" i="28"/>
  <c r="E10" i="28"/>
  <c r="B10" i="28"/>
  <c r="B6" i="28"/>
  <c r="H31" i="28"/>
  <c r="H32" i="28"/>
  <c r="G3" i="29" l="1"/>
  <c r="B7" i="29" s="1"/>
  <c r="E24" i="28"/>
  <c r="F24" i="28" s="1"/>
  <c r="G24" i="28" l="1"/>
  <c r="G31" i="28" l="1"/>
  <c r="F31" i="28"/>
  <c r="C31" i="28"/>
  <c r="B31" i="28"/>
  <c r="E31" i="28"/>
  <c r="D31" i="28"/>
  <c r="G10" i="28"/>
  <c r="F10" i="28"/>
  <c r="D10" i="28"/>
  <c r="D30" i="28" s="1"/>
  <c r="C10" i="28"/>
  <c r="H30" i="28"/>
  <c r="H33" i="28" s="1"/>
  <c r="B20" i="27"/>
  <c r="B17" i="27"/>
  <c r="B16" i="27"/>
  <c r="B21" i="27"/>
  <c r="G14" i="27"/>
  <c r="G8" i="27"/>
  <c r="B19" i="27"/>
  <c r="F14" i="27"/>
  <c r="E14" i="27"/>
  <c r="D14" i="27"/>
  <c r="C14" i="27"/>
  <c r="B14" i="27"/>
  <c r="F8" i="27"/>
  <c r="E8" i="27"/>
  <c r="D8" i="27"/>
  <c r="C8" i="27"/>
  <c r="B8" i="27"/>
  <c r="F18" i="28" l="1"/>
  <c r="E18" i="28"/>
  <c r="C18" i="28"/>
  <c r="B30" i="28"/>
  <c r="B22" i="27"/>
  <c r="C30" i="28" l="1"/>
  <c r="I2" i="23"/>
  <c r="I6" i="23"/>
  <c r="I4" i="23"/>
  <c r="I8" i="23"/>
  <c r="I7" i="23"/>
  <c r="I5" i="23"/>
  <c r="I9" i="23"/>
  <c r="I10" i="23"/>
  <c r="H5" i="22"/>
  <c r="H6" i="22"/>
  <c r="H7" i="22"/>
  <c r="H8" i="22"/>
  <c r="H9" i="22"/>
  <c r="H4" i="22"/>
  <c r="H2" i="22"/>
  <c r="B9" i="21"/>
  <c r="H7" i="21"/>
  <c r="G7" i="21"/>
  <c r="F7" i="21"/>
  <c r="E7" i="21"/>
  <c r="D7" i="21"/>
  <c r="C7" i="21"/>
  <c r="B7" i="21"/>
  <c r="J4" i="21"/>
  <c r="B21" i="20"/>
  <c r="B20" i="20"/>
  <c r="B17" i="20"/>
  <c r="B16" i="20"/>
  <c r="F8" i="20"/>
  <c r="E8" i="20"/>
  <c r="D8" i="20"/>
  <c r="C8" i="20"/>
  <c r="B8" i="20"/>
  <c r="B19" i="20"/>
  <c r="K3" i="19"/>
  <c r="K2" i="19"/>
  <c r="J6" i="19"/>
  <c r="B22" i="20" l="1"/>
  <c r="B14" i="20"/>
  <c r="C14" i="20"/>
  <c r="D14" i="20"/>
  <c r="E14" i="20"/>
  <c r="F14" i="20"/>
  <c r="E30" i="28" l="1"/>
  <c r="E13" i="19"/>
  <c r="K5" i="19"/>
  <c r="K4" i="19"/>
  <c r="K6" i="19"/>
  <c r="K7" i="19"/>
  <c r="K8" i="19"/>
  <c r="J3" i="19"/>
  <c r="J4" i="19"/>
  <c r="J5" i="19"/>
  <c r="J7" i="19"/>
  <c r="J8" i="19"/>
  <c r="L8" i="19" s="1"/>
  <c r="J2" i="19"/>
  <c r="L2" i="19" s="1"/>
  <c r="C27" i="18"/>
  <c r="D27" i="18"/>
  <c r="E27" i="18"/>
  <c r="F27" i="18"/>
  <c r="G27" i="18"/>
  <c r="B27" i="18"/>
  <c r="B20" i="18"/>
  <c r="B26" i="18" s="1"/>
  <c r="C9" i="18"/>
  <c r="D9" i="18"/>
  <c r="E9" i="18"/>
  <c r="F9" i="18"/>
  <c r="G9" i="18"/>
  <c r="B9" i="18"/>
  <c r="B11" i="17"/>
  <c r="J4" i="17"/>
  <c r="J5" i="17"/>
  <c r="J6" i="17"/>
  <c r="J7" i="17"/>
  <c r="J3" i="17"/>
  <c r="I4" i="17"/>
  <c r="K4" i="17" s="1"/>
  <c r="I5" i="17"/>
  <c r="I6" i="17"/>
  <c r="I7" i="17"/>
  <c r="K7" i="17" s="1"/>
  <c r="I3" i="17"/>
  <c r="K3" i="17" s="1"/>
  <c r="F6" i="17"/>
  <c r="F4" i="17"/>
  <c r="I11" i="16"/>
  <c r="J4" i="16"/>
  <c r="J5" i="16"/>
  <c r="J6" i="16"/>
  <c r="J7" i="16"/>
  <c r="J8" i="16"/>
  <c r="J9" i="16"/>
  <c r="J3" i="16"/>
  <c r="I4" i="16"/>
  <c r="I5" i="16"/>
  <c r="I6" i="16"/>
  <c r="I7" i="16"/>
  <c r="I8" i="16"/>
  <c r="I9" i="16"/>
  <c r="I3" i="16"/>
  <c r="K3" i="16" s="1"/>
  <c r="B8" i="15"/>
  <c r="J3" i="15"/>
  <c r="G30" i="28" l="1"/>
  <c r="F30" i="28"/>
  <c r="L6" i="19"/>
  <c r="L7" i="19"/>
  <c r="L4" i="19"/>
  <c r="L3" i="19"/>
  <c r="L5" i="19"/>
  <c r="H27" i="18"/>
  <c r="C20" i="18"/>
  <c r="K5" i="17"/>
  <c r="K6" i="17"/>
  <c r="K8" i="16"/>
  <c r="K7" i="16"/>
  <c r="K9" i="16"/>
  <c r="K4" i="16"/>
  <c r="K5" i="16"/>
  <c r="K6" i="16"/>
  <c r="C6" i="15"/>
  <c r="D6" i="15"/>
  <c r="E6" i="15"/>
  <c r="F6" i="15"/>
  <c r="G6" i="15"/>
  <c r="H6" i="15"/>
  <c r="B6" i="15"/>
  <c r="D20" i="18" l="1"/>
  <c r="C26" i="18"/>
  <c r="G4" i="11"/>
  <c r="G3" i="11"/>
  <c r="I5" i="11"/>
  <c r="G5" i="11"/>
  <c r="G6" i="11"/>
  <c r="G2" i="11"/>
  <c r="B12" i="11"/>
  <c r="B13" i="11"/>
  <c r="B11" i="11"/>
  <c r="B10" i="9"/>
  <c r="E5" i="9"/>
  <c r="E6" i="9"/>
  <c r="E4" i="9"/>
  <c r="F5" i="5"/>
  <c r="H5" i="5"/>
  <c r="H7" i="5"/>
  <c r="D26" i="18" l="1"/>
  <c r="E20" i="18"/>
  <c r="B14" i="11"/>
  <c r="E26" i="18" l="1"/>
  <c r="F20" i="18"/>
  <c r="F6" i="5"/>
  <c r="F7" i="5"/>
  <c r="B10" i="5"/>
  <c r="L4" i="4"/>
  <c r="L3" i="4"/>
  <c r="I5" i="4"/>
  <c r="C5" i="4"/>
  <c r="D5" i="4"/>
  <c r="E5" i="4"/>
  <c r="F5" i="4"/>
  <c r="G5" i="4"/>
  <c r="H5" i="4"/>
  <c r="B5" i="4"/>
  <c r="C17" i="4"/>
  <c r="D17" i="4"/>
  <c r="E17" i="4"/>
  <c r="F17" i="4"/>
  <c r="G17" i="4"/>
  <c r="H17" i="4"/>
  <c r="I17" i="4"/>
  <c r="B17" i="4"/>
  <c r="C16" i="4"/>
  <c r="D16" i="4"/>
  <c r="E16" i="4"/>
  <c r="F16" i="4"/>
  <c r="G16" i="4"/>
  <c r="H16" i="4"/>
  <c r="I16" i="4"/>
  <c r="B16" i="4"/>
  <c r="I15" i="4"/>
  <c r="C15" i="4"/>
  <c r="D15" i="4"/>
  <c r="E15" i="4"/>
  <c r="F15" i="4"/>
  <c r="G15" i="4"/>
  <c r="H15" i="4"/>
  <c r="B15" i="4"/>
  <c r="L2" i="4" l="1"/>
  <c r="H20" i="4"/>
  <c r="F26" i="18"/>
  <c r="G20" i="18"/>
  <c r="G26" i="18" s="1"/>
  <c r="C20" i="4"/>
  <c r="D20" i="4"/>
  <c r="G19" i="4"/>
  <c r="G22" i="4" s="1"/>
  <c r="I19" i="4"/>
  <c r="I20" i="4"/>
  <c r="E19" i="4"/>
  <c r="E22" i="4" s="1"/>
  <c r="B19" i="4"/>
  <c r="C19" i="4"/>
  <c r="H19" i="4"/>
  <c r="H22" i="4" s="1"/>
  <c r="F20" i="4"/>
  <c r="D19" i="4"/>
  <c r="G20" i="4"/>
  <c r="E20" i="4"/>
  <c r="F19" i="4"/>
  <c r="C22" i="4" l="1"/>
  <c r="F22" i="4"/>
  <c r="I22" i="4"/>
  <c r="D22" i="4"/>
  <c r="H26" i="18"/>
  <c r="H28" i="18" s="1"/>
  <c r="B12" i="1"/>
  <c r="L10" i="4" l="1"/>
  <c r="B13" i="1"/>
</calcChain>
</file>

<file path=xl/sharedStrings.xml><?xml version="1.0" encoding="utf-8"?>
<sst xmlns="http://schemas.openxmlformats.org/spreadsheetml/2006/main" count="497" uniqueCount="221">
  <si>
    <t xml:space="preserve">basic </t>
  </si>
  <si>
    <t>xp</t>
  </si>
  <si>
    <t>&lt;=</t>
  </si>
  <si>
    <t>price</t>
  </si>
  <si>
    <t xml:space="preserve">cost </t>
  </si>
  <si>
    <t>total sell basic</t>
  </si>
  <si>
    <t>total sell xp</t>
  </si>
  <si>
    <t>assembly</t>
  </si>
  <si>
    <t xml:space="preserve">testing </t>
  </si>
  <si>
    <t>labor price</t>
  </si>
  <si>
    <t>labor test</t>
  </si>
  <si>
    <t xml:space="preserve">total sell </t>
  </si>
  <si>
    <t xml:space="preserve">total profit </t>
  </si>
  <si>
    <t xml:space="preserve">component cost </t>
  </si>
  <si>
    <t xml:space="preserve">assembly cost </t>
  </si>
  <si>
    <t>labor cost</t>
  </si>
  <si>
    <t>Cost</t>
  </si>
  <si>
    <t>vxp</t>
  </si>
  <si>
    <t>total sell vxp</t>
  </si>
  <si>
    <t>model_1</t>
  </si>
  <si>
    <t>model_2</t>
  </si>
  <si>
    <t>model_3</t>
  </si>
  <si>
    <t>model_4</t>
  </si>
  <si>
    <t>model_5</t>
  </si>
  <si>
    <t>model_6</t>
  </si>
  <si>
    <t>model_7</t>
  </si>
  <si>
    <t>model_8</t>
  </si>
  <si>
    <t>line_1</t>
  </si>
  <si>
    <t>line_2</t>
  </si>
  <si>
    <t>component</t>
  </si>
  <si>
    <t>sell</t>
  </si>
  <si>
    <t>margin_line_1</t>
  </si>
  <si>
    <t>margin_line_2</t>
  </si>
  <si>
    <t>cost_assembly</t>
  </si>
  <si>
    <t>cost_line_1</t>
  </si>
  <si>
    <t>cost_line_2</t>
  </si>
  <si>
    <t>total_ cost_assembly</t>
  </si>
  <si>
    <t>total_cost_line_1</t>
  </si>
  <si>
    <t>total_cost_line_2</t>
  </si>
  <si>
    <t>profit</t>
  </si>
  <si>
    <t>total</t>
  </si>
  <si>
    <t>total_assembly</t>
  </si>
  <si>
    <t>labor_line_1</t>
  </si>
  <si>
    <t>labor_line_2</t>
  </si>
  <si>
    <t>total_labor_line_1</t>
  </si>
  <si>
    <t>total_labor_line_2</t>
  </si>
  <si>
    <t>var</t>
  </si>
  <si>
    <t>rolltop</t>
  </si>
  <si>
    <t>regular</t>
  </si>
  <si>
    <t>cedar</t>
  </si>
  <si>
    <t>maple</t>
  </si>
  <si>
    <t xml:space="preserve">&lt;= </t>
  </si>
  <si>
    <t>each profit</t>
  </si>
  <si>
    <t>total profit</t>
  </si>
  <si>
    <t>pine</t>
  </si>
  <si>
    <t xml:space="preserve">x1 </t>
  </si>
  <si>
    <t>x2</t>
  </si>
  <si>
    <t>HIM</t>
  </si>
  <si>
    <t>LIP</t>
  </si>
  <si>
    <t>HIW</t>
  </si>
  <si>
    <t xml:space="preserve">total_cost </t>
  </si>
  <si>
    <t>&gt;=</t>
  </si>
  <si>
    <t>wheat</t>
  </si>
  <si>
    <t>corn</t>
  </si>
  <si>
    <t>plant</t>
  </si>
  <si>
    <t>buy</t>
  </si>
  <si>
    <t>yield</t>
  </si>
  <si>
    <t xml:space="preserve">plant_cost </t>
  </si>
  <si>
    <t>sell_price</t>
  </si>
  <si>
    <t>buy_price</t>
  </si>
  <si>
    <t>cost</t>
  </si>
  <si>
    <t>sugar_1</t>
  </si>
  <si>
    <t>sugar_2</t>
  </si>
  <si>
    <t>invest_1</t>
  </si>
  <si>
    <t>invest_2</t>
  </si>
  <si>
    <t>invest_3</t>
  </si>
  <si>
    <t>invest_4</t>
  </si>
  <si>
    <t>invest_5</t>
  </si>
  <si>
    <t>invest_6</t>
  </si>
  <si>
    <t>invest_7</t>
  </si>
  <si>
    <t>return</t>
  </si>
  <si>
    <t>percent_return</t>
  </si>
  <si>
    <t>percet_port</t>
  </si>
  <si>
    <t>Origin</t>
  </si>
  <si>
    <t>Destination</t>
  </si>
  <si>
    <t>Unit Cost</t>
  </si>
  <si>
    <t>Flow</t>
  </si>
  <si>
    <t>Arc Capacity</t>
  </si>
  <si>
    <t>node</t>
  </si>
  <si>
    <t>out</t>
  </si>
  <si>
    <t xml:space="preserve">in </t>
  </si>
  <si>
    <t xml:space="preserve">limit </t>
  </si>
  <si>
    <t>=</t>
  </si>
  <si>
    <t xml:space="preserve">des </t>
  </si>
  <si>
    <t>src</t>
  </si>
  <si>
    <t>limit</t>
  </si>
  <si>
    <t>transport</t>
  </si>
  <si>
    <t>in</t>
  </si>
  <si>
    <t>net</t>
  </si>
  <si>
    <t>Multiperiod production model</t>
  </si>
  <si>
    <t>Input data</t>
  </si>
  <si>
    <t>Initial inventory</t>
  </si>
  <si>
    <t>Holding cost as % of prod cost</t>
  </si>
  <si>
    <t>Month</t>
  </si>
  <si>
    <t>Production cost/unit</t>
  </si>
  <si>
    <t>Holding cost/unit</t>
  </si>
  <si>
    <t>Production plan (all quantities are in 100s of footballs)</t>
  </si>
  <si>
    <t>Units produced</t>
  </si>
  <si>
    <t>Production capacity</t>
  </si>
  <si>
    <t xml:space="preserve">produce capacity </t>
  </si>
  <si>
    <t>On hand after production</t>
  </si>
  <si>
    <t>Demand</t>
  </si>
  <si>
    <t>Ending inventory</t>
  </si>
  <si>
    <t>&gt;= 0</t>
  </si>
  <si>
    <t xml:space="preserve">for shortage condition </t>
  </si>
  <si>
    <t>Storage capacity</t>
  </si>
  <si>
    <t>inventory condition</t>
  </si>
  <si>
    <t>Summary of costs (all costs are in hundreds of dollars)</t>
  </si>
  <si>
    <t>Totals</t>
  </si>
  <si>
    <t>Holding cost</t>
  </si>
  <si>
    <t xml:space="preserve">Production cost </t>
  </si>
  <si>
    <t xml:space="preserve"> </t>
  </si>
  <si>
    <t>des</t>
  </si>
  <si>
    <t xml:space="preserve">flow </t>
  </si>
  <si>
    <t>lim</t>
  </si>
  <si>
    <t>x1</t>
  </si>
  <si>
    <t>x3</t>
  </si>
  <si>
    <t>x4</t>
  </si>
  <si>
    <t>x5</t>
  </si>
  <si>
    <t>produce?</t>
  </si>
  <si>
    <t># produce</t>
  </si>
  <si>
    <t xml:space="preserve">fix cost </t>
  </si>
  <si>
    <t xml:space="preserve">labor hour 
</t>
  </si>
  <si>
    <t xml:space="preserve">cloth use </t>
  </si>
  <si>
    <t>sell price</t>
  </si>
  <si>
    <t>cost price</t>
  </si>
  <si>
    <t>total revenue</t>
  </si>
  <si>
    <t>total fix cost</t>
  </si>
  <si>
    <t>revenue</t>
  </si>
  <si>
    <t xml:space="preserve">big M </t>
  </si>
  <si>
    <t xml:space="preserve">total labor </t>
  </si>
  <si>
    <t>total cloth</t>
  </si>
  <si>
    <t>A</t>
  </si>
  <si>
    <t>B</t>
  </si>
  <si>
    <t>C</t>
  </si>
  <si>
    <t>D</t>
  </si>
  <si>
    <t>E</t>
  </si>
  <si>
    <t>F</t>
  </si>
  <si>
    <t>decis var</t>
  </si>
  <si>
    <t>&gt;&gt; (aij * xj) บังคับให้ 1  site ต้อง cover อย่างน้อย 1 จุด (ถ้าไม่ใส่ xj จะเลือกเป็น 0 ทั้งหมด)</t>
  </si>
  <si>
    <t>Mon</t>
  </si>
  <si>
    <t xml:space="preserve">Tue </t>
  </si>
  <si>
    <t>Wed</t>
  </si>
  <si>
    <t>Thurs</t>
  </si>
  <si>
    <t xml:space="preserve">Fri </t>
  </si>
  <si>
    <t>Sun</t>
  </si>
  <si>
    <t>Sat</t>
  </si>
  <si>
    <t xml:space="preserve">decis var </t>
  </si>
  <si>
    <t>fix cost</t>
  </si>
  <si>
    <t xml:space="preserve">shift start </t>
  </si>
  <si>
    <t>x6</t>
  </si>
  <si>
    <t>Big M</t>
  </si>
  <si>
    <t>customer</t>
  </si>
  <si>
    <t>lat</t>
  </si>
  <si>
    <t xml:space="preserve">long </t>
  </si>
  <si>
    <t xml:space="preserve"># shipment </t>
  </si>
  <si>
    <t>X</t>
  </si>
  <si>
    <t>x0-xi</t>
  </si>
  <si>
    <t>y0-yi</t>
  </si>
  <si>
    <t>distance</t>
  </si>
  <si>
    <t>total disctance</t>
  </si>
  <si>
    <t>Florida Power &amp; Light peak-load pricing model</t>
  </si>
  <si>
    <t>Coefficients of demand functions</t>
  </si>
  <si>
    <t>Constant</t>
  </si>
  <si>
    <t>Peak price</t>
  </si>
  <si>
    <t>Off-peak price</t>
  </si>
  <si>
    <t>Peak-load demand</t>
  </si>
  <si>
    <t>Off-peak demand</t>
  </si>
  <si>
    <t>Cost of capacity/kwh</t>
  </si>
  <si>
    <t>Decisions</t>
  </si>
  <si>
    <t>Peak-load</t>
  </si>
  <si>
    <t>Off-peak</t>
  </si>
  <si>
    <t>Prices</t>
  </si>
  <si>
    <t>Capacity</t>
  </si>
  <si>
    <t>Constraints on demand</t>
  </si>
  <si>
    <t>Monetary summary</t>
  </si>
  <si>
    <t>Revenue</t>
  </si>
  <si>
    <t>Cost of capacity</t>
  </si>
  <si>
    <t>Profit</t>
  </si>
  <si>
    <t>S</t>
  </si>
  <si>
    <t>T</t>
  </si>
  <si>
    <t>Microsoft Excel 16.0 Sensitivity Report</t>
  </si>
  <si>
    <t>Worksheet: [midterm_screenshot.xlsx]ch_1_1</t>
  </si>
  <si>
    <t>Report Created: 9/24/2026 9:26:15 AM</t>
  </si>
  <si>
    <t>Variable Cells</t>
  </si>
  <si>
    <t>Cell</t>
  </si>
  <si>
    <t>Name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</si>
  <si>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</si>
  <si>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</si>
  <si>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</si>
  <si>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</si>
  <si>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</si>
  <si>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</si>
  <si>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</si>
  <si>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</si>
  <si>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</si>
  <si>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</si>
  <si>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</si>
  <si>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</si>
  <si>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</si>
  <si>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$G$3</t>
  </si>
  <si>
    <t xml:space="preserve"># produce basic </t>
  </si>
  <si>
    <t>$H$3</t>
  </si>
  <si>
    <t># produce xp</t>
  </si>
  <si>
    <t>$I$3</t>
  </si>
  <si>
    <t># produce vxp</t>
  </si>
  <si>
    <t>$B$2</t>
  </si>
  <si>
    <t>$B$3</t>
  </si>
  <si>
    <t>$B$4</t>
  </si>
  <si>
    <t>$B$6</t>
  </si>
  <si>
    <t>$B$7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</si>
</sst>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0.0000"/>
    <numFmt numFmtId="165" formatCode="0.000"/>
    <numFmt numFmtId="166" formatCode="&quot;$&quot;#,##0.000_);\(&quot;$&quot;#,##0.000\)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5">
    <xf numFmtId="0" fontId="0" fillId="0" borderId="0"/>
    <xf numFmtId="0" fontId="2" fillId="0" borderId="0"/>
    <xf numFmtId="8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/>
    <xf numFmtId="0" fontId="0" fillId="0" borderId="0" xfId="0" applyAlignment="1">
      <alignment horizontal="right"/>
    </xf>
    <xf numFmtId="0" fontId="4" fillId="0" borderId="0" xfId="1" quotePrefix="1" applyFont="1" applyAlignment="1">
      <alignment horizontal="left"/>
    </xf>
    <xf numFmtId="0" fontId="5" fillId="0" borderId="0" xfId="1" applyFont="1"/>
    <xf numFmtId="164" fontId="5" fillId="0" borderId="0" xfId="1" applyNumberFormat="1" applyFont="1"/>
    <xf numFmtId="0" fontId="5" fillId="6" borderId="0" xfId="1" applyFont="1" applyFill="1"/>
    <xf numFmtId="9" fontId="5" fillId="6" borderId="0" xfId="1" applyNumberFormat="1" applyFont="1" applyFill="1"/>
    <xf numFmtId="1" fontId="5" fillId="0" borderId="0" xfId="1" applyNumberFormat="1" applyFont="1" applyAlignment="1">
      <alignment horizontal="right"/>
    </xf>
    <xf numFmtId="165" fontId="5" fillId="0" borderId="0" xfId="1" applyNumberFormat="1" applyFont="1"/>
    <xf numFmtId="0" fontId="5" fillId="0" borderId="0" xfId="1" quotePrefix="1" applyFont="1" applyAlignment="1">
      <alignment horizontal="left"/>
    </xf>
    <xf numFmtId="8" fontId="5" fillId="6" borderId="0" xfId="2" applyFont="1" applyFill="1" applyBorder="1"/>
    <xf numFmtId="166" fontId="5" fillId="0" borderId="0" xfId="1" applyNumberFormat="1" applyFont="1"/>
    <xf numFmtId="0" fontId="4" fillId="0" borderId="0" xfId="1" applyFont="1"/>
    <xf numFmtId="0" fontId="5" fillId="2" borderId="0" xfId="1" applyFont="1" applyFill="1"/>
    <xf numFmtId="0" fontId="5" fillId="0" borderId="0" xfId="1" quotePrefix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43" fontId="5" fillId="0" borderId="0" xfId="3" applyFont="1"/>
    <xf numFmtId="43" fontId="5" fillId="3" borderId="1" xfId="3" applyFont="1" applyFill="1" applyBorder="1"/>
    <xf numFmtId="1" fontId="5" fillId="2" borderId="0" xfId="1" quotePrefix="1" applyNumberFormat="1" applyFont="1" applyFill="1" applyAlignment="1">
      <alignment horizontal="right"/>
    </xf>
    <xf numFmtId="167" fontId="0" fillId="3" borderId="0" xfId="4" applyNumberFormat="1" applyFont="1" applyFill="1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/>
    <xf numFmtId="0" fontId="0" fillId="7" borderId="0" xfId="0" applyFill="1"/>
    <xf numFmtId="1" fontId="5" fillId="0" borderId="0" xfId="1" applyNumberFormat="1" applyFont="1"/>
    <xf numFmtId="0" fontId="5" fillId="8" borderId="0" xfId="1" applyFont="1" applyFill="1" applyAlignment="1">
      <alignment horizontal="right"/>
    </xf>
    <xf numFmtId="0" fontId="5" fillId="8" borderId="0" xfId="1" applyFont="1" applyFill="1"/>
    <xf numFmtId="0" fontId="5" fillId="9" borderId="0" xfId="1" applyFont="1" applyFill="1"/>
    <xf numFmtId="1" fontId="5" fillId="2" borderId="1" xfId="1" applyNumberFormat="1" applyFont="1" applyFill="1" applyBorder="1" applyAlignment="1">
      <alignment horizontal="right"/>
    </xf>
    <xf numFmtId="0" fontId="5" fillId="2" borderId="1" xfId="1" applyFont="1" applyFill="1" applyBorder="1"/>
    <xf numFmtId="0" fontId="5" fillId="0" borderId="0" xfId="1" applyFont="1" applyFill="1"/>
    <xf numFmtId="1" fontId="5" fillId="6" borderId="0" xfId="1" applyNumberFormat="1" applyFont="1" applyFill="1"/>
    <xf numFmtId="167" fontId="5" fillId="0" borderId="0" xfId="3" applyNumberFormat="1" applyFont="1"/>
    <xf numFmtId="167" fontId="5" fillId="3" borderId="1" xfId="3" applyNumberFormat="1" applyFont="1" applyFill="1" applyBorder="1"/>
    <xf numFmtId="0" fontId="5" fillId="0" borderId="0" xfId="1" quotePrefix="1" applyFont="1" applyFill="1" applyAlignment="1">
      <alignment horizontal="right"/>
    </xf>
    <xf numFmtId="6" fontId="5" fillId="6" borderId="0" xfId="1" applyNumberFormat="1" applyFont="1" applyFill="1" applyAlignment="1">
      <alignment horizontal="right"/>
    </xf>
    <xf numFmtId="8" fontId="5" fillId="2" borderId="0" xfId="1" applyNumberFormat="1" applyFont="1" applyFill="1"/>
    <xf numFmtId="8" fontId="5" fillId="0" borderId="0" xfId="1" applyNumberFormat="1" applyFont="1"/>
    <xf numFmtId="2" fontId="5" fillId="0" borderId="0" xfId="1" applyNumberFormat="1" applyFont="1"/>
    <xf numFmtId="2" fontId="5" fillId="2" borderId="0" xfId="1" applyNumberFormat="1" applyFont="1" applyFill="1"/>
    <xf numFmtId="7" fontId="5" fillId="0" borderId="0" xfId="1" applyNumberFormat="1" applyFont="1"/>
    <xf numFmtId="7" fontId="5" fillId="3" borderId="0" xfId="1" applyNumberFormat="1" applyFont="1" applyFill="1"/>
    <xf numFmtId="2" fontId="5" fillId="4" borderId="0" xfId="1" applyNumberFormat="1" applyFont="1" applyFill="1"/>
    <xf numFmtId="2" fontId="5" fillId="5" borderId="0" xfId="1" applyNumberFormat="1" applyFont="1" applyFill="1"/>
    <xf numFmtId="0" fontId="0" fillId="10" borderId="0" xfId="0" applyFill="1"/>
    <xf numFmtId="0" fontId="6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0" fillId="11" borderId="0" xfId="0" applyFill="1"/>
  </cellXfs>
  <cellStyles count="5">
    <cellStyle name="Comma" xfId="4" builtinId="3"/>
    <cellStyle name="Comma 2" xfId="3" xr:uid="{C9C68EFB-DC8B-4BBD-B2A4-694D3E58E673}"/>
    <cellStyle name="Currency 2" xfId="2" xr:uid="{A9BDFC23-AFF7-42B4-B5DA-AB895D831664}"/>
    <cellStyle name="Normal" xfId="0" builtinId="0"/>
    <cellStyle name="Normal 2" xfId="1" xr:uid="{67581A20-F69A-473C-AA9B-FD9B097B2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00229/Documents/GitHub/DADS7102/class_excel/data-files-optim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vertising "/>
      <sheetName val="Advertising _Sensitivity Report"/>
      <sheetName val="monopolist"/>
      <sheetName val="Sensitivity Report 1"/>
      <sheetName val="ProductMix"/>
      <sheetName val="ProductMix_add_on"/>
      <sheetName val="ProductMix2 Sensitivity"/>
      <sheetName val="ProductMix2"/>
      <sheetName val="LM_2"/>
      <sheetName val="Dual"/>
      <sheetName val="ProdPlanning"/>
      <sheetName val="project"/>
      <sheetName val="BlendingOil"/>
      <sheetName val="Transport1"/>
      <sheetName val="AssignmentProblem"/>
      <sheetName val="BinPacking"/>
      <sheetName val="cuttingStock"/>
      <sheetName val="MCNF"/>
      <sheetName val="RedBrandLogistics"/>
      <sheetName val="HW3"/>
      <sheetName val="set_covering_model"/>
      <sheetName val="ShortestPath"/>
      <sheetName val="Aggregate1"/>
      <sheetName val="CapitalBudget"/>
      <sheetName val="FixedCost"/>
      <sheetName val="Hub"/>
      <sheetName val="WorkerScheduling"/>
      <sheetName val="Transport1-2"/>
      <sheetName val="MMULT"/>
      <sheetName val="MDETERM"/>
      <sheetName val="Peakload"/>
      <sheetName val="GameTheory"/>
      <sheetName val="Portfolio"/>
      <sheetName val="EOQ"/>
      <sheetName val="SVM1"/>
      <sheetName val="MLE"/>
      <sheetName val="OLS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K6">
            <v>2</v>
          </cell>
        </row>
        <row r="7">
          <cell r="K7">
            <v>6</v>
          </cell>
        </row>
        <row r="8">
          <cell r="K8">
            <v>16</v>
          </cell>
        </row>
        <row r="9">
          <cell r="K9">
            <v>22</v>
          </cell>
        </row>
        <row r="10">
          <cell r="K10">
            <v>20</v>
          </cell>
        </row>
        <row r="11">
          <cell r="K11">
            <v>23</v>
          </cell>
        </row>
        <row r="12">
          <cell r="K12">
            <v>29</v>
          </cell>
        </row>
        <row r="13">
          <cell r="K13">
            <v>38</v>
          </cell>
        </row>
        <row r="14">
          <cell r="K14">
            <v>23</v>
          </cell>
        </row>
        <row r="15">
          <cell r="K15">
            <v>29</v>
          </cell>
        </row>
        <row r="16">
          <cell r="K16">
            <v>34</v>
          </cell>
        </row>
        <row r="17">
          <cell r="K17">
            <v>34</v>
          </cell>
        </row>
        <row r="18">
          <cell r="K18">
            <v>40</v>
          </cell>
        </row>
        <row r="19">
          <cell r="K19">
            <v>40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">
          <cell r="B10">
            <v>0</v>
          </cell>
          <cell r="C10">
            <v>1</v>
          </cell>
          <cell r="D10">
            <v>1</v>
          </cell>
          <cell r="E10">
            <v>1</v>
          </cell>
          <cell r="F10">
            <v>0</v>
          </cell>
          <cell r="G10">
            <v>0</v>
          </cell>
          <cell r="H10">
            <v>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EA80-3C52-4930-A2E1-92EA35FCB42A}">
  <dimension ref="A1:H20"/>
  <sheetViews>
    <sheetView showGridLines="0" workbookViewId="0">
      <selection activeCell="P15" sqref="P15"/>
    </sheetView>
  </sheetViews>
  <sheetFormatPr defaultRowHeight="15" x14ac:dyDescent="0.25"/>
  <cols>
    <col min="1" max="1" width="2.28515625" customWidth="1"/>
    <col min="2" max="2" width="5.28515625" bestFit="1" customWidth="1"/>
    <col min="3" max="3" width="15.140625" bestFit="1" customWidth="1"/>
    <col min="4" max="4" width="6.140625" bestFit="1" customWidth="1"/>
    <col min="5" max="5" width="8.7109375" bestFit="1" customWidth="1"/>
    <col min="6" max="6" width="10.85546875" bestFit="1" customWidth="1"/>
    <col min="7" max="7" width="10" bestFit="1" customWidth="1"/>
    <col min="8" max="8" width="12" bestFit="1" customWidth="1"/>
  </cols>
  <sheetData>
    <row r="1" spans="1:8" x14ac:dyDescent="0.25">
      <c r="A1" s="54" t="s">
        <v>191</v>
      </c>
    </row>
    <row r="2" spans="1:8" x14ac:dyDescent="0.25">
      <c r="A2" s="54" t="s">
        <v>192</v>
      </c>
    </row>
    <row r="3" spans="1:8" x14ac:dyDescent="0.25">
      <c r="A3" s="54" t="s">
        <v>193</v>
      </c>
    </row>
    <row r="5" spans="1:8" ht="13.5" customHeight="1" x14ac:dyDescent="0.25"/>
    <row r="6" spans="1:8" ht="15.75" thickBot="1" x14ac:dyDescent="0.3">
      <c r="A6" t="s">
        <v>194</v>
      </c>
    </row>
    <row r="7" spans="1:8" x14ac:dyDescent="0.25">
      <c r="B7" s="57"/>
      <c r="C7" s="57"/>
      <c r="D7" s="57" t="s">
        <v>197</v>
      </c>
      <c r="E7" s="57" t="s">
        <v>199</v>
      </c>
      <c r="F7" s="57" t="s">
        <v>200</v>
      </c>
      <c r="G7" s="57" t="s">
        <v>202</v>
      </c>
      <c r="H7" s="57" t="s">
        <v>202</v>
      </c>
    </row>
    <row r="8" spans="1:8" ht="15.75" thickBot="1" x14ac:dyDescent="0.3">
      <c r="B8" s="58" t="s">
        <v>195</v>
      </c>
      <c r="C8" s="58" t="s">
        <v>196</v>
      </c>
      <c r="D8" s="58" t="s">
        <v>198</v>
      </c>
      <c r="E8" s="58" t="s">
        <v>16</v>
      </c>
      <c r="F8" s="58" t="s">
        <v>201</v>
      </c>
      <c r="G8" s="58" t="s">
        <v>203</v>
      </c>
      <c r="H8" s="58" t="s">
        <v>204</v>
      </c>
    </row>
    <row r="9" spans="1:8" x14ac:dyDescent="0.25">
      <c r="B9" s="55" t="s">
        <v>210</v>
      </c>
      <c r="C9" s="55" t="s">
        <v>211</v>
      </c>
      <c r="D9" s="55">
        <v>559.99999999999989</v>
      </c>
      <c r="E9" s="55">
        <v>0</v>
      </c>
      <c r="F9" s="55">
        <v>96</v>
      </c>
      <c r="G9" s="55">
        <v>11.500000000000009</v>
      </c>
      <c r="H9" s="55">
        <v>0.99999999999998446</v>
      </c>
    </row>
    <row r="10" spans="1:8" x14ac:dyDescent="0.25">
      <c r="B10" s="55" t="s">
        <v>212</v>
      </c>
      <c r="C10" s="55" t="s">
        <v>213</v>
      </c>
      <c r="D10" s="55">
        <v>1200</v>
      </c>
      <c r="E10" s="55">
        <v>0</v>
      </c>
      <c r="F10" s="55">
        <v>129</v>
      </c>
      <c r="G10" s="55">
        <v>1E+30</v>
      </c>
      <c r="H10" s="55">
        <v>13.800000000000008</v>
      </c>
    </row>
    <row r="11" spans="1:8" ht="15.75" thickBot="1" x14ac:dyDescent="0.3">
      <c r="B11" s="56" t="s">
        <v>214</v>
      </c>
      <c r="C11" s="56" t="s">
        <v>215</v>
      </c>
      <c r="D11" s="56">
        <v>0</v>
      </c>
      <c r="E11" s="56">
        <v>-1.5999999999999746</v>
      </c>
      <c r="F11" s="56">
        <v>152</v>
      </c>
      <c r="G11" s="56">
        <v>1.5999999999999746</v>
      </c>
      <c r="H11" s="56">
        <v>1E+30</v>
      </c>
    </row>
    <row r="13" spans="1:8" ht="15.75" thickBot="1" x14ac:dyDescent="0.3">
      <c r="A13" t="s">
        <v>205</v>
      </c>
    </row>
    <row r="14" spans="1:8" x14ac:dyDescent="0.25">
      <c r="B14" s="57"/>
      <c r="C14" s="57"/>
      <c r="D14" s="57" t="s">
        <v>197</v>
      </c>
      <c r="E14" s="57" t="s">
        <v>206</v>
      </c>
      <c r="F14" s="57" t="s">
        <v>208</v>
      </c>
      <c r="G14" s="57" t="s">
        <v>202</v>
      </c>
      <c r="H14" s="57" t="s">
        <v>202</v>
      </c>
    </row>
    <row r="15" spans="1:8" ht="15.75" thickBot="1" x14ac:dyDescent="0.3">
      <c r="B15" s="58" t="s">
        <v>195</v>
      </c>
      <c r="C15" s="58" t="s">
        <v>196</v>
      </c>
      <c r="D15" s="58" t="s">
        <v>198</v>
      </c>
      <c r="E15" s="58" t="s">
        <v>207</v>
      </c>
      <c r="F15" s="58" t="s">
        <v>209</v>
      </c>
      <c r="G15" s="58" t="s">
        <v>203</v>
      </c>
      <c r="H15" s="58" t="s">
        <v>204</v>
      </c>
    </row>
    <row r="16" spans="1:8" x14ac:dyDescent="0.25">
      <c r="B16" s="55" t="s">
        <v>216</v>
      </c>
      <c r="C16" s="55" t="s">
        <v>5</v>
      </c>
      <c r="D16" s="55">
        <v>559.99999999999989</v>
      </c>
      <c r="E16" s="55">
        <v>0</v>
      </c>
      <c r="F16" s="55">
        <v>600</v>
      </c>
      <c r="G16" s="55">
        <v>1E+30</v>
      </c>
      <c r="H16" s="55">
        <v>40.000000000000021</v>
      </c>
    </row>
    <row r="17" spans="2:8" x14ac:dyDescent="0.25">
      <c r="B17" s="55" t="s">
        <v>217</v>
      </c>
      <c r="C17" s="55" t="s">
        <v>6</v>
      </c>
      <c r="D17" s="55">
        <v>1200</v>
      </c>
      <c r="E17" s="55">
        <v>13.800000000000008</v>
      </c>
      <c r="F17" s="55">
        <v>1200</v>
      </c>
      <c r="G17" s="55">
        <v>50.000000000000007</v>
      </c>
      <c r="H17" s="55">
        <v>33.333333333333357</v>
      </c>
    </row>
    <row r="18" spans="2:8" x14ac:dyDescent="0.25">
      <c r="B18" s="55" t="s">
        <v>218</v>
      </c>
      <c r="C18" s="55" t="s">
        <v>18</v>
      </c>
      <c r="D18" s="55">
        <v>0</v>
      </c>
      <c r="E18" s="55">
        <v>0</v>
      </c>
      <c r="F18" s="55">
        <v>50</v>
      </c>
      <c r="G18" s="55">
        <v>1E+30</v>
      </c>
      <c r="H18" s="55">
        <v>50</v>
      </c>
    </row>
    <row r="19" spans="2:8" x14ac:dyDescent="0.25">
      <c r="B19" s="55" t="s">
        <v>219</v>
      </c>
      <c r="C19" s="55" t="s">
        <v>7</v>
      </c>
      <c r="D19" s="55">
        <v>10000</v>
      </c>
      <c r="E19" s="55">
        <v>19.200000000000003</v>
      </c>
      <c r="F19" s="55">
        <v>10000</v>
      </c>
      <c r="G19" s="55">
        <v>200.00000000000003</v>
      </c>
      <c r="H19" s="55">
        <v>2799.9999999999986</v>
      </c>
    </row>
    <row r="20" spans="2:8" ht="15.75" thickBot="1" x14ac:dyDescent="0.3">
      <c r="B20" s="56" t="s">
        <v>220</v>
      </c>
      <c r="C20" s="56" t="s">
        <v>8</v>
      </c>
      <c r="D20" s="56">
        <v>2960</v>
      </c>
      <c r="E20" s="56">
        <v>0</v>
      </c>
      <c r="F20" s="56">
        <v>3000</v>
      </c>
      <c r="G20" s="56">
        <v>1E+30</v>
      </c>
      <c r="H20" s="56">
        <v>40.000000000000007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4809-11C3-4C28-A777-28C2126910BA}">
  <dimension ref="A1:I13"/>
  <sheetViews>
    <sheetView workbookViewId="0">
      <selection activeCell="B13" sqref="B13"/>
    </sheetView>
  </sheetViews>
  <sheetFormatPr defaultRowHeight="15" x14ac:dyDescent="0.25"/>
  <cols>
    <col min="1" max="1" width="15.7109375" bestFit="1" customWidth="1"/>
    <col min="2" max="2" width="7" bestFit="1" customWidth="1"/>
    <col min="3" max="3" width="3" bestFit="1" customWidth="1"/>
    <col min="4" max="4" width="6" bestFit="1" customWidth="1"/>
    <col min="5" max="5" width="3.28515625" customWidth="1"/>
    <col min="6" max="6" width="10.42578125" bestFit="1" customWidth="1"/>
    <col min="7" max="7" width="5.85546875" bestFit="1" customWidth="1"/>
    <col min="8" max="8" width="5" bestFit="1" customWidth="1"/>
    <col min="9" max="9" width="4.140625" bestFit="1" customWidth="1"/>
  </cols>
  <sheetData>
    <row r="1" spans="1:9" x14ac:dyDescent="0.25">
      <c r="E1" s="53"/>
    </row>
    <row r="2" spans="1:9" x14ac:dyDescent="0.25">
      <c r="A2" t="s">
        <v>5</v>
      </c>
      <c r="B2" s="4">
        <f>$G$3</f>
        <v>559.99999999999989</v>
      </c>
      <c r="C2" t="s">
        <v>2</v>
      </c>
      <c r="D2" s="3">
        <v>600</v>
      </c>
      <c r="E2" s="53"/>
      <c r="G2" s="29" t="s">
        <v>0</v>
      </c>
      <c r="H2" s="29" t="s">
        <v>1</v>
      </c>
      <c r="I2" s="29" t="s">
        <v>17</v>
      </c>
    </row>
    <row r="3" spans="1:9" x14ac:dyDescent="0.25">
      <c r="A3" t="s">
        <v>6</v>
      </c>
      <c r="B3" s="4">
        <f>$H$3</f>
        <v>1200</v>
      </c>
      <c r="C3" t="s">
        <v>2</v>
      </c>
      <c r="D3" s="3">
        <v>1200</v>
      </c>
      <c r="E3" s="53"/>
      <c r="F3" t="s">
        <v>130</v>
      </c>
      <c r="G3" s="1">
        <v>559.99999999999989</v>
      </c>
      <c r="H3" s="1">
        <v>1200</v>
      </c>
      <c r="I3" s="1">
        <v>0</v>
      </c>
    </row>
    <row r="4" spans="1:9" x14ac:dyDescent="0.25">
      <c r="A4" t="s">
        <v>18</v>
      </c>
      <c r="B4" s="4">
        <f>$I$3</f>
        <v>0</v>
      </c>
      <c r="C4" t="s">
        <v>2</v>
      </c>
      <c r="D4" s="3">
        <v>50</v>
      </c>
      <c r="E4" s="53"/>
      <c r="F4" t="s">
        <v>3</v>
      </c>
      <c r="G4">
        <v>316</v>
      </c>
      <c r="H4">
        <v>450</v>
      </c>
      <c r="I4">
        <v>560</v>
      </c>
    </row>
    <row r="5" spans="1:9" x14ac:dyDescent="0.25">
      <c r="E5" s="53"/>
      <c r="F5" t="s">
        <v>4</v>
      </c>
      <c r="G5">
        <v>150</v>
      </c>
      <c r="H5">
        <v>225</v>
      </c>
      <c r="I5">
        <v>275</v>
      </c>
    </row>
    <row r="6" spans="1:9" x14ac:dyDescent="0.25">
      <c r="A6" t="s">
        <v>7</v>
      </c>
      <c r="B6" s="4">
        <f>SUMPRODUCT(G6:I6,G3:I3)</f>
        <v>10000</v>
      </c>
      <c r="C6" t="s">
        <v>2</v>
      </c>
      <c r="D6" s="3">
        <v>10000</v>
      </c>
      <c r="E6" s="53"/>
      <c r="F6" t="s">
        <v>7</v>
      </c>
      <c r="G6">
        <v>5</v>
      </c>
      <c r="H6">
        <v>6</v>
      </c>
      <c r="I6">
        <v>8</v>
      </c>
    </row>
    <row r="7" spans="1:9" x14ac:dyDescent="0.25">
      <c r="A7" t="s">
        <v>8</v>
      </c>
      <c r="B7" s="4">
        <f>SUMPRODUCT(G7:I7,G3:I3)</f>
        <v>2960</v>
      </c>
      <c r="C7" t="s">
        <v>2</v>
      </c>
      <c r="D7" s="3">
        <v>3000</v>
      </c>
      <c r="E7" s="53"/>
      <c r="F7" t="s">
        <v>8</v>
      </c>
      <c r="G7">
        <v>1</v>
      </c>
      <c r="H7">
        <v>2</v>
      </c>
      <c r="I7">
        <v>3</v>
      </c>
    </row>
    <row r="8" spans="1:9" x14ac:dyDescent="0.25">
      <c r="E8" s="53"/>
    </row>
    <row r="9" spans="1:9" x14ac:dyDescent="0.25">
      <c r="A9" t="s">
        <v>11</v>
      </c>
      <c r="B9">
        <f>SUMPRODUCT(G4:I4,G3:I3)</f>
        <v>716960</v>
      </c>
      <c r="E9" s="53"/>
      <c r="F9" t="s">
        <v>9</v>
      </c>
      <c r="G9">
        <v>11</v>
      </c>
    </row>
    <row r="10" spans="1:9" x14ac:dyDescent="0.25">
      <c r="A10" t="s">
        <v>13</v>
      </c>
      <c r="B10">
        <f>SUMPRODUCT(G5:I5,G3:I3)</f>
        <v>354000</v>
      </c>
      <c r="E10" s="53"/>
      <c r="F10" t="s">
        <v>10</v>
      </c>
      <c r="G10">
        <v>15</v>
      </c>
    </row>
    <row r="11" spans="1:9" x14ac:dyDescent="0.25">
      <c r="A11" t="s">
        <v>14</v>
      </c>
      <c r="B11">
        <f>$B$6*11</f>
        <v>110000</v>
      </c>
      <c r="E11" s="53"/>
    </row>
    <row r="12" spans="1:9" x14ac:dyDescent="0.25">
      <c r="A12" t="s">
        <v>15</v>
      </c>
      <c r="B12">
        <f>$B$7 * 15</f>
        <v>44400</v>
      </c>
      <c r="E12" s="53"/>
    </row>
    <row r="13" spans="1:9" x14ac:dyDescent="0.25">
      <c r="A13" t="s">
        <v>12</v>
      </c>
      <c r="B13" s="2">
        <f>B9 - (B10+B11+B12)</f>
        <v>208560</v>
      </c>
      <c r="E13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92CD-86CB-44D4-97B2-69C4BC78FBD6}">
  <dimension ref="A1:H10"/>
  <sheetViews>
    <sheetView workbookViewId="0">
      <selection activeCell="J24" sqref="J24:J25"/>
    </sheetView>
  </sheetViews>
  <sheetFormatPr defaultRowHeight="15" x14ac:dyDescent="0.25"/>
  <cols>
    <col min="1" max="1" width="10.5703125" bestFit="1" customWidth="1"/>
  </cols>
  <sheetData>
    <row r="1" spans="1:8" x14ac:dyDescent="0.25">
      <c r="B1" t="s">
        <v>47</v>
      </c>
      <c r="C1" t="s">
        <v>48</v>
      </c>
    </row>
    <row r="2" spans="1:8" x14ac:dyDescent="0.25">
      <c r="A2" t="s">
        <v>46</v>
      </c>
      <c r="B2" s="1">
        <v>14.499999999999998</v>
      </c>
      <c r="C2" s="1">
        <v>0.25000000000000072</v>
      </c>
    </row>
    <row r="4" spans="1:8" x14ac:dyDescent="0.25">
      <c r="B4" t="s">
        <v>47</v>
      </c>
      <c r="C4" t="s">
        <v>48</v>
      </c>
    </row>
    <row r="5" spans="1:8" x14ac:dyDescent="0.25">
      <c r="A5" t="s">
        <v>54</v>
      </c>
      <c r="B5">
        <v>10</v>
      </c>
      <c r="C5">
        <v>20</v>
      </c>
      <c r="E5" t="s">
        <v>54</v>
      </c>
      <c r="F5">
        <f>SUMPRODUCT(B5:C5,$B$2:$C$2)</f>
        <v>150</v>
      </c>
      <c r="G5" s="6" t="s">
        <v>51</v>
      </c>
      <c r="H5" s="3">
        <f>200-50</f>
        <v>150</v>
      </c>
    </row>
    <row r="6" spans="1:8" x14ac:dyDescent="0.25">
      <c r="A6" t="s">
        <v>49</v>
      </c>
      <c r="B6">
        <v>4</v>
      </c>
      <c r="C6">
        <v>16</v>
      </c>
      <c r="E6" t="s">
        <v>49</v>
      </c>
      <c r="F6">
        <f t="shared" ref="F6:F7" si="0">SUMPRODUCT(B6:C6,$B$2:$C$2)</f>
        <v>62.000000000000007</v>
      </c>
      <c r="G6" s="6" t="s">
        <v>51</v>
      </c>
      <c r="H6" s="3">
        <v>128</v>
      </c>
    </row>
    <row r="7" spans="1:8" x14ac:dyDescent="0.25">
      <c r="A7" t="s">
        <v>50</v>
      </c>
      <c r="B7">
        <v>15</v>
      </c>
      <c r="C7">
        <v>10</v>
      </c>
      <c r="E7" t="s">
        <v>50</v>
      </c>
      <c r="F7">
        <f t="shared" si="0"/>
        <v>219.99999999999997</v>
      </c>
      <c r="G7" s="6" t="s">
        <v>51</v>
      </c>
      <c r="H7" s="3">
        <f>220</f>
        <v>220</v>
      </c>
    </row>
    <row r="9" spans="1:8" x14ac:dyDescent="0.25">
      <c r="A9" t="s">
        <v>52</v>
      </c>
      <c r="B9">
        <v>115</v>
      </c>
      <c r="C9">
        <v>90</v>
      </c>
    </row>
    <row r="10" spans="1:8" x14ac:dyDescent="0.25">
      <c r="A10" t="s">
        <v>53</v>
      </c>
      <c r="B10" s="2">
        <f>SUMPRODUCT(B2:C2,B9:C9)</f>
        <v>1689.9999999999998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45CA-8758-49BF-B735-9E5D292B0FF0}">
  <dimension ref="A2:N23"/>
  <sheetViews>
    <sheetView tabSelected="1" workbookViewId="0">
      <selection activeCell="Q18" sqref="Q18"/>
    </sheetView>
  </sheetViews>
  <sheetFormatPr defaultRowHeight="15" x14ac:dyDescent="0.25"/>
  <cols>
    <col min="1" max="1" width="19.7109375" bestFit="1" customWidth="1"/>
    <col min="2" max="9" width="8.7109375" bestFit="1" customWidth="1"/>
    <col min="10" max="10" width="4.7109375" customWidth="1"/>
    <col min="11" max="11" width="17.42578125" bestFit="1" customWidth="1"/>
    <col min="12" max="12" width="9" bestFit="1" customWidth="1"/>
    <col min="13" max="13" width="3" bestFit="1" customWidth="1"/>
    <col min="14" max="14" width="6" bestFit="1" customWidth="1"/>
  </cols>
  <sheetData>
    <row r="2" spans="1:14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59"/>
      <c r="K2" t="s">
        <v>41</v>
      </c>
      <c r="L2">
        <f>SUMPRODUCT(B5:I5,B9:I9)</f>
        <v>20000</v>
      </c>
      <c r="M2" s="6" t="s">
        <v>2</v>
      </c>
      <c r="N2" s="3">
        <v>20000</v>
      </c>
    </row>
    <row r="3" spans="1:14" ht="15.75" customHeight="1" x14ac:dyDescent="0.25">
      <c r="A3" t="s">
        <v>27</v>
      </c>
      <c r="B3" s="5">
        <v>1500</v>
      </c>
      <c r="C3" s="5">
        <v>0</v>
      </c>
      <c r="D3" s="5">
        <v>0</v>
      </c>
      <c r="E3" s="5">
        <v>124.99999999999989</v>
      </c>
      <c r="F3" s="5">
        <v>0</v>
      </c>
      <c r="G3" s="5">
        <v>0</v>
      </c>
      <c r="H3" s="5">
        <v>1000</v>
      </c>
      <c r="I3" s="5">
        <v>0</v>
      </c>
      <c r="J3" s="59"/>
      <c r="K3" t="s">
        <v>44</v>
      </c>
      <c r="L3">
        <f>SUMPRODUCT(B3:I3,B10:I10)</f>
        <v>5000</v>
      </c>
      <c r="M3" s="6" t="s">
        <v>2</v>
      </c>
      <c r="N3" s="3">
        <v>5000</v>
      </c>
    </row>
    <row r="4" spans="1:14" ht="15.75" customHeight="1" x14ac:dyDescent="0.25">
      <c r="A4" t="s">
        <v>28</v>
      </c>
      <c r="B4" s="5">
        <v>0</v>
      </c>
      <c r="C4" s="5">
        <v>0</v>
      </c>
      <c r="D4" s="5">
        <v>0</v>
      </c>
      <c r="E4" s="5">
        <v>474.99999999999994</v>
      </c>
      <c r="F4" s="5">
        <v>0</v>
      </c>
      <c r="G4" s="5">
        <v>1000</v>
      </c>
      <c r="H4" s="5">
        <v>0</v>
      </c>
      <c r="I4" s="5">
        <v>0</v>
      </c>
      <c r="J4" s="59"/>
      <c r="K4" t="s">
        <v>45</v>
      </c>
      <c r="L4">
        <f>SUMPRODUCT(B4:I4, B11:I11)</f>
        <v>4187.5</v>
      </c>
      <c r="M4" s="6" t="s">
        <v>2</v>
      </c>
      <c r="N4" s="3">
        <v>6000</v>
      </c>
    </row>
    <row r="5" spans="1:14" ht="15.75" customHeight="1" x14ac:dyDescent="0.25">
      <c r="A5" t="s">
        <v>40</v>
      </c>
      <c r="B5">
        <f>SUM(B3:B4)</f>
        <v>1500</v>
      </c>
      <c r="C5">
        <f t="shared" ref="C5:H5" si="0">SUM(C3:C4)</f>
        <v>0</v>
      </c>
      <c r="D5">
        <f t="shared" si="0"/>
        <v>0</v>
      </c>
      <c r="E5">
        <f t="shared" si="0"/>
        <v>599.99999999999977</v>
      </c>
      <c r="F5">
        <f t="shared" si="0"/>
        <v>0</v>
      </c>
      <c r="G5">
        <f t="shared" si="0"/>
        <v>1000</v>
      </c>
      <c r="H5">
        <f t="shared" si="0"/>
        <v>1000</v>
      </c>
      <c r="I5">
        <f>SUM(I3:I4)</f>
        <v>0</v>
      </c>
      <c r="J5" s="59"/>
    </row>
    <row r="6" spans="1:14" x14ac:dyDescent="0.25">
      <c r="B6" s="6" t="s">
        <v>2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6" t="s">
        <v>2</v>
      </c>
      <c r="I6" s="6" t="s">
        <v>2</v>
      </c>
      <c r="J6" s="59"/>
      <c r="K6" t="s">
        <v>33</v>
      </c>
      <c r="L6">
        <v>11</v>
      </c>
    </row>
    <row r="7" spans="1:14" ht="15.75" customHeight="1" x14ac:dyDescent="0.25">
      <c r="B7" s="3">
        <v>1500</v>
      </c>
      <c r="C7" s="3">
        <v>1250</v>
      </c>
      <c r="D7" s="3">
        <v>1250</v>
      </c>
      <c r="E7" s="3">
        <v>1250</v>
      </c>
      <c r="F7" s="3">
        <v>1000</v>
      </c>
      <c r="G7" s="3">
        <v>1000</v>
      </c>
      <c r="H7" s="3">
        <v>1000</v>
      </c>
      <c r="I7" s="3">
        <v>800</v>
      </c>
      <c r="J7" s="59"/>
      <c r="K7" t="s">
        <v>34</v>
      </c>
      <c r="L7">
        <v>19</v>
      </c>
    </row>
    <row r="8" spans="1:14" ht="15.75" customHeight="1" x14ac:dyDescent="0.25">
      <c r="J8" s="59"/>
      <c r="K8" t="s">
        <v>35</v>
      </c>
      <c r="L8">
        <v>17</v>
      </c>
    </row>
    <row r="9" spans="1:14" x14ac:dyDescent="0.25">
      <c r="A9" t="s">
        <v>7</v>
      </c>
      <c r="B9">
        <v>4</v>
      </c>
      <c r="C9">
        <v>5</v>
      </c>
      <c r="D9">
        <v>5</v>
      </c>
      <c r="E9">
        <v>5</v>
      </c>
      <c r="F9">
        <v>5.5</v>
      </c>
      <c r="G9">
        <v>5.5</v>
      </c>
      <c r="H9">
        <v>5.5</v>
      </c>
      <c r="I9">
        <v>6</v>
      </c>
      <c r="J9" s="59"/>
    </row>
    <row r="10" spans="1:14" x14ac:dyDescent="0.25">
      <c r="A10" t="s">
        <v>42</v>
      </c>
      <c r="B10">
        <v>1.5</v>
      </c>
      <c r="C10">
        <v>2</v>
      </c>
      <c r="D10">
        <v>2</v>
      </c>
      <c r="E10">
        <v>2</v>
      </c>
      <c r="F10">
        <v>2.5</v>
      </c>
      <c r="G10">
        <v>2.5</v>
      </c>
      <c r="H10">
        <v>2.5</v>
      </c>
      <c r="I10">
        <v>3</v>
      </c>
      <c r="J10" s="59"/>
      <c r="K10" t="s">
        <v>12</v>
      </c>
      <c r="L10" s="2">
        <f>SUM(B22:I22)</f>
        <v>615812.5</v>
      </c>
    </row>
    <row r="11" spans="1:14" x14ac:dyDescent="0.25">
      <c r="A11" t="s">
        <v>43</v>
      </c>
      <c r="B11">
        <v>2</v>
      </c>
      <c r="C11">
        <v>2.5</v>
      </c>
      <c r="D11">
        <v>2.5</v>
      </c>
      <c r="E11">
        <v>2.5</v>
      </c>
      <c r="F11">
        <v>3</v>
      </c>
      <c r="G11">
        <v>3</v>
      </c>
      <c r="H11">
        <v>3.5</v>
      </c>
      <c r="I11">
        <v>3.5</v>
      </c>
      <c r="J11" s="59"/>
    </row>
    <row r="12" spans="1:14" x14ac:dyDescent="0.25">
      <c r="J12" s="59"/>
    </row>
    <row r="13" spans="1:14" x14ac:dyDescent="0.25">
      <c r="A13" t="s">
        <v>29</v>
      </c>
      <c r="B13">
        <v>150</v>
      </c>
      <c r="C13">
        <v>225</v>
      </c>
      <c r="D13">
        <v>225</v>
      </c>
      <c r="E13">
        <v>225</v>
      </c>
      <c r="F13">
        <v>250</v>
      </c>
      <c r="G13">
        <v>250</v>
      </c>
      <c r="H13">
        <v>250</v>
      </c>
      <c r="I13">
        <v>300</v>
      </c>
      <c r="J13" s="59"/>
    </row>
    <row r="14" spans="1:14" x14ac:dyDescent="0.25">
      <c r="A14" t="s">
        <v>30</v>
      </c>
      <c r="B14">
        <v>350</v>
      </c>
      <c r="C14">
        <v>450</v>
      </c>
      <c r="D14">
        <v>460</v>
      </c>
      <c r="E14">
        <v>470</v>
      </c>
      <c r="F14">
        <v>500</v>
      </c>
      <c r="G14">
        <v>525</v>
      </c>
      <c r="H14">
        <v>530</v>
      </c>
      <c r="I14">
        <v>600</v>
      </c>
      <c r="J14" s="59"/>
    </row>
    <row r="15" spans="1:14" x14ac:dyDescent="0.25">
      <c r="A15" t="s">
        <v>36</v>
      </c>
      <c r="B15">
        <f t="shared" ref="B15:I15" si="1">B9 * $L$6</f>
        <v>44</v>
      </c>
      <c r="C15">
        <f t="shared" si="1"/>
        <v>55</v>
      </c>
      <c r="D15">
        <f t="shared" si="1"/>
        <v>55</v>
      </c>
      <c r="E15">
        <f t="shared" si="1"/>
        <v>55</v>
      </c>
      <c r="F15">
        <f t="shared" si="1"/>
        <v>60.5</v>
      </c>
      <c r="G15">
        <f t="shared" si="1"/>
        <v>60.5</v>
      </c>
      <c r="H15">
        <f t="shared" si="1"/>
        <v>60.5</v>
      </c>
      <c r="I15">
        <f t="shared" si="1"/>
        <v>66</v>
      </c>
      <c r="J15" s="59"/>
    </row>
    <row r="16" spans="1:14" x14ac:dyDescent="0.25">
      <c r="A16" t="s">
        <v>37</v>
      </c>
      <c r="B16">
        <f t="shared" ref="B16:I16" si="2">B10 * $L$7</f>
        <v>28.5</v>
      </c>
      <c r="C16">
        <f t="shared" si="2"/>
        <v>38</v>
      </c>
      <c r="D16">
        <f t="shared" si="2"/>
        <v>38</v>
      </c>
      <c r="E16">
        <f t="shared" si="2"/>
        <v>38</v>
      </c>
      <c r="F16">
        <f t="shared" si="2"/>
        <v>47.5</v>
      </c>
      <c r="G16">
        <f t="shared" si="2"/>
        <v>47.5</v>
      </c>
      <c r="H16">
        <f t="shared" si="2"/>
        <v>47.5</v>
      </c>
      <c r="I16">
        <f t="shared" si="2"/>
        <v>57</v>
      </c>
      <c r="J16" s="59"/>
    </row>
    <row r="17" spans="1:10" x14ac:dyDescent="0.25">
      <c r="A17" t="s">
        <v>38</v>
      </c>
      <c r="B17">
        <f t="shared" ref="B17:I17" si="3" xml:space="preserve"> B11 * $L$8</f>
        <v>34</v>
      </c>
      <c r="C17">
        <f t="shared" si="3"/>
        <v>42.5</v>
      </c>
      <c r="D17">
        <f t="shared" si="3"/>
        <v>42.5</v>
      </c>
      <c r="E17">
        <f t="shared" si="3"/>
        <v>42.5</v>
      </c>
      <c r="F17">
        <f t="shared" si="3"/>
        <v>51</v>
      </c>
      <c r="G17">
        <f t="shared" si="3"/>
        <v>51</v>
      </c>
      <c r="H17">
        <f t="shared" si="3"/>
        <v>59.5</v>
      </c>
      <c r="I17">
        <f t="shared" si="3"/>
        <v>59.5</v>
      </c>
      <c r="J17" s="59"/>
    </row>
    <row r="18" spans="1:10" x14ac:dyDescent="0.25">
      <c r="J18" s="59"/>
    </row>
    <row r="19" spans="1:10" x14ac:dyDescent="0.25">
      <c r="A19" t="s">
        <v>31</v>
      </c>
      <c r="B19">
        <f>B14 - (B13+B15+B16)</f>
        <v>127.5</v>
      </c>
      <c r="C19">
        <f t="shared" ref="C19:I19" si="4">C14 - (C13+C15+C16)</f>
        <v>132</v>
      </c>
      <c r="D19">
        <f t="shared" si="4"/>
        <v>142</v>
      </c>
      <c r="E19">
        <f t="shared" si="4"/>
        <v>152</v>
      </c>
      <c r="F19">
        <f t="shared" si="4"/>
        <v>142</v>
      </c>
      <c r="G19">
        <f t="shared" si="4"/>
        <v>167</v>
      </c>
      <c r="H19">
        <f t="shared" si="4"/>
        <v>172</v>
      </c>
      <c r="I19">
        <f t="shared" si="4"/>
        <v>177</v>
      </c>
      <c r="J19" s="59"/>
    </row>
    <row r="20" spans="1:10" x14ac:dyDescent="0.25">
      <c r="A20" t="s">
        <v>32</v>
      </c>
      <c r="B20">
        <f>B14 - (B13+B15+B17)</f>
        <v>122</v>
      </c>
      <c r="C20">
        <f t="shared" ref="C20:I20" si="5">C14 - (C13+C15+C17)</f>
        <v>127.5</v>
      </c>
      <c r="D20">
        <f t="shared" si="5"/>
        <v>137.5</v>
      </c>
      <c r="E20">
        <f t="shared" si="5"/>
        <v>147.5</v>
      </c>
      <c r="F20">
        <f t="shared" si="5"/>
        <v>138.5</v>
      </c>
      <c r="G20">
        <f t="shared" si="5"/>
        <v>163.5</v>
      </c>
      <c r="H20">
        <f t="shared" si="5"/>
        <v>160</v>
      </c>
      <c r="I20">
        <f t="shared" si="5"/>
        <v>174.5</v>
      </c>
      <c r="J20" s="59"/>
    </row>
    <row r="21" spans="1:10" x14ac:dyDescent="0.25">
      <c r="J21" s="59"/>
    </row>
    <row r="22" spans="1:10" x14ac:dyDescent="0.25">
      <c r="A22" t="s">
        <v>39</v>
      </c>
      <c r="B22">
        <f>SUMPRODUCT(B19:B20,B3:B4)</f>
        <v>191250</v>
      </c>
      <c r="C22">
        <f t="shared" ref="B22:I22" si="6">SUMPRODUCT(C19:C20,C3:C4)</f>
        <v>0</v>
      </c>
      <c r="D22">
        <f t="shared" si="6"/>
        <v>0</v>
      </c>
      <c r="E22">
        <f t="shared" si="6"/>
        <v>89062.499999999971</v>
      </c>
      <c r="F22">
        <f t="shared" si="6"/>
        <v>0</v>
      </c>
      <c r="G22">
        <f t="shared" si="6"/>
        <v>163500</v>
      </c>
      <c r="H22">
        <f t="shared" si="6"/>
        <v>172000</v>
      </c>
      <c r="I22">
        <f t="shared" si="6"/>
        <v>0</v>
      </c>
      <c r="J22" s="59"/>
    </row>
    <row r="23" spans="1:10" x14ac:dyDescent="0.25">
      <c r="J23" s="3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EC63-9A54-4477-BBCB-EE695471FCE4}">
  <dimension ref="A1:G10"/>
  <sheetViews>
    <sheetView workbookViewId="0">
      <selection activeCell="H12" sqref="H12:H13"/>
    </sheetView>
  </sheetViews>
  <sheetFormatPr defaultRowHeight="15" x14ac:dyDescent="0.25"/>
  <sheetData>
    <row r="1" spans="1:7" x14ac:dyDescent="0.25">
      <c r="B1" t="s">
        <v>55</v>
      </c>
      <c r="C1" t="s">
        <v>56</v>
      </c>
    </row>
    <row r="2" spans="1:7" x14ac:dyDescent="0.25">
      <c r="B2" s="1">
        <v>4.3333333333333339</v>
      </c>
      <c r="C2" s="1">
        <v>3.333333333333333</v>
      </c>
    </row>
    <row r="4" spans="1:7" x14ac:dyDescent="0.25">
      <c r="A4" t="s">
        <v>57</v>
      </c>
      <c r="B4">
        <v>7</v>
      </c>
      <c r="C4">
        <v>3</v>
      </c>
      <c r="E4" s="4">
        <f>SUMPRODUCT(B4:C4,$B$2:$C$2)</f>
        <v>40.333333333333336</v>
      </c>
      <c r="F4" s="6" t="s">
        <v>61</v>
      </c>
      <c r="G4" s="3">
        <v>40</v>
      </c>
    </row>
    <row r="5" spans="1:7" x14ac:dyDescent="0.25">
      <c r="A5" t="s">
        <v>58</v>
      </c>
      <c r="B5">
        <v>10</v>
      </c>
      <c r="C5">
        <v>5</v>
      </c>
      <c r="E5" s="4">
        <f t="shared" ref="E5:E6" si="0">SUMPRODUCT(B5:C5,$B$2:$C$2)</f>
        <v>60.000000000000007</v>
      </c>
      <c r="F5" s="6" t="s">
        <v>61</v>
      </c>
      <c r="G5" s="3">
        <v>61</v>
      </c>
    </row>
    <row r="6" spans="1:7" x14ac:dyDescent="0.25">
      <c r="A6" t="s">
        <v>59</v>
      </c>
      <c r="B6">
        <v>5</v>
      </c>
      <c r="C6">
        <v>4</v>
      </c>
      <c r="E6" s="4">
        <f t="shared" si="0"/>
        <v>35</v>
      </c>
      <c r="F6" s="6" t="s">
        <v>61</v>
      </c>
      <c r="G6" s="3">
        <v>35</v>
      </c>
    </row>
    <row r="7" spans="1:7" x14ac:dyDescent="0.25">
      <c r="F7" s="6"/>
    </row>
    <row r="9" spans="1:7" x14ac:dyDescent="0.25">
      <c r="A9" t="s">
        <v>16</v>
      </c>
      <c r="B9">
        <v>100</v>
      </c>
      <c r="C9">
        <v>60</v>
      </c>
    </row>
    <row r="10" spans="1:7" x14ac:dyDescent="0.25">
      <c r="A10" t="s">
        <v>60</v>
      </c>
      <c r="B10" s="2">
        <f>SUMPRODUCT(B9:C9,B2:C2)</f>
        <v>633.33333333333337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64CB-7E70-452A-88CC-BE24E3E0118E}">
  <dimension ref="A1:I14"/>
  <sheetViews>
    <sheetView workbookViewId="0">
      <selection activeCell="Q8" sqref="Q8"/>
    </sheetView>
  </sheetViews>
  <sheetFormatPr defaultRowHeight="15" x14ac:dyDescent="0.25"/>
  <cols>
    <col min="1" max="1" width="10.5703125" bestFit="1" customWidth="1"/>
    <col min="2" max="2" width="12.42578125" customWidth="1"/>
    <col min="3" max="3" width="4.85546875" bestFit="1" customWidth="1"/>
    <col min="4" max="5" width="7.7109375" bestFit="1" customWidth="1"/>
    <col min="7" max="7" width="8.42578125" customWidth="1"/>
    <col min="8" max="8" width="3" bestFit="1" customWidth="1"/>
    <col min="9" max="9" width="6" bestFit="1" customWidth="1"/>
  </cols>
  <sheetData>
    <row r="1" spans="1:9" x14ac:dyDescent="0.25">
      <c r="B1" t="s">
        <v>62</v>
      </c>
      <c r="C1" t="s">
        <v>63</v>
      </c>
      <c r="D1" t="s">
        <v>71</v>
      </c>
      <c r="E1" t="s">
        <v>72</v>
      </c>
    </row>
    <row r="2" spans="1:9" x14ac:dyDescent="0.25">
      <c r="A2" t="s">
        <v>64</v>
      </c>
      <c r="B2" s="1">
        <v>120</v>
      </c>
      <c r="C2" s="1">
        <v>80</v>
      </c>
      <c r="D2" s="1">
        <v>300</v>
      </c>
      <c r="E2">
        <v>0</v>
      </c>
      <c r="G2">
        <f>SUM(B2:D2)</f>
        <v>500</v>
      </c>
      <c r="H2" s="6" t="s">
        <v>2</v>
      </c>
      <c r="I2" s="3">
        <v>500</v>
      </c>
    </row>
    <row r="3" spans="1:9" x14ac:dyDescent="0.25">
      <c r="A3" t="s">
        <v>30</v>
      </c>
      <c r="B3" s="1">
        <v>100</v>
      </c>
      <c r="C3" s="1">
        <v>0</v>
      </c>
      <c r="D3" s="1">
        <v>6000</v>
      </c>
      <c r="E3" s="1">
        <v>0</v>
      </c>
      <c r="G3">
        <f>-(B2 * B6) - B4 + B3</f>
        <v>-200</v>
      </c>
      <c r="H3" s="6" t="s">
        <v>2</v>
      </c>
      <c r="I3" s="3">
        <v>-200</v>
      </c>
    </row>
    <row r="4" spans="1:9" x14ac:dyDescent="0.25">
      <c r="A4" t="s">
        <v>65</v>
      </c>
      <c r="B4" s="1">
        <v>0</v>
      </c>
      <c r="C4" s="1">
        <v>0</v>
      </c>
      <c r="D4" s="1">
        <v>0</v>
      </c>
      <c r="E4">
        <v>0</v>
      </c>
      <c r="G4">
        <f>-(C2*C6) - C4 + C3</f>
        <v>-240</v>
      </c>
      <c r="H4" s="6" t="s">
        <v>2</v>
      </c>
      <c r="I4" s="3">
        <v>-240</v>
      </c>
    </row>
    <row r="5" spans="1:9" x14ac:dyDescent="0.25">
      <c r="G5">
        <f>D3 + E3</f>
        <v>6000</v>
      </c>
      <c r="H5" s="6" t="s">
        <v>2</v>
      </c>
      <c r="I5" s="3">
        <f>D2*D6</f>
        <v>6000</v>
      </c>
    </row>
    <row r="6" spans="1:9" x14ac:dyDescent="0.25">
      <c r="A6" t="s">
        <v>66</v>
      </c>
      <c r="B6">
        <v>2.5</v>
      </c>
      <c r="C6">
        <v>3</v>
      </c>
      <c r="D6">
        <v>20</v>
      </c>
      <c r="G6">
        <f>$D$3</f>
        <v>6000</v>
      </c>
      <c r="H6" s="6" t="s">
        <v>2</v>
      </c>
      <c r="I6" s="3">
        <v>6000</v>
      </c>
    </row>
    <row r="7" spans="1:9" x14ac:dyDescent="0.25">
      <c r="A7" t="s">
        <v>67</v>
      </c>
      <c r="B7">
        <v>150</v>
      </c>
      <c r="C7">
        <v>230</v>
      </c>
      <c r="D7">
        <v>260</v>
      </c>
    </row>
    <row r="8" spans="1:9" x14ac:dyDescent="0.25">
      <c r="A8" t="s">
        <v>68</v>
      </c>
      <c r="B8">
        <v>170</v>
      </c>
      <c r="C8">
        <v>150</v>
      </c>
      <c r="D8">
        <v>36</v>
      </c>
      <c r="E8">
        <v>10</v>
      </c>
    </row>
    <row r="9" spans="1:9" x14ac:dyDescent="0.25">
      <c r="A9" t="s">
        <v>69</v>
      </c>
      <c r="B9">
        <v>238</v>
      </c>
      <c r="C9">
        <v>210</v>
      </c>
    </row>
    <row r="11" spans="1:9" x14ac:dyDescent="0.25">
      <c r="A11" t="s">
        <v>30</v>
      </c>
      <c r="B11">
        <f>SUMPRODUCT(B3:E3,B8:E8)</f>
        <v>233000</v>
      </c>
    </row>
    <row r="12" spans="1:9" x14ac:dyDescent="0.25">
      <c r="A12" t="s">
        <v>65</v>
      </c>
      <c r="B12">
        <f>SUMPRODUCT(B4:C4,B9:C9)</f>
        <v>0</v>
      </c>
    </row>
    <row r="13" spans="1:9" x14ac:dyDescent="0.25">
      <c r="A13" t="s">
        <v>70</v>
      </c>
      <c r="B13">
        <f>SUMPRODUCT(B7:D7,B2:D2)</f>
        <v>114400</v>
      </c>
    </row>
    <row r="14" spans="1:9" x14ac:dyDescent="0.25">
      <c r="A14" t="s">
        <v>39</v>
      </c>
      <c r="B14" s="2">
        <f>B11 - B12 - B13</f>
        <v>118600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CE4E-1681-441F-8DE6-2742A5A66B94}">
  <dimension ref="A1:L8"/>
  <sheetViews>
    <sheetView workbookViewId="0">
      <selection sqref="A1:L8"/>
    </sheetView>
  </sheetViews>
  <sheetFormatPr defaultRowHeight="15" x14ac:dyDescent="0.25"/>
  <cols>
    <col min="1" max="1" width="14.5703125" bestFit="1" customWidth="1"/>
    <col min="10" max="10" width="4" bestFit="1" customWidth="1"/>
  </cols>
  <sheetData>
    <row r="1" spans="1:12" x14ac:dyDescent="0.2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12" x14ac:dyDescent="0.25">
      <c r="A2" t="s">
        <v>82</v>
      </c>
      <c r="B2" s="1">
        <v>0.44000000000000028</v>
      </c>
      <c r="C2" s="1">
        <v>1</v>
      </c>
      <c r="D2" s="1">
        <v>0</v>
      </c>
      <c r="E2" s="1">
        <v>1</v>
      </c>
      <c r="F2" s="1">
        <v>0</v>
      </c>
      <c r="G2" s="1">
        <v>1</v>
      </c>
      <c r="H2" s="1">
        <v>0</v>
      </c>
      <c r="K2" s="6"/>
    </row>
    <row r="3" spans="1:12" ht="14.25" customHeight="1" x14ac:dyDescent="0.25">
      <c r="J3" s="4">
        <f>SUMPRODUCT(B2:H2, B4:H4)</f>
        <v>15.000000000000002</v>
      </c>
      <c r="K3" s="6" t="s">
        <v>2</v>
      </c>
      <c r="L3" s="3">
        <v>15</v>
      </c>
    </row>
    <row r="4" spans="1:12" x14ac:dyDescent="0.25">
      <c r="A4" t="s">
        <v>70</v>
      </c>
      <c r="B4">
        <v>5</v>
      </c>
      <c r="C4">
        <v>2.4</v>
      </c>
      <c r="D4">
        <v>3.5</v>
      </c>
      <c r="E4">
        <v>5.9</v>
      </c>
      <c r="F4">
        <v>6.9</v>
      </c>
      <c r="G4">
        <v>4.5</v>
      </c>
      <c r="H4">
        <v>3</v>
      </c>
    </row>
    <row r="5" spans="1:12" x14ac:dyDescent="0.25">
      <c r="A5" t="s">
        <v>80</v>
      </c>
      <c r="B5">
        <v>5.6</v>
      </c>
      <c r="C5">
        <v>2.7</v>
      </c>
      <c r="D5">
        <v>3.9</v>
      </c>
      <c r="E5">
        <v>6.8</v>
      </c>
      <c r="F5">
        <v>7.7</v>
      </c>
      <c r="G5">
        <v>5.0999999999999996</v>
      </c>
      <c r="H5">
        <v>3.3</v>
      </c>
    </row>
    <row r="6" spans="1:12" x14ac:dyDescent="0.25">
      <c r="A6" t="s">
        <v>81</v>
      </c>
      <c r="B6">
        <f>(B5-B4)/B4</f>
        <v>0.11999999999999993</v>
      </c>
      <c r="C6">
        <f t="shared" ref="C6:H6" si="0">(C5-C4)/C4</f>
        <v>0.12500000000000011</v>
      </c>
      <c r="D6">
        <f t="shared" si="0"/>
        <v>0.11428571428571425</v>
      </c>
      <c r="E6">
        <f t="shared" si="0"/>
        <v>0.15254237288135583</v>
      </c>
      <c r="F6">
        <f t="shared" si="0"/>
        <v>0.11594202898550722</v>
      </c>
      <c r="G6">
        <f t="shared" si="0"/>
        <v>0.13333333333333325</v>
      </c>
      <c r="H6">
        <f t="shared" si="0"/>
        <v>9.9999999999999936E-2</v>
      </c>
    </row>
    <row r="8" spans="1:12" x14ac:dyDescent="0.25">
      <c r="A8" t="s">
        <v>39</v>
      </c>
      <c r="B8" s="2">
        <f>SUMPRODUCT(B2:H2,B5:H5)</f>
        <v>17.064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A4A6-16E8-44A6-ABD2-65E95D8954DD}">
  <dimension ref="A2:M28"/>
  <sheetViews>
    <sheetView workbookViewId="0">
      <selection activeCell="F28" sqref="A2:F28"/>
    </sheetView>
  </sheetViews>
  <sheetFormatPr defaultRowHeight="15" x14ac:dyDescent="0.25"/>
  <sheetData>
    <row r="2" spans="1:13" x14ac:dyDescent="0.25">
      <c r="A2" t="s">
        <v>83</v>
      </c>
      <c r="B2" t="s">
        <v>84</v>
      </c>
      <c r="C2" t="s">
        <v>85</v>
      </c>
      <c r="D2" t="s">
        <v>86</v>
      </c>
      <c r="F2" t="s">
        <v>87</v>
      </c>
      <c r="H2" t="s">
        <v>88</v>
      </c>
      <c r="I2" t="s">
        <v>89</v>
      </c>
      <c r="J2" t="s">
        <v>90</v>
      </c>
      <c r="K2" t="s">
        <v>40</v>
      </c>
      <c r="M2" t="s">
        <v>91</v>
      </c>
    </row>
    <row r="3" spans="1:13" x14ac:dyDescent="0.25">
      <c r="A3">
        <v>1</v>
      </c>
      <c r="B3">
        <v>2</v>
      </c>
      <c r="C3">
        <v>5</v>
      </c>
      <c r="D3" s="1">
        <v>0</v>
      </c>
      <c r="E3" s="6" t="s">
        <v>2</v>
      </c>
      <c r="F3" s="3">
        <v>200</v>
      </c>
      <c r="H3">
        <v>1</v>
      </c>
      <c r="I3">
        <f>SUMIF($A$3:$A$28,H3,$D$3:$D$28)</f>
        <v>180</v>
      </c>
      <c r="J3">
        <f>SUMIF($B$3:$B$28,H3,$D$3:$D$28)</f>
        <v>0</v>
      </c>
      <c r="K3" s="4">
        <f>I3-J3</f>
        <v>180</v>
      </c>
      <c r="L3" s="6" t="s">
        <v>2</v>
      </c>
      <c r="M3" s="3">
        <v>200</v>
      </c>
    </row>
    <row r="4" spans="1:13" x14ac:dyDescent="0.25">
      <c r="A4">
        <v>1</v>
      </c>
      <c r="B4">
        <v>3</v>
      </c>
      <c r="C4">
        <v>3</v>
      </c>
      <c r="D4" s="1">
        <v>180</v>
      </c>
      <c r="E4" s="6" t="s">
        <v>2</v>
      </c>
      <c r="F4" s="3">
        <v>200</v>
      </c>
      <c r="H4">
        <v>2</v>
      </c>
      <c r="I4">
        <f>SUMIF($A$3:$A$28,H4,$D$3:$D$28)</f>
        <v>300</v>
      </c>
      <c r="J4">
        <f>SUMIF($B$3:$B$28,H4,$D$3:$D$28)</f>
        <v>0</v>
      </c>
      <c r="K4" s="4">
        <f t="shared" ref="K4:K9" si="0">I4-J4</f>
        <v>300</v>
      </c>
      <c r="L4" s="6" t="s">
        <v>2</v>
      </c>
      <c r="M4" s="3">
        <v>300</v>
      </c>
    </row>
    <row r="5" spans="1:13" x14ac:dyDescent="0.25">
      <c r="A5">
        <v>1</v>
      </c>
      <c r="B5">
        <v>4</v>
      </c>
      <c r="C5">
        <v>5</v>
      </c>
      <c r="D5" s="1">
        <v>0</v>
      </c>
      <c r="E5" s="6" t="s">
        <v>2</v>
      </c>
      <c r="F5" s="3">
        <v>200</v>
      </c>
      <c r="H5">
        <v>3</v>
      </c>
      <c r="I5">
        <f t="shared" ref="I5:I9" si="1">SUMIF($A$3:$A$28,H5,$D$3:$D$28)</f>
        <v>280</v>
      </c>
      <c r="J5">
        <f t="shared" ref="J5:J9" si="2">SUMIF($B$3:$B$28,H5,$D$3:$D$28)</f>
        <v>180</v>
      </c>
      <c r="K5" s="4">
        <f t="shared" si="0"/>
        <v>100</v>
      </c>
      <c r="L5" s="6" t="s">
        <v>2</v>
      </c>
      <c r="M5" s="3">
        <v>100</v>
      </c>
    </row>
    <row r="6" spans="1:13" x14ac:dyDescent="0.25">
      <c r="A6">
        <v>1</v>
      </c>
      <c r="B6">
        <v>5</v>
      </c>
      <c r="C6">
        <v>5</v>
      </c>
      <c r="D6" s="1">
        <v>0</v>
      </c>
      <c r="E6" s="6" t="s">
        <v>2</v>
      </c>
      <c r="F6" s="3">
        <v>200</v>
      </c>
      <c r="H6">
        <v>4</v>
      </c>
      <c r="I6">
        <f t="shared" si="1"/>
        <v>200</v>
      </c>
      <c r="J6">
        <f t="shared" si="2"/>
        <v>200</v>
      </c>
      <c r="K6" s="4">
        <f t="shared" si="0"/>
        <v>0</v>
      </c>
      <c r="L6" s="6" t="s">
        <v>92</v>
      </c>
      <c r="M6" s="3">
        <v>0</v>
      </c>
    </row>
    <row r="7" spans="1:13" x14ac:dyDescent="0.25">
      <c r="A7">
        <v>1</v>
      </c>
      <c r="B7">
        <v>6</v>
      </c>
      <c r="C7">
        <v>20</v>
      </c>
      <c r="D7" s="1">
        <v>0</v>
      </c>
      <c r="E7" s="6" t="s">
        <v>2</v>
      </c>
      <c r="F7" s="3">
        <v>200</v>
      </c>
      <c r="H7">
        <v>5</v>
      </c>
      <c r="I7">
        <f t="shared" si="1"/>
        <v>200</v>
      </c>
      <c r="J7">
        <f t="shared" si="2"/>
        <v>200</v>
      </c>
      <c r="K7" s="4">
        <f t="shared" si="0"/>
        <v>0</v>
      </c>
      <c r="L7" s="6" t="s">
        <v>92</v>
      </c>
      <c r="M7" s="3">
        <v>0</v>
      </c>
    </row>
    <row r="8" spans="1:13" x14ac:dyDescent="0.25">
      <c r="A8">
        <v>1</v>
      </c>
      <c r="B8">
        <v>7</v>
      </c>
      <c r="C8">
        <v>20</v>
      </c>
      <c r="D8" s="1">
        <v>0</v>
      </c>
      <c r="E8" s="6" t="s">
        <v>2</v>
      </c>
      <c r="F8" s="3">
        <v>200</v>
      </c>
      <c r="H8">
        <v>6</v>
      </c>
      <c r="I8">
        <f t="shared" si="1"/>
        <v>180</v>
      </c>
      <c r="J8">
        <f t="shared" si="2"/>
        <v>580</v>
      </c>
      <c r="K8" s="4">
        <f t="shared" si="0"/>
        <v>-400</v>
      </c>
      <c r="L8" s="6" t="s">
        <v>2</v>
      </c>
      <c r="M8" s="3">
        <v>-400</v>
      </c>
    </row>
    <row r="9" spans="1:13" x14ac:dyDescent="0.25">
      <c r="A9">
        <v>2</v>
      </c>
      <c r="B9">
        <v>1</v>
      </c>
      <c r="C9">
        <v>9</v>
      </c>
      <c r="D9" s="1">
        <v>0</v>
      </c>
      <c r="E9" s="6" t="s">
        <v>2</v>
      </c>
      <c r="F9" s="3">
        <v>200</v>
      </c>
      <c r="H9">
        <v>7</v>
      </c>
      <c r="I9">
        <f t="shared" si="1"/>
        <v>0</v>
      </c>
      <c r="J9">
        <f t="shared" si="2"/>
        <v>180</v>
      </c>
      <c r="K9" s="4">
        <f t="shared" si="0"/>
        <v>-180</v>
      </c>
      <c r="L9" s="6" t="s">
        <v>2</v>
      </c>
      <c r="M9" s="3">
        <v>-180</v>
      </c>
    </row>
    <row r="10" spans="1:13" x14ac:dyDescent="0.25">
      <c r="A10">
        <v>2</v>
      </c>
      <c r="B10">
        <v>3</v>
      </c>
      <c r="C10">
        <v>9</v>
      </c>
      <c r="D10" s="1">
        <v>0</v>
      </c>
      <c r="E10" s="6" t="s">
        <v>2</v>
      </c>
      <c r="F10" s="3">
        <v>200</v>
      </c>
    </row>
    <row r="11" spans="1:13" x14ac:dyDescent="0.25">
      <c r="A11">
        <v>2</v>
      </c>
      <c r="B11">
        <v>4</v>
      </c>
      <c r="C11">
        <v>1</v>
      </c>
      <c r="D11" s="1">
        <v>120</v>
      </c>
      <c r="E11" s="6" t="s">
        <v>2</v>
      </c>
      <c r="F11" s="3">
        <v>200</v>
      </c>
      <c r="H11" t="s">
        <v>70</v>
      </c>
      <c r="I11" s="2">
        <f>SUMPRODUCT(C3:C28,D3:D28)</f>
        <v>3260</v>
      </c>
    </row>
    <row r="12" spans="1:13" x14ac:dyDescent="0.25">
      <c r="A12">
        <v>2</v>
      </c>
      <c r="B12">
        <v>5</v>
      </c>
      <c r="C12">
        <v>1</v>
      </c>
      <c r="D12" s="1">
        <v>0</v>
      </c>
      <c r="E12" s="6" t="s">
        <v>2</v>
      </c>
      <c r="F12" s="3">
        <v>200</v>
      </c>
    </row>
    <row r="13" spans="1:13" x14ac:dyDescent="0.25">
      <c r="A13">
        <v>2</v>
      </c>
      <c r="B13">
        <v>6</v>
      </c>
      <c r="C13">
        <v>8</v>
      </c>
      <c r="D13" s="1">
        <v>180</v>
      </c>
      <c r="E13" s="6" t="s">
        <v>2</v>
      </c>
      <c r="F13" s="3">
        <v>200</v>
      </c>
    </row>
    <row r="14" spans="1:13" x14ac:dyDescent="0.25">
      <c r="A14">
        <v>2</v>
      </c>
      <c r="B14">
        <v>7</v>
      </c>
      <c r="C14">
        <v>15</v>
      </c>
      <c r="D14" s="1">
        <v>0</v>
      </c>
      <c r="E14" s="6" t="s">
        <v>2</v>
      </c>
      <c r="F14" s="3">
        <v>200</v>
      </c>
    </row>
    <row r="15" spans="1:13" x14ac:dyDescent="0.25">
      <c r="A15">
        <v>3</v>
      </c>
      <c r="B15">
        <v>1</v>
      </c>
      <c r="C15">
        <v>0.4</v>
      </c>
      <c r="D15" s="1">
        <v>0</v>
      </c>
      <c r="E15" s="6" t="s">
        <v>2</v>
      </c>
      <c r="F15" s="3">
        <v>200</v>
      </c>
    </row>
    <row r="16" spans="1:13" x14ac:dyDescent="0.25">
      <c r="A16">
        <v>3</v>
      </c>
      <c r="B16">
        <v>2</v>
      </c>
      <c r="C16">
        <v>8</v>
      </c>
      <c r="D16" s="1">
        <v>0</v>
      </c>
      <c r="E16" s="6" t="s">
        <v>2</v>
      </c>
      <c r="F16" s="3">
        <v>200</v>
      </c>
    </row>
    <row r="17" spans="1:6" x14ac:dyDescent="0.25">
      <c r="A17">
        <v>3</v>
      </c>
      <c r="B17">
        <v>4</v>
      </c>
      <c r="C17">
        <v>1</v>
      </c>
      <c r="D17" s="1">
        <v>80</v>
      </c>
      <c r="E17" s="6" t="s">
        <v>2</v>
      </c>
      <c r="F17" s="3">
        <v>200</v>
      </c>
    </row>
    <row r="18" spans="1:6" x14ac:dyDescent="0.25">
      <c r="A18">
        <v>3</v>
      </c>
      <c r="B18">
        <v>5</v>
      </c>
      <c r="C18">
        <v>0.5</v>
      </c>
      <c r="D18" s="1">
        <v>200</v>
      </c>
      <c r="E18" s="6" t="s">
        <v>2</v>
      </c>
      <c r="F18" s="3">
        <v>200</v>
      </c>
    </row>
    <row r="19" spans="1:6" x14ac:dyDescent="0.25">
      <c r="A19">
        <v>3</v>
      </c>
      <c r="B19">
        <v>6</v>
      </c>
      <c r="C19">
        <v>10</v>
      </c>
      <c r="D19" s="1">
        <v>0</v>
      </c>
      <c r="E19" s="6" t="s">
        <v>2</v>
      </c>
      <c r="F19" s="3">
        <v>200</v>
      </c>
    </row>
    <row r="20" spans="1:6" x14ac:dyDescent="0.25">
      <c r="A20">
        <v>3</v>
      </c>
      <c r="B20">
        <v>7</v>
      </c>
      <c r="C20">
        <v>12</v>
      </c>
      <c r="D20" s="1">
        <v>0</v>
      </c>
      <c r="E20" s="6" t="s">
        <v>2</v>
      </c>
      <c r="F20" s="3">
        <v>200</v>
      </c>
    </row>
    <row r="21" spans="1:6" x14ac:dyDescent="0.25">
      <c r="A21">
        <v>4</v>
      </c>
      <c r="B21">
        <v>5</v>
      </c>
      <c r="C21">
        <v>1.2</v>
      </c>
      <c r="D21" s="1">
        <v>0</v>
      </c>
      <c r="E21" s="6" t="s">
        <v>2</v>
      </c>
      <c r="F21" s="3">
        <v>200</v>
      </c>
    </row>
    <row r="22" spans="1:6" x14ac:dyDescent="0.25">
      <c r="A22">
        <v>4</v>
      </c>
      <c r="B22">
        <v>6</v>
      </c>
      <c r="C22">
        <v>2</v>
      </c>
      <c r="D22" s="1">
        <v>200</v>
      </c>
      <c r="E22" s="6" t="s">
        <v>2</v>
      </c>
      <c r="F22" s="3">
        <v>200</v>
      </c>
    </row>
    <row r="23" spans="1:6" x14ac:dyDescent="0.25">
      <c r="A23">
        <v>4</v>
      </c>
      <c r="B23">
        <v>7</v>
      </c>
      <c r="C23">
        <v>12</v>
      </c>
      <c r="D23" s="1">
        <v>0</v>
      </c>
      <c r="E23" s="6" t="s">
        <v>2</v>
      </c>
      <c r="F23" s="3">
        <v>200</v>
      </c>
    </row>
    <row r="24" spans="1:6" x14ac:dyDescent="0.25">
      <c r="A24">
        <v>5</v>
      </c>
      <c r="B24">
        <v>4</v>
      </c>
      <c r="C24">
        <v>0.8</v>
      </c>
      <c r="D24" s="1">
        <v>0</v>
      </c>
      <c r="E24" s="6" t="s">
        <v>2</v>
      </c>
      <c r="F24" s="3">
        <v>200</v>
      </c>
    </row>
    <row r="25" spans="1:6" x14ac:dyDescent="0.25">
      <c r="A25">
        <v>5</v>
      </c>
      <c r="B25">
        <v>6</v>
      </c>
      <c r="C25">
        <v>2</v>
      </c>
      <c r="D25" s="1">
        <v>200</v>
      </c>
      <c r="E25" s="6" t="s">
        <v>2</v>
      </c>
      <c r="F25" s="3">
        <v>200</v>
      </c>
    </row>
    <row r="26" spans="1:6" x14ac:dyDescent="0.25">
      <c r="A26">
        <v>5</v>
      </c>
      <c r="B26">
        <v>7</v>
      </c>
      <c r="C26">
        <v>12</v>
      </c>
      <c r="D26" s="1">
        <v>0</v>
      </c>
      <c r="E26" s="6" t="s">
        <v>2</v>
      </c>
      <c r="F26" s="3">
        <v>200</v>
      </c>
    </row>
    <row r="27" spans="1:6" x14ac:dyDescent="0.25">
      <c r="A27">
        <v>6</v>
      </c>
      <c r="B27">
        <v>7</v>
      </c>
      <c r="C27">
        <v>1</v>
      </c>
      <c r="D27" s="1">
        <v>180</v>
      </c>
      <c r="E27" s="6" t="s">
        <v>2</v>
      </c>
      <c r="F27" s="3">
        <v>200</v>
      </c>
    </row>
    <row r="28" spans="1:6" x14ac:dyDescent="0.25">
      <c r="A28">
        <v>7</v>
      </c>
      <c r="B28">
        <v>6</v>
      </c>
      <c r="C28">
        <v>7</v>
      </c>
      <c r="D28" s="1">
        <v>0</v>
      </c>
      <c r="E28" s="6" t="s">
        <v>2</v>
      </c>
      <c r="F28" s="3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4BAA-45A2-4B9F-8DB4-EA5599549413}">
  <dimension ref="A2:M11"/>
  <sheetViews>
    <sheetView workbookViewId="0">
      <selection activeCell="N18" sqref="N18"/>
    </sheetView>
  </sheetViews>
  <sheetFormatPr defaultRowHeight="15" x14ac:dyDescent="0.25"/>
  <sheetData>
    <row r="2" spans="1:13" x14ac:dyDescent="0.25">
      <c r="A2" t="s">
        <v>94</v>
      </c>
      <c r="B2" t="s">
        <v>93</v>
      </c>
      <c r="C2" t="s">
        <v>70</v>
      </c>
      <c r="D2" t="s">
        <v>96</v>
      </c>
      <c r="F2" t="s">
        <v>95</v>
      </c>
      <c r="H2" t="s">
        <v>88</v>
      </c>
      <c r="I2" t="s">
        <v>89</v>
      </c>
      <c r="J2" t="s">
        <v>97</v>
      </c>
      <c r="K2" t="s">
        <v>98</v>
      </c>
      <c r="M2" t="s">
        <v>95</v>
      </c>
    </row>
    <row r="3" spans="1:13" x14ac:dyDescent="0.25">
      <c r="A3">
        <v>1</v>
      </c>
      <c r="B3">
        <v>3</v>
      </c>
      <c r="C3">
        <v>300</v>
      </c>
      <c r="D3" s="1">
        <v>50</v>
      </c>
      <c r="E3" s="6" t="s">
        <v>2</v>
      </c>
      <c r="F3" s="3">
        <v>50</v>
      </c>
      <c r="H3">
        <v>1</v>
      </c>
      <c r="I3">
        <f>SUMIF($A$3:$A$8, H3, $D$3:$D$8)</f>
        <v>80</v>
      </c>
      <c r="J3">
        <f>SUMIF($B$3:$B$8, H3, $D$3:$D$8)</f>
        <v>0</v>
      </c>
      <c r="K3" s="4">
        <f>I3-J3</f>
        <v>80</v>
      </c>
      <c r="L3" s="6" t="s">
        <v>2</v>
      </c>
      <c r="M3" s="3">
        <v>80</v>
      </c>
    </row>
    <row r="4" spans="1:13" x14ac:dyDescent="0.25">
      <c r="A4">
        <v>1</v>
      </c>
      <c r="B4">
        <v>4</v>
      </c>
      <c r="C4">
        <v>700</v>
      </c>
      <c r="D4" s="1">
        <v>30</v>
      </c>
      <c r="E4" s="6" t="s">
        <v>2</v>
      </c>
      <c r="F4" s="3">
        <f>1E+30</f>
        <v>1E+30</v>
      </c>
      <c r="H4">
        <v>2</v>
      </c>
      <c r="I4">
        <f t="shared" ref="I4:I7" si="0">SUMIF($A$3:$A$8, H4, $D$3:$D$8)</f>
        <v>70</v>
      </c>
      <c r="J4">
        <f t="shared" ref="J4:J7" si="1">SUMIF($B$3:$B$8, H4, $D$3:$D$8)</f>
        <v>0</v>
      </c>
      <c r="K4" s="4">
        <f t="shared" ref="K4:K7" si="2">I4-J4</f>
        <v>70</v>
      </c>
      <c r="L4" s="6" t="s">
        <v>2</v>
      </c>
      <c r="M4" s="3">
        <v>70</v>
      </c>
    </row>
    <row r="5" spans="1:13" x14ac:dyDescent="0.25">
      <c r="A5">
        <v>2</v>
      </c>
      <c r="B5">
        <v>3</v>
      </c>
      <c r="C5">
        <v>500</v>
      </c>
      <c r="D5" s="1">
        <v>30</v>
      </c>
      <c r="E5" s="6" t="s">
        <v>2</v>
      </c>
      <c r="F5" s="3">
        <v>50</v>
      </c>
      <c r="H5">
        <v>3</v>
      </c>
      <c r="I5">
        <f t="shared" si="0"/>
        <v>80</v>
      </c>
      <c r="J5">
        <f t="shared" si="1"/>
        <v>80</v>
      </c>
      <c r="K5" s="4">
        <f t="shared" si="2"/>
        <v>0</v>
      </c>
      <c r="L5" s="6" t="s">
        <v>2</v>
      </c>
      <c r="M5" s="3">
        <v>0</v>
      </c>
    </row>
    <row r="6" spans="1:13" x14ac:dyDescent="0.25">
      <c r="A6">
        <v>2</v>
      </c>
      <c r="B6">
        <v>5</v>
      </c>
      <c r="C6">
        <v>1000</v>
      </c>
      <c r="D6" s="1">
        <v>40</v>
      </c>
      <c r="E6" s="6" t="s">
        <v>2</v>
      </c>
      <c r="F6" s="3">
        <f>1E+30</f>
        <v>1E+30</v>
      </c>
      <c r="H6">
        <v>4</v>
      </c>
      <c r="I6">
        <f t="shared" si="0"/>
        <v>0</v>
      </c>
      <c r="J6">
        <f t="shared" si="1"/>
        <v>60</v>
      </c>
      <c r="K6" s="4">
        <f t="shared" si="2"/>
        <v>-60</v>
      </c>
      <c r="L6" s="6" t="s">
        <v>2</v>
      </c>
      <c r="M6" s="3">
        <v>-60</v>
      </c>
    </row>
    <row r="7" spans="1:13" x14ac:dyDescent="0.25">
      <c r="A7">
        <v>3</v>
      </c>
      <c r="B7">
        <v>4</v>
      </c>
      <c r="C7">
        <v>200</v>
      </c>
      <c r="D7" s="1">
        <v>30</v>
      </c>
      <c r="E7" s="6" t="s">
        <v>2</v>
      </c>
      <c r="F7" s="3">
        <v>50</v>
      </c>
      <c r="H7">
        <v>5</v>
      </c>
      <c r="I7">
        <f t="shared" si="0"/>
        <v>0</v>
      </c>
      <c r="J7">
        <f t="shared" si="1"/>
        <v>90</v>
      </c>
      <c r="K7" s="4">
        <f t="shared" si="2"/>
        <v>-90</v>
      </c>
      <c r="L7" s="6" t="s">
        <v>2</v>
      </c>
      <c r="M7" s="3">
        <v>-90</v>
      </c>
    </row>
    <row r="8" spans="1:13" x14ac:dyDescent="0.25">
      <c r="A8">
        <v>3</v>
      </c>
      <c r="B8">
        <v>5</v>
      </c>
      <c r="C8">
        <v>400</v>
      </c>
      <c r="D8" s="1">
        <v>50</v>
      </c>
      <c r="E8" s="6" t="s">
        <v>2</v>
      </c>
      <c r="F8" s="3">
        <v>50</v>
      </c>
      <c r="L8" s="6"/>
    </row>
    <row r="11" spans="1:13" x14ac:dyDescent="0.25">
      <c r="A11" t="s">
        <v>70</v>
      </c>
      <c r="B11" s="2">
        <f>SUMPRODUCT(D3:D8,C3:C8)</f>
        <v>117000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34E4-7D20-4A0E-A622-BD83CBE54980}">
  <dimension ref="A1:I28"/>
  <sheetViews>
    <sheetView zoomScaleNormal="100" workbookViewId="0">
      <selection activeCell="I34" sqref="I34"/>
    </sheetView>
  </sheetViews>
  <sheetFormatPr defaultRowHeight="15" x14ac:dyDescent="0.25"/>
  <cols>
    <col min="1" max="1" width="28.5703125" style="8" customWidth="1"/>
    <col min="2" max="2" width="13.140625" style="8" customWidth="1"/>
    <col min="3" max="7" width="9" style="8"/>
    <col min="8" max="8" width="12.85546875" style="8" bestFit="1" customWidth="1"/>
    <col min="9" max="9" width="19" style="8" bestFit="1" customWidth="1"/>
    <col min="10" max="243" width="9" style="8"/>
    <col min="244" max="244" width="26.5703125" style="8" customWidth="1"/>
    <col min="245" max="245" width="13.140625" style="8" customWidth="1"/>
    <col min="246" max="250" width="9" style="8"/>
    <col min="251" max="251" width="10.85546875" style="8" customWidth="1"/>
    <col min="252" max="252" width="23" style="8" bestFit="1" customWidth="1"/>
    <col min="253" max="253" width="10.5703125" style="8" customWidth="1"/>
    <col min="254" max="254" width="10.85546875" style="8" customWidth="1"/>
    <col min="255" max="499" width="9" style="8"/>
    <col min="500" max="500" width="26.5703125" style="8" customWidth="1"/>
    <col min="501" max="501" width="13.140625" style="8" customWidth="1"/>
    <col min="502" max="506" width="9" style="8"/>
    <col min="507" max="507" width="10.85546875" style="8" customWidth="1"/>
    <col min="508" max="508" width="23" style="8" bestFit="1" customWidth="1"/>
    <col min="509" max="509" width="10.5703125" style="8" customWidth="1"/>
    <col min="510" max="510" width="10.85546875" style="8" customWidth="1"/>
    <col min="511" max="755" width="9" style="8"/>
    <col min="756" max="756" width="26.5703125" style="8" customWidth="1"/>
    <col min="757" max="757" width="13.140625" style="8" customWidth="1"/>
    <col min="758" max="762" width="9" style="8"/>
    <col min="763" max="763" width="10.85546875" style="8" customWidth="1"/>
    <col min="764" max="764" width="23" style="8" bestFit="1" customWidth="1"/>
    <col min="765" max="765" width="10.5703125" style="8" customWidth="1"/>
    <col min="766" max="766" width="10.85546875" style="8" customWidth="1"/>
    <col min="767" max="1011" width="9" style="8"/>
    <col min="1012" max="1012" width="26.5703125" style="8" customWidth="1"/>
    <col min="1013" max="1013" width="13.140625" style="8" customWidth="1"/>
    <col min="1014" max="1018" width="9" style="8"/>
    <col min="1019" max="1019" width="10.85546875" style="8" customWidth="1"/>
    <col min="1020" max="1020" width="23" style="8" bestFit="1" customWidth="1"/>
    <col min="1021" max="1021" width="10.5703125" style="8" customWidth="1"/>
    <col min="1022" max="1022" width="10.85546875" style="8" customWidth="1"/>
    <col min="1023" max="1267" width="9" style="8"/>
    <col min="1268" max="1268" width="26.5703125" style="8" customWidth="1"/>
    <col min="1269" max="1269" width="13.140625" style="8" customWidth="1"/>
    <col min="1270" max="1274" width="9" style="8"/>
    <col min="1275" max="1275" width="10.85546875" style="8" customWidth="1"/>
    <col min="1276" max="1276" width="23" style="8" bestFit="1" customWidth="1"/>
    <col min="1277" max="1277" width="10.5703125" style="8" customWidth="1"/>
    <col min="1278" max="1278" width="10.85546875" style="8" customWidth="1"/>
    <col min="1279" max="1523" width="9" style="8"/>
    <col min="1524" max="1524" width="26.5703125" style="8" customWidth="1"/>
    <col min="1525" max="1525" width="13.140625" style="8" customWidth="1"/>
    <col min="1526" max="1530" width="9" style="8"/>
    <col min="1531" max="1531" width="10.85546875" style="8" customWidth="1"/>
    <col min="1532" max="1532" width="23" style="8" bestFit="1" customWidth="1"/>
    <col min="1533" max="1533" width="10.5703125" style="8" customWidth="1"/>
    <col min="1534" max="1534" width="10.85546875" style="8" customWidth="1"/>
    <col min="1535" max="1779" width="9" style="8"/>
    <col min="1780" max="1780" width="26.5703125" style="8" customWidth="1"/>
    <col min="1781" max="1781" width="13.140625" style="8" customWidth="1"/>
    <col min="1782" max="1786" width="9" style="8"/>
    <col min="1787" max="1787" width="10.85546875" style="8" customWidth="1"/>
    <col min="1788" max="1788" width="23" style="8" bestFit="1" customWidth="1"/>
    <col min="1789" max="1789" width="10.5703125" style="8" customWidth="1"/>
    <col min="1790" max="1790" width="10.85546875" style="8" customWidth="1"/>
    <col min="1791" max="2035" width="9" style="8"/>
    <col min="2036" max="2036" width="26.5703125" style="8" customWidth="1"/>
    <col min="2037" max="2037" width="13.140625" style="8" customWidth="1"/>
    <col min="2038" max="2042" width="9" style="8"/>
    <col min="2043" max="2043" width="10.85546875" style="8" customWidth="1"/>
    <col min="2044" max="2044" width="23" style="8" bestFit="1" customWidth="1"/>
    <col min="2045" max="2045" width="10.5703125" style="8" customWidth="1"/>
    <col min="2046" max="2046" width="10.85546875" style="8" customWidth="1"/>
    <col min="2047" max="2291" width="9" style="8"/>
    <col min="2292" max="2292" width="26.5703125" style="8" customWidth="1"/>
    <col min="2293" max="2293" width="13.140625" style="8" customWidth="1"/>
    <col min="2294" max="2298" width="9" style="8"/>
    <col min="2299" max="2299" width="10.85546875" style="8" customWidth="1"/>
    <col min="2300" max="2300" width="23" style="8" bestFit="1" customWidth="1"/>
    <col min="2301" max="2301" width="10.5703125" style="8" customWidth="1"/>
    <col min="2302" max="2302" width="10.85546875" style="8" customWidth="1"/>
    <col min="2303" max="2547" width="9" style="8"/>
    <col min="2548" max="2548" width="26.5703125" style="8" customWidth="1"/>
    <col min="2549" max="2549" width="13.140625" style="8" customWidth="1"/>
    <col min="2550" max="2554" width="9" style="8"/>
    <col min="2555" max="2555" width="10.85546875" style="8" customWidth="1"/>
    <col min="2556" max="2556" width="23" style="8" bestFit="1" customWidth="1"/>
    <col min="2557" max="2557" width="10.5703125" style="8" customWidth="1"/>
    <col min="2558" max="2558" width="10.85546875" style="8" customWidth="1"/>
    <col min="2559" max="2803" width="9" style="8"/>
    <col min="2804" max="2804" width="26.5703125" style="8" customWidth="1"/>
    <col min="2805" max="2805" width="13.140625" style="8" customWidth="1"/>
    <col min="2806" max="2810" width="9" style="8"/>
    <col min="2811" max="2811" width="10.85546875" style="8" customWidth="1"/>
    <col min="2812" max="2812" width="23" style="8" bestFit="1" customWidth="1"/>
    <col min="2813" max="2813" width="10.5703125" style="8" customWidth="1"/>
    <col min="2814" max="2814" width="10.85546875" style="8" customWidth="1"/>
    <col min="2815" max="3059" width="9" style="8"/>
    <col min="3060" max="3060" width="26.5703125" style="8" customWidth="1"/>
    <col min="3061" max="3061" width="13.140625" style="8" customWidth="1"/>
    <col min="3062" max="3066" width="9" style="8"/>
    <col min="3067" max="3067" width="10.85546875" style="8" customWidth="1"/>
    <col min="3068" max="3068" width="23" style="8" bestFit="1" customWidth="1"/>
    <col min="3069" max="3069" width="10.5703125" style="8" customWidth="1"/>
    <col min="3070" max="3070" width="10.85546875" style="8" customWidth="1"/>
    <col min="3071" max="3315" width="9" style="8"/>
    <col min="3316" max="3316" width="26.5703125" style="8" customWidth="1"/>
    <col min="3317" max="3317" width="13.140625" style="8" customWidth="1"/>
    <col min="3318" max="3322" width="9" style="8"/>
    <col min="3323" max="3323" width="10.85546875" style="8" customWidth="1"/>
    <col min="3324" max="3324" width="23" style="8" bestFit="1" customWidth="1"/>
    <col min="3325" max="3325" width="10.5703125" style="8" customWidth="1"/>
    <col min="3326" max="3326" width="10.85546875" style="8" customWidth="1"/>
    <col min="3327" max="3571" width="9" style="8"/>
    <col min="3572" max="3572" width="26.5703125" style="8" customWidth="1"/>
    <col min="3573" max="3573" width="13.140625" style="8" customWidth="1"/>
    <col min="3574" max="3578" width="9" style="8"/>
    <col min="3579" max="3579" width="10.85546875" style="8" customWidth="1"/>
    <col min="3580" max="3580" width="23" style="8" bestFit="1" customWidth="1"/>
    <col min="3581" max="3581" width="10.5703125" style="8" customWidth="1"/>
    <col min="3582" max="3582" width="10.85546875" style="8" customWidth="1"/>
    <col min="3583" max="3827" width="9" style="8"/>
    <col min="3828" max="3828" width="26.5703125" style="8" customWidth="1"/>
    <col min="3829" max="3829" width="13.140625" style="8" customWidth="1"/>
    <col min="3830" max="3834" width="9" style="8"/>
    <col min="3835" max="3835" width="10.85546875" style="8" customWidth="1"/>
    <col min="3836" max="3836" width="23" style="8" bestFit="1" customWidth="1"/>
    <col min="3837" max="3837" width="10.5703125" style="8" customWidth="1"/>
    <col min="3838" max="3838" width="10.85546875" style="8" customWidth="1"/>
    <col min="3839" max="4083" width="9" style="8"/>
    <col min="4084" max="4084" width="26.5703125" style="8" customWidth="1"/>
    <col min="4085" max="4085" width="13.140625" style="8" customWidth="1"/>
    <col min="4086" max="4090" width="9" style="8"/>
    <col min="4091" max="4091" width="10.85546875" style="8" customWidth="1"/>
    <col min="4092" max="4092" width="23" style="8" bestFit="1" customWidth="1"/>
    <col min="4093" max="4093" width="10.5703125" style="8" customWidth="1"/>
    <col min="4094" max="4094" width="10.85546875" style="8" customWidth="1"/>
    <col min="4095" max="4339" width="9" style="8"/>
    <col min="4340" max="4340" width="26.5703125" style="8" customWidth="1"/>
    <col min="4341" max="4341" width="13.140625" style="8" customWidth="1"/>
    <col min="4342" max="4346" width="9" style="8"/>
    <col min="4347" max="4347" width="10.85546875" style="8" customWidth="1"/>
    <col min="4348" max="4348" width="23" style="8" bestFit="1" customWidth="1"/>
    <col min="4349" max="4349" width="10.5703125" style="8" customWidth="1"/>
    <col min="4350" max="4350" width="10.85546875" style="8" customWidth="1"/>
    <col min="4351" max="4595" width="9" style="8"/>
    <col min="4596" max="4596" width="26.5703125" style="8" customWidth="1"/>
    <col min="4597" max="4597" width="13.140625" style="8" customWidth="1"/>
    <col min="4598" max="4602" width="9" style="8"/>
    <col min="4603" max="4603" width="10.85546875" style="8" customWidth="1"/>
    <col min="4604" max="4604" width="23" style="8" bestFit="1" customWidth="1"/>
    <col min="4605" max="4605" width="10.5703125" style="8" customWidth="1"/>
    <col min="4606" max="4606" width="10.85546875" style="8" customWidth="1"/>
    <col min="4607" max="4851" width="9" style="8"/>
    <col min="4852" max="4852" width="26.5703125" style="8" customWidth="1"/>
    <col min="4853" max="4853" width="13.140625" style="8" customWidth="1"/>
    <col min="4854" max="4858" width="9" style="8"/>
    <col min="4859" max="4859" width="10.85546875" style="8" customWidth="1"/>
    <col min="4860" max="4860" width="23" style="8" bestFit="1" customWidth="1"/>
    <col min="4861" max="4861" width="10.5703125" style="8" customWidth="1"/>
    <col min="4862" max="4862" width="10.85546875" style="8" customWidth="1"/>
    <col min="4863" max="5107" width="9" style="8"/>
    <col min="5108" max="5108" width="26.5703125" style="8" customWidth="1"/>
    <col min="5109" max="5109" width="13.140625" style="8" customWidth="1"/>
    <col min="5110" max="5114" width="9" style="8"/>
    <col min="5115" max="5115" width="10.85546875" style="8" customWidth="1"/>
    <col min="5116" max="5116" width="23" style="8" bestFit="1" customWidth="1"/>
    <col min="5117" max="5117" width="10.5703125" style="8" customWidth="1"/>
    <col min="5118" max="5118" width="10.85546875" style="8" customWidth="1"/>
    <col min="5119" max="5363" width="9" style="8"/>
    <col min="5364" max="5364" width="26.5703125" style="8" customWidth="1"/>
    <col min="5365" max="5365" width="13.140625" style="8" customWidth="1"/>
    <col min="5366" max="5370" width="9" style="8"/>
    <col min="5371" max="5371" width="10.85546875" style="8" customWidth="1"/>
    <col min="5372" max="5372" width="23" style="8" bestFit="1" customWidth="1"/>
    <col min="5373" max="5373" width="10.5703125" style="8" customWidth="1"/>
    <col min="5374" max="5374" width="10.85546875" style="8" customWidth="1"/>
    <col min="5375" max="5619" width="9" style="8"/>
    <col min="5620" max="5620" width="26.5703125" style="8" customWidth="1"/>
    <col min="5621" max="5621" width="13.140625" style="8" customWidth="1"/>
    <col min="5622" max="5626" width="9" style="8"/>
    <col min="5627" max="5627" width="10.85546875" style="8" customWidth="1"/>
    <col min="5628" max="5628" width="23" style="8" bestFit="1" customWidth="1"/>
    <col min="5629" max="5629" width="10.5703125" style="8" customWidth="1"/>
    <col min="5630" max="5630" width="10.85546875" style="8" customWidth="1"/>
    <col min="5631" max="5875" width="9" style="8"/>
    <col min="5876" max="5876" width="26.5703125" style="8" customWidth="1"/>
    <col min="5877" max="5877" width="13.140625" style="8" customWidth="1"/>
    <col min="5878" max="5882" width="9" style="8"/>
    <col min="5883" max="5883" width="10.85546875" style="8" customWidth="1"/>
    <col min="5884" max="5884" width="23" style="8" bestFit="1" customWidth="1"/>
    <col min="5885" max="5885" width="10.5703125" style="8" customWidth="1"/>
    <col min="5886" max="5886" width="10.85546875" style="8" customWidth="1"/>
    <col min="5887" max="6131" width="9" style="8"/>
    <col min="6132" max="6132" width="26.5703125" style="8" customWidth="1"/>
    <col min="6133" max="6133" width="13.140625" style="8" customWidth="1"/>
    <col min="6134" max="6138" width="9" style="8"/>
    <col min="6139" max="6139" width="10.85546875" style="8" customWidth="1"/>
    <col min="6140" max="6140" width="23" style="8" bestFit="1" customWidth="1"/>
    <col min="6141" max="6141" width="10.5703125" style="8" customWidth="1"/>
    <col min="6142" max="6142" width="10.85546875" style="8" customWidth="1"/>
    <col min="6143" max="6387" width="9" style="8"/>
    <col min="6388" max="6388" width="26.5703125" style="8" customWidth="1"/>
    <col min="6389" max="6389" width="13.140625" style="8" customWidth="1"/>
    <col min="6390" max="6394" width="9" style="8"/>
    <col min="6395" max="6395" width="10.85546875" style="8" customWidth="1"/>
    <col min="6396" max="6396" width="23" style="8" bestFit="1" customWidth="1"/>
    <col min="6397" max="6397" width="10.5703125" style="8" customWidth="1"/>
    <col min="6398" max="6398" width="10.85546875" style="8" customWidth="1"/>
    <col min="6399" max="6643" width="9" style="8"/>
    <col min="6644" max="6644" width="26.5703125" style="8" customWidth="1"/>
    <col min="6645" max="6645" width="13.140625" style="8" customWidth="1"/>
    <col min="6646" max="6650" width="9" style="8"/>
    <col min="6651" max="6651" width="10.85546875" style="8" customWidth="1"/>
    <col min="6652" max="6652" width="23" style="8" bestFit="1" customWidth="1"/>
    <col min="6653" max="6653" width="10.5703125" style="8" customWidth="1"/>
    <col min="6654" max="6654" width="10.85546875" style="8" customWidth="1"/>
    <col min="6655" max="6899" width="9" style="8"/>
    <col min="6900" max="6900" width="26.5703125" style="8" customWidth="1"/>
    <col min="6901" max="6901" width="13.140625" style="8" customWidth="1"/>
    <col min="6902" max="6906" width="9" style="8"/>
    <col min="6907" max="6907" width="10.85546875" style="8" customWidth="1"/>
    <col min="6908" max="6908" width="23" style="8" bestFit="1" customWidth="1"/>
    <col min="6909" max="6909" width="10.5703125" style="8" customWidth="1"/>
    <col min="6910" max="6910" width="10.85546875" style="8" customWidth="1"/>
    <col min="6911" max="7155" width="9" style="8"/>
    <col min="7156" max="7156" width="26.5703125" style="8" customWidth="1"/>
    <col min="7157" max="7157" width="13.140625" style="8" customWidth="1"/>
    <col min="7158" max="7162" width="9" style="8"/>
    <col min="7163" max="7163" width="10.85546875" style="8" customWidth="1"/>
    <col min="7164" max="7164" width="23" style="8" bestFit="1" customWidth="1"/>
    <col min="7165" max="7165" width="10.5703125" style="8" customWidth="1"/>
    <col min="7166" max="7166" width="10.85546875" style="8" customWidth="1"/>
    <col min="7167" max="7411" width="9" style="8"/>
    <col min="7412" max="7412" width="26.5703125" style="8" customWidth="1"/>
    <col min="7413" max="7413" width="13.140625" style="8" customWidth="1"/>
    <col min="7414" max="7418" width="9" style="8"/>
    <col min="7419" max="7419" width="10.85546875" style="8" customWidth="1"/>
    <col min="7420" max="7420" width="23" style="8" bestFit="1" customWidth="1"/>
    <col min="7421" max="7421" width="10.5703125" style="8" customWidth="1"/>
    <col min="7422" max="7422" width="10.85546875" style="8" customWidth="1"/>
    <col min="7423" max="7667" width="9" style="8"/>
    <col min="7668" max="7668" width="26.5703125" style="8" customWidth="1"/>
    <col min="7669" max="7669" width="13.140625" style="8" customWidth="1"/>
    <col min="7670" max="7674" width="9" style="8"/>
    <col min="7675" max="7675" width="10.85546875" style="8" customWidth="1"/>
    <col min="7676" max="7676" width="23" style="8" bestFit="1" customWidth="1"/>
    <col min="7677" max="7677" width="10.5703125" style="8" customWidth="1"/>
    <col min="7678" max="7678" width="10.85546875" style="8" customWidth="1"/>
    <col min="7679" max="7923" width="9" style="8"/>
    <col min="7924" max="7924" width="26.5703125" style="8" customWidth="1"/>
    <col min="7925" max="7925" width="13.140625" style="8" customWidth="1"/>
    <col min="7926" max="7930" width="9" style="8"/>
    <col min="7931" max="7931" width="10.85546875" style="8" customWidth="1"/>
    <col min="7932" max="7932" width="23" style="8" bestFit="1" customWidth="1"/>
    <col min="7933" max="7933" width="10.5703125" style="8" customWidth="1"/>
    <col min="7934" max="7934" width="10.85546875" style="8" customWidth="1"/>
    <col min="7935" max="8179" width="9" style="8"/>
    <col min="8180" max="8180" width="26.5703125" style="8" customWidth="1"/>
    <col min="8181" max="8181" width="13.140625" style="8" customWidth="1"/>
    <col min="8182" max="8186" width="9" style="8"/>
    <col min="8187" max="8187" width="10.85546875" style="8" customWidth="1"/>
    <col min="8188" max="8188" width="23" style="8" bestFit="1" customWidth="1"/>
    <col min="8189" max="8189" width="10.5703125" style="8" customWidth="1"/>
    <col min="8190" max="8190" width="10.85546875" style="8" customWidth="1"/>
    <col min="8191" max="8435" width="9" style="8"/>
    <col min="8436" max="8436" width="26.5703125" style="8" customWidth="1"/>
    <col min="8437" max="8437" width="13.140625" style="8" customWidth="1"/>
    <col min="8438" max="8442" width="9" style="8"/>
    <col min="8443" max="8443" width="10.85546875" style="8" customWidth="1"/>
    <col min="8444" max="8444" width="23" style="8" bestFit="1" customWidth="1"/>
    <col min="8445" max="8445" width="10.5703125" style="8" customWidth="1"/>
    <col min="8446" max="8446" width="10.85546875" style="8" customWidth="1"/>
    <col min="8447" max="8691" width="9" style="8"/>
    <col min="8692" max="8692" width="26.5703125" style="8" customWidth="1"/>
    <col min="8693" max="8693" width="13.140625" style="8" customWidth="1"/>
    <col min="8694" max="8698" width="9" style="8"/>
    <col min="8699" max="8699" width="10.85546875" style="8" customWidth="1"/>
    <col min="8700" max="8700" width="23" style="8" bestFit="1" customWidth="1"/>
    <col min="8701" max="8701" width="10.5703125" style="8" customWidth="1"/>
    <col min="8702" max="8702" width="10.85546875" style="8" customWidth="1"/>
    <col min="8703" max="8947" width="9" style="8"/>
    <col min="8948" max="8948" width="26.5703125" style="8" customWidth="1"/>
    <col min="8949" max="8949" width="13.140625" style="8" customWidth="1"/>
    <col min="8950" max="8954" width="9" style="8"/>
    <col min="8955" max="8955" width="10.85546875" style="8" customWidth="1"/>
    <col min="8956" max="8956" width="23" style="8" bestFit="1" customWidth="1"/>
    <col min="8957" max="8957" width="10.5703125" style="8" customWidth="1"/>
    <col min="8958" max="8958" width="10.85546875" style="8" customWidth="1"/>
    <col min="8959" max="9203" width="9" style="8"/>
    <col min="9204" max="9204" width="26.5703125" style="8" customWidth="1"/>
    <col min="9205" max="9205" width="13.140625" style="8" customWidth="1"/>
    <col min="9206" max="9210" width="9" style="8"/>
    <col min="9211" max="9211" width="10.85546875" style="8" customWidth="1"/>
    <col min="9212" max="9212" width="23" style="8" bestFit="1" customWidth="1"/>
    <col min="9213" max="9213" width="10.5703125" style="8" customWidth="1"/>
    <col min="9214" max="9214" width="10.85546875" style="8" customWidth="1"/>
    <col min="9215" max="9459" width="9" style="8"/>
    <col min="9460" max="9460" width="26.5703125" style="8" customWidth="1"/>
    <col min="9461" max="9461" width="13.140625" style="8" customWidth="1"/>
    <col min="9462" max="9466" width="9" style="8"/>
    <col min="9467" max="9467" width="10.85546875" style="8" customWidth="1"/>
    <col min="9468" max="9468" width="23" style="8" bestFit="1" customWidth="1"/>
    <col min="9469" max="9469" width="10.5703125" style="8" customWidth="1"/>
    <col min="9470" max="9470" width="10.85546875" style="8" customWidth="1"/>
    <col min="9471" max="9715" width="9" style="8"/>
    <col min="9716" max="9716" width="26.5703125" style="8" customWidth="1"/>
    <col min="9717" max="9717" width="13.140625" style="8" customWidth="1"/>
    <col min="9718" max="9722" width="9" style="8"/>
    <col min="9723" max="9723" width="10.85546875" style="8" customWidth="1"/>
    <col min="9724" max="9724" width="23" style="8" bestFit="1" customWidth="1"/>
    <col min="9725" max="9725" width="10.5703125" style="8" customWidth="1"/>
    <col min="9726" max="9726" width="10.85546875" style="8" customWidth="1"/>
    <col min="9727" max="9971" width="9" style="8"/>
    <col min="9972" max="9972" width="26.5703125" style="8" customWidth="1"/>
    <col min="9973" max="9973" width="13.140625" style="8" customWidth="1"/>
    <col min="9974" max="9978" width="9" style="8"/>
    <col min="9979" max="9979" width="10.85546875" style="8" customWidth="1"/>
    <col min="9980" max="9980" width="23" style="8" bestFit="1" customWidth="1"/>
    <col min="9981" max="9981" width="10.5703125" style="8" customWidth="1"/>
    <col min="9982" max="9982" width="10.85546875" style="8" customWidth="1"/>
    <col min="9983" max="10227" width="9" style="8"/>
    <col min="10228" max="10228" width="26.5703125" style="8" customWidth="1"/>
    <col min="10229" max="10229" width="13.140625" style="8" customWidth="1"/>
    <col min="10230" max="10234" width="9" style="8"/>
    <col min="10235" max="10235" width="10.85546875" style="8" customWidth="1"/>
    <col min="10236" max="10236" width="23" style="8" bestFit="1" customWidth="1"/>
    <col min="10237" max="10237" width="10.5703125" style="8" customWidth="1"/>
    <col min="10238" max="10238" width="10.85546875" style="8" customWidth="1"/>
    <col min="10239" max="10483" width="9" style="8"/>
    <col min="10484" max="10484" width="26.5703125" style="8" customWidth="1"/>
    <col min="10485" max="10485" width="13.140625" style="8" customWidth="1"/>
    <col min="10486" max="10490" width="9" style="8"/>
    <col min="10491" max="10491" width="10.85546875" style="8" customWidth="1"/>
    <col min="10492" max="10492" width="23" style="8" bestFit="1" customWidth="1"/>
    <col min="10493" max="10493" width="10.5703125" style="8" customWidth="1"/>
    <col min="10494" max="10494" width="10.85546875" style="8" customWidth="1"/>
    <col min="10495" max="10739" width="9" style="8"/>
    <col min="10740" max="10740" width="26.5703125" style="8" customWidth="1"/>
    <col min="10741" max="10741" width="13.140625" style="8" customWidth="1"/>
    <col min="10742" max="10746" width="9" style="8"/>
    <col min="10747" max="10747" width="10.85546875" style="8" customWidth="1"/>
    <col min="10748" max="10748" width="23" style="8" bestFit="1" customWidth="1"/>
    <col min="10749" max="10749" width="10.5703125" style="8" customWidth="1"/>
    <col min="10750" max="10750" width="10.85546875" style="8" customWidth="1"/>
    <col min="10751" max="10995" width="9" style="8"/>
    <col min="10996" max="10996" width="26.5703125" style="8" customWidth="1"/>
    <col min="10997" max="10997" width="13.140625" style="8" customWidth="1"/>
    <col min="10998" max="11002" width="9" style="8"/>
    <col min="11003" max="11003" width="10.85546875" style="8" customWidth="1"/>
    <col min="11004" max="11004" width="23" style="8" bestFit="1" customWidth="1"/>
    <col min="11005" max="11005" width="10.5703125" style="8" customWidth="1"/>
    <col min="11006" max="11006" width="10.85546875" style="8" customWidth="1"/>
    <col min="11007" max="11251" width="9" style="8"/>
    <col min="11252" max="11252" width="26.5703125" style="8" customWidth="1"/>
    <col min="11253" max="11253" width="13.140625" style="8" customWidth="1"/>
    <col min="11254" max="11258" width="9" style="8"/>
    <col min="11259" max="11259" width="10.85546875" style="8" customWidth="1"/>
    <col min="11260" max="11260" width="23" style="8" bestFit="1" customWidth="1"/>
    <col min="11261" max="11261" width="10.5703125" style="8" customWidth="1"/>
    <col min="11262" max="11262" width="10.85546875" style="8" customWidth="1"/>
    <col min="11263" max="11507" width="9" style="8"/>
    <col min="11508" max="11508" width="26.5703125" style="8" customWidth="1"/>
    <col min="11509" max="11509" width="13.140625" style="8" customWidth="1"/>
    <col min="11510" max="11514" width="9" style="8"/>
    <col min="11515" max="11515" width="10.85546875" style="8" customWidth="1"/>
    <col min="11516" max="11516" width="23" style="8" bestFit="1" customWidth="1"/>
    <col min="11517" max="11517" width="10.5703125" style="8" customWidth="1"/>
    <col min="11518" max="11518" width="10.85546875" style="8" customWidth="1"/>
    <col min="11519" max="11763" width="9" style="8"/>
    <col min="11764" max="11764" width="26.5703125" style="8" customWidth="1"/>
    <col min="11765" max="11765" width="13.140625" style="8" customWidth="1"/>
    <col min="11766" max="11770" width="9" style="8"/>
    <col min="11771" max="11771" width="10.85546875" style="8" customWidth="1"/>
    <col min="11772" max="11772" width="23" style="8" bestFit="1" customWidth="1"/>
    <col min="11773" max="11773" width="10.5703125" style="8" customWidth="1"/>
    <col min="11774" max="11774" width="10.85546875" style="8" customWidth="1"/>
    <col min="11775" max="12019" width="9" style="8"/>
    <col min="12020" max="12020" width="26.5703125" style="8" customWidth="1"/>
    <col min="12021" max="12021" width="13.140625" style="8" customWidth="1"/>
    <col min="12022" max="12026" width="9" style="8"/>
    <col min="12027" max="12027" width="10.85546875" style="8" customWidth="1"/>
    <col min="12028" max="12028" width="23" style="8" bestFit="1" customWidth="1"/>
    <col min="12029" max="12029" width="10.5703125" style="8" customWidth="1"/>
    <col min="12030" max="12030" width="10.85546875" style="8" customWidth="1"/>
    <col min="12031" max="12275" width="9" style="8"/>
    <col min="12276" max="12276" width="26.5703125" style="8" customWidth="1"/>
    <col min="12277" max="12277" width="13.140625" style="8" customWidth="1"/>
    <col min="12278" max="12282" width="9" style="8"/>
    <col min="12283" max="12283" width="10.85546875" style="8" customWidth="1"/>
    <col min="12284" max="12284" width="23" style="8" bestFit="1" customWidth="1"/>
    <col min="12285" max="12285" width="10.5703125" style="8" customWidth="1"/>
    <col min="12286" max="12286" width="10.85546875" style="8" customWidth="1"/>
    <col min="12287" max="12531" width="9" style="8"/>
    <col min="12532" max="12532" width="26.5703125" style="8" customWidth="1"/>
    <col min="12533" max="12533" width="13.140625" style="8" customWidth="1"/>
    <col min="12534" max="12538" width="9" style="8"/>
    <col min="12539" max="12539" width="10.85546875" style="8" customWidth="1"/>
    <col min="12540" max="12540" width="23" style="8" bestFit="1" customWidth="1"/>
    <col min="12541" max="12541" width="10.5703125" style="8" customWidth="1"/>
    <col min="12542" max="12542" width="10.85546875" style="8" customWidth="1"/>
    <col min="12543" max="12787" width="9" style="8"/>
    <col min="12788" max="12788" width="26.5703125" style="8" customWidth="1"/>
    <col min="12789" max="12789" width="13.140625" style="8" customWidth="1"/>
    <col min="12790" max="12794" width="9" style="8"/>
    <col min="12795" max="12795" width="10.85546875" style="8" customWidth="1"/>
    <col min="12796" max="12796" width="23" style="8" bestFit="1" customWidth="1"/>
    <col min="12797" max="12797" width="10.5703125" style="8" customWidth="1"/>
    <col min="12798" max="12798" width="10.85546875" style="8" customWidth="1"/>
    <col min="12799" max="13043" width="9" style="8"/>
    <col min="13044" max="13044" width="26.5703125" style="8" customWidth="1"/>
    <col min="13045" max="13045" width="13.140625" style="8" customWidth="1"/>
    <col min="13046" max="13050" width="9" style="8"/>
    <col min="13051" max="13051" width="10.85546875" style="8" customWidth="1"/>
    <col min="13052" max="13052" width="23" style="8" bestFit="1" customWidth="1"/>
    <col min="13053" max="13053" width="10.5703125" style="8" customWidth="1"/>
    <col min="13054" max="13054" width="10.85546875" style="8" customWidth="1"/>
    <col min="13055" max="13299" width="9" style="8"/>
    <col min="13300" max="13300" width="26.5703125" style="8" customWidth="1"/>
    <col min="13301" max="13301" width="13.140625" style="8" customWidth="1"/>
    <col min="13302" max="13306" width="9" style="8"/>
    <col min="13307" max="13307" width="10.85546875" style="8" customWidth="1"/>
    <col min="13308" max="13308" width="23" style="8" bestFit="1" customWidth="1"/>
    <col min="13309" max="13309" width="10.5703125" style="8" customWidth="1"/>
    <col min="13310" max="13310" width="10.85546875" style="8" customWidth="1"/>
    <col min="13311" max="13555" width="9" style="8"/>
    <col min="13556" max="13556" width="26.5703125" style="8" customWidth="1"/>
    <col min="13557" max="13557" width="13.140625" style="8" customWidth="1"/>
    <col min="13558" max="13562" width="9" style="8"/>
    <col min="13563" max="13563" width="10.85546875" style="8" customWidth="1"/>
    <col min="13564" max="13564" width="23" style="8" bestFit="1" customWidth="1"/>
    <col min="13565" max="13565" width="10.5703125" style="8" customWidth="1"/>
    <col min="13566" max="13566" width="10.85546875" style="8" customWidth="1"/>
    <col min="13567" max="13811" width="9" style="8"/>
    <col min="13812" max="13812" width="26.5703125" style="8" customWidth="1"/>
    <col min="13813" max="13813" width="13.140625" style="8" customWidth="1"/>
    <col min="13814" max="13818" width="9" style="8"/>
    <col min="13819" max="13819" width="10.85546875" style="8" customWidth="1"/>
    <col min="13820" max="13820" width="23" style="8" bestFit="1" customWidth="1"/>
    <col min="13821" max="13821" width="10.5703125" style="8" customWidth="1"/>
    <col min="13822" max="13822" width="10.85546875" style="8" customWidth="1"/>
    <col min="13823" max="14067" width="9" style="8"/>
    <col min="14068" max="14068" width="26.5703125" style="8" customWidth="1"/>
    <col min="14069" max="14069" width="13.140625" style="8" customWidth="1"/>
    <col min="14070" max="14074" width="9" style="8"/>
    <col min="14075" max="14075" width="10.85546875" style="8" customWidth="1"/>
    <col min="14076" max="14076" width="23" style="8" bestFit="1" customWidth="1"/>
    <col min="14077" max="14077" width="10.5703125" style="8" customWidth="1"/>
    <col min="14078" max="14078" width="10.85546875" style="8" customWidth="1"/>
    <col min="14079" max="14323" width="9" style="8"/>
    <col min="14324" max="14324" width="26.5703125" style="8" customWidth="1"/>
    <col min="14325" max="14325" width="13.140625" style="8" customWidth="1"/>
    <col min="14326" max="14330" width="9" style="8"/>
    <col min="14331" max="14331" width="10.85546875" style="8" customWidth="1"/>
    <col min="14332" max="14332" width="23" style="8" bestFit="1" customWidth="1"/>
    <col min="14333" max="14333" width="10.5703125" style="8" customWidth="1"/>
    <col min="14334" max="14334" width="10.85546875" style="8" customWidth="1"/>
    <col min="14335" max="14579" width="9" style="8"/>
    <col min="14580" max="14580" width="26.5703125" style="8" customWidth="1"/>
    <col min="14581" max="14581" width="13.140625" style="8" customWidth="1"/>
    <col min="14582" max="14586" width="9" style="8"/>
    <col min="14587" max="14587" width="10.85546875" style="8" customWidth="1"/>
    <col min="14588" max="14588" width="23" style="8" bestFit="1" customWidth="1"/>
    <col min="14589" max="14589" width="10.5703125" style="8" customWidth="1"/>
    <col min="14590" max="14590" width="10.85546875" style="8" customWidth="1"/>
    <col min="14591" max="14835" width="9" style="8"/>
    <col min="14836" max="14836" width="26.5703125" style="8" customWidth="1"/>
    <col min="14837" max="14837" width="13.140625" style="8" customWidth="1"/>
    <col min="14838" max="14842" width="9" style="8"/>
    <col min="14843" max="14843" width="10.85546875" style="8" customWidth="1"/>
    <col min="14844" max="14844" width="23" style="8" bestFit="1" customWidth="1"/>
    <col min="14845" max="14845" width="10.5703125" style="8" customWidth="1"/>
    <col min="14846" max="14846" width="10.85546875" style="8" customWidth="1"/>
    <col min="14847" max="15091" width="9" style="8"/>
    <col min="15092" max="15092" width="26.5703125" style="8" customWidth="1"/>
    <col min="15093" max="15093" width="13.140625" style="8" customWidth="1"/>
    <col min="15094" max="15098" width="9" style="8"/>
    <col min="15099" max="15099" width="10.85546875" style="8" customWidth="1"/>
    <col min="15100" max="15100" width="23" style="8" bestFit="1" customWidth="1"/>
    <col min="15101" max="15101" width="10.5703125" style="8" customWidth="1"/>
    <col min="15102" max="15102" width="10.85546875" style="8" customWidth="1"/>
    <col min="15103" max="15347" width="9" style="8"/>
    <col min="15348" max="15348" width="26.5703125" style="8" customWidth="1"/>
    <col min="15349" max="15349" width="13.140625" style="8" customWidth="1"/>
    <col min="15350" max="15354" width="9" style="8"/>
    <col min="15355" max="15355" width="10.85546875" style="8" customWidth="1"/>
    <col min="15356" max="15356" width="23" style="8" bestFit="1" customWidth="1"/>
    <col min="15357" max="15357" width="10.5703125" style="8" customWidth="1"/>
    <col min="15358" max="15358" width="10.85546875" style="8" customWidth="1"/>
    <col min="15359" max="15603" width="9" style="8"/>
    <col min="15604" max="15604" width="26.5703125" style="8" customWidth="1"/>
    <col min="15605" max="15605" width="13.140625" style="8" customWidth="1"/>
    <col min="15606" max="15610" width="9" style="8"/>
    <col min="15611" max="15611" width="10.85546875" style="8" customWidth="1"/>
    <col min="15612" max="15612" width="23" style="8" bestFit="1" customWidth="1"/>
    <col min="15613" max="15613" width="10.5703125" style="8" customWidth="1"/>
    <col min="15614" max="15614" width="10.85546875" style="8" customWidth="1"/>
    <col min="15615" max="15859" width="9" style="8"/>
    <col min="15860" max="15860" width="26.5703125" style="8" customWidth="1"/>
    <col min="15861" max="15861" width="13.140625" style="8" customWidth="1"/>
    <col min="15862" max="15866" width="9" style="8"/>
    <col min="15867" max="15867" width="10.85546875" style="8" customWidth="1"/>
    <col min="15868" max="15868" width="23" style="8" bestFit="1" customWidth="1"/>
    <col min="15869" max="15869" width="10.5703125" style="8" customWidth="1"/>
    <col min="15870" max="15870" width="10.85546875" style="8" customWidth="1"/>
    <col min="15871" max="16115" width="9" style="8"/>
    <col min="16116" max="16116" width="26.5703125" style="8" customWidth="1"/>
    <col min="16117" max="16117" width="13.140625" style="8" customWidth="1"/>
    <col min="16118" max="16122" width="9" style="8"/>
    <col min="16123" max="16123" width="10.85546875" style="8" customWidth="1"/>
    <col min="16124" max="16124" width="23" style="8" bestFit="1" customWidth="1"/>
    <col min="16125" max="16125" width="10.5703125" style="8" customWidth="1"/>
    <col min="16126" max="16126" width="10.85546875" style="8" customWidth="1"/>
    <col min="16127" max="16384" width="9" style="8"/>
  </cols>
  <sheetData>
    <row r="1" spans="1:9" x14ac:dyDescent="0.25">
      <c r="A1" s="7" t="s">
        <v>99</v>
      </c>
    </row>
    <row r="3" spans="1:9" x14ac:dyDescent="0.25">
      <c r="A3" s="7" t="s">
        <v>100</v>
      </c>
      <c r="E3" s="9"/>
    </row>
    <row r="4" spans="1:9" x14ac:dyDescent="0.25">
      <c r="A4" s="8" t="s">
        <v>101</v>
      </c>
      <c r="B4" s="10">
        <v>5000</v>
      </c>
    </row>
    <row r="5" spans="1:9" x14ac:dyDescent="0.25">
      <c r="A5" s="8" t="s">
        <v>102</v>
      </c>
      <c r="B5" s="11">
        <v>0.05</v>
      </c>
    </row>
    <row r="7" spans="1:9" x14ac:dyDescent="0.25">
      <c r="A7" s="8" t="s">
        <v>103</v>
      </c>
      <c r="B7" s="12">
        <v>1</v>
      </c>
      <c r="C7" s="12">
        <v>2</v>
      </c>
      <c r="D7" s="12">
        <v>3</v>
      </c>
      <c r="E7" s="12">
        <v>4</v>
      </c>
      <c r="F7" s="12">
        <v>5</v>
      </c>
      <c r="G7" s="12">
        <v>6</v>
      </c>
      <c r="H7" s="13"/>
    </row>
    <row r="8" spans="1:9" x14ac:dyDescent="0.25">
      <c r="A8" s="14" t="s">
        <v>104</v>
      </c>
      <c r="B8" s="15">
        <v>12.5</v>
      </c>
      <c r="C8" s="15">
        <v>12.55</v>
      </c>
      <c r="D8" s="15">
        <v>12.7</v>
      </c>
      <c r="E8" s="15">
        <v>12.8</v>
      </c>
      <c r="F8" s="15">
        <v>12.85</v>
      </c>
      <c r="G8" s="15">
        <v>12.95</v>
      </c>
    </row>
    <row r="9" spans="1:9" x14ac:dyDescent="0.25">
      <c r="A9" s="14" t="s">
        <v>105</v>
      </c>
      <c r="B9" s="16">
        <f>B8* $B$5</f>
        <v>0.625</v>
      </c>
      <c r="C9" s="16">
        <f t="shared" ref="C9:G9" si="0">C8* $B$5</f>
        <v>0.62750000000000006</v>
      </c>
      <c r="D9" s="16">
        <f t="shared" si="0"/>
        <v>0.63500000000000001</v>
      </c>
      <c r="E9" s="16">
        <f t="shared" si="0"/>
        <v>0.64000000000000012</v>
      </c>
      <c r="F9" s="16">
        <f t="shared" si="0"/>
        <v>0.64250000000000007</v>
      </c>
      <c r="G9" s="16">
        <f t="shared" si="0"/>
        <v>0.64749999999999996</v>
      </c>
    </row>
    <row r="10" spans="1:9" x14ac:dyDescent="0.25">
      <c r="A10" s="17" t="s">
        <v>106</v>
      </c>
    </row>
    <row r="11" spans="1:9" x14ac:dyDescent="0.25">
      <c r="A11" s="8" t="s">
        <v>103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  <c r="G11" s="12">
        <v>6</v>
      </c>
    </row>
    <row r="12" spans="1:9" x14ac:dyDescent="0.25">
      <c r="A12" s="8" t="s">
        <v>107</v>
      </c>
      <c r="B12" s="18">
        <v>5000</v>
      </c>
      <c r="C12" s="18">
        <v>20000</v>
      </c>
      <c r="D12" s="18">
        <v>30000</v>
      </c>
      <c r="E12" s="18">
        <v>30000</v>
      </c>
      <c r="F12" s="18">
        <v>25000</v>
      </c>
      <c r="G12" s="18">
        <v>10000</v>
      </c>
    </row>
    <row r="13" spans="1:9" x14ac:dyDescent="0.25">
      <c r="B13" s="19" t="s">
        <v>2</v>
      </c>
      <c r="C13" s="19" t="s">
        <v>2</v>
      </c>
      <c r="D13" s="19" t="s">
        <v>2</v>
      </c>
      <c r="E13" s="19" t="s">
        <v>2</v>
      </c>
      <c r="F13" s="19" t="s">
        <v>2</v>
      </c>
      <c r="G13" s="19" t="s">
        <v>2</v>
      </c>
    </row>
    <row r="14" spans="1:9" x14ac:dyDescent="0.25">
      <c r="A14" s="8" t="s">
        <v>108</v>
      </c>
      <c r="B14" s="10">
        <v>30000</v>
      </c>
      <c r="C14" s="10">
        <v>30000</v>
      </c>
      <c r="D14" s="10">
        <v>30000</v>
      </c>
      <c r="E14" s="10">
        <v>30000</v>
      </c>
      <c r="F14" s="10">
        <v>30000</v>
      </c>
      <c r="G14" s="10">
        <v>30000</v>
      </c>
      <c r="I14" s="8" t="s">
        <v>109</v>
      </c>
    </row>
    <row r="16" spans="1:9" x14ac:dyDescent="0.25">
      <c r="A16" s="20" t="s">
        <v>110</v>
      </c>
    </row>
    <row r="17" spans="1:9" x14ac:dyDescent="0.25">
      <c r="B17" s="21"/>
      <c r="C17" s="21"/>
      <c r="D17" s="21"/>
      <c r="E17" s="21"/>
      <c r="F17" s="21"/>
      <c r="G17" s="21"/>
    </row>
    <row r="18" spans="1:9" x14ac:dyDescent="0.25">
      <c r="A18" s="8" t="s">
        <v>111</v>
      </c>
      <c r="B18" s="10">
        <v>10000</v>
      </c>
      <c r="C18" s="10">
        <v>15000</v>
      </c>
      <c r="D18" s="10">
        <v>30000</v>
      </c>
      <c r="E18" s="10">
        <v>35000</v>
      </c>
      <c r="F18" s="10">
        <v>25000</v>
      </c>
      <c r="G18" s="10">
        <v>10000</v>
      </c>
    </row>
    <row r="19" spans="1:9" x14ac:dyDescent="0.25">
      <c r="B19" s="19"/>
      <c r="C19" s="19"/>
      <c r="D19" s="19"/>
      <c r="E19" s="19"/>
      <c r="F19" s="19"/>
      <c r="G19" s="19"/>
    </row>
    <row r="20" spans="1:9" x14ac:dyDescent="0.25">
      <c r="A20" s="8" t="s">
        <v>112</v>
      </c>
      <c r="B20" s="25">
        <f>B12-B18+B4</f>
        <v>0</v>
      </c>
      <c r="C20" s="25">
        <f>C12-C18+B20</f>
        <v>5000</v>
      </c>
      <c r="D20" s="25">
        <f t="shared" ref="D20:G20" si="1">D12-D18+C20</f>
        <v>5000</v>
      </c>
      <c r="E20" s="25">
        <f t="shared" si="1"/>
        <v>0</v>
      </c>
      <c r="F20" s="25">
        <f t="shared" si="1"/>
        <v>0</v>
      </c>
      <c r="G20" s="25">
        <f t="shared" si="1"/>
        <v>0</v>
      </c>
      <c r="H20" s="21" t="s">
        <v>113</v>
      </c>
      <c r="I20" s="8" t="s">
        <v>114</v>
      </c>
    </row>
    <row r="21" spans="1:9" x14ac:dyDescent="0.25">
      <c r="B21" s="21" t="s">
        <v>2</v>
      </c>
      <c r="C21" s="21" t="s">
        <v>2</v>
      </c>
      <c r="D21" s="21" t="s">
        <v>2</v>
      </c>
      <c r="E21" s="21" t="s">
        <v>2</v>
      </c>
      <c r="F21" s="21" t="s">
        <v>2</v>
      </c>
      <c r="G21" s="21" t="s">
        <v>2</v>
      </c>
    </row>
    <row r="22" spans="1:9" x14ac:dyDescent="0.25">
      <c r="A22" s="8" t="s">
        <v>115</v>
      </c>
      <c r="B22" s="10">
        <v>10000</v>
      </c>
      <c r="C22" s="10">
        <v>10000</v>
      </c>
      <c r="D22" s="10">
        <v>10000</v>
      </c>
      <c r="E22" s="10">
        <v>10000</v>
      </c>
      <c r="F22" s="10">
        <v>10000</v>
      </c>
      <c r="G22" s="10">
        <v>10000</v>
      </c>
      <c r="I22" s="8" t="s">
        <v>116</v>
      </c>
    </row>
    <row r="23" spans="1:9" x14ac:dyDescent="0.25">
      <c r="A23" s="17"/>
    </row>
    <row r="24" spans="1:9" x14ac:dyDescent="0.25">
      <c r="A24" s="22" t="s">
        <v>117</v>
      </c>
      <c r="B24" s="16"/>
    </row>
    <row r="25" spans="1:9" x14ac:dyDescent="0.25">
      <c r="A25" s="8" t="s">
        <v>103</v>
      </c>
      <c r="B25" s="12">
        <v>1</v>
      </c>
      <c r="C25" s="12">
        <v>2</v>
      </c>
      <c r="D25" s="12">
        <v>3</v>
      </c>
      <c r="E25" s="12">
        <v>4</v>
      </c>
      <c r="F25" s="12">
        <v>5</v>
      </c>
      <c r="G25" s="12">
        <v>6</v>
      </c>
      <c r="H25" s="21" t="s">
        <v>118</v>
      </c>
    </row>
    <row r="26" spans="1:9" x14ac:dyDescent="0.25">
      <c r="A26" s="8" t="s">
        <v>119</v>
      </c>
      <c r="B26" s="8">
        <f>B20*B9</f>
        <v>0</v>
      </c>
      <c r="C26" s="8">
        <f t="shared" ref="C26:G26" si="2">C20*C9</f>
        <v>3137.5000000000005</v>
      </c>
      <c r="D26" s="8">
        <f t="shared" si="2"/>
        <v>3175</v>
      </c>
      <c r="E26" s="8">
        <f t="shared" si="2"/>
        <v>0</v>
      </c>
      <c r="F26" s="8">
        <f t="shared" si="2"/>
        <v>0</v>
      </c>
      <c r="G26" s="8">
        <f t="shared" si="2"/>
        <v>0</v>
      </c>
      <c r="H26" s="23">
        <f>SUM(B26:G26)</f>
        <v>6312.5</v>
      </c>
    </row>
    <row r="27" spans="1:9" x14ac:dyDescent="0.25">
      <c r="A27" s="8" t="s">
        <v>120</v>
      </c>
      <c r="B27" s="8">
        <f>B12*B8</f>
        <v>62500</v>
      </c>
      <c r="C27" s="8">
        <f t="shared" ref="C27:G27" si="3">C12*C8</f>
        <v>251000</v>
      </c>
      <c r="D27" s="8">
        <f t="shared" si="3"/>
        <v>381000</v>
      </c>
      <c r="E27" s="8">
        <f t="shared" si="3"/>
        <v>384000</v>
      </c>
      <c r="F27" s="8">
        <f t="shared" si="3"/>
        <v>321250</v>
      </c>
      <c r="G27" s="8">
        <f t="shared" si="3"/>
        <v>129500</v>
      </c>
      <c r="H27" s="23">
        <f>SUM(B27:G27)</f>
        <v>1529250</v>
      </c>
    </row>
    <row r="28" spans="1:9" x14ac:dyDescent="0.25">
      <c r="H28" s="24">
        <f>SUM(H26:H27)</f>
        <v>1535562.5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8018-F2A2-4894-8531-388098B52F99}">
  <dimension ref="A1:N13"/>
  <sheetViews>
    <sheetView workbookViewId="0">
      <selection activeCell="R25" sqref="R25"/>
    </sheetView>
  </sheetViews>
  <sheetFormatPr defaultRowHeight="15" x14ac:dyDescent="0.25"/>
  <cols>
    <col min="5" max="5" width="13.28515625" bestFit="1" customWidth="1"/>
  </cols>
  <sheetData>
    <row r="1" spans="1:14" x14ac:dyDescent="0.25">
      <c r="A1" t="s">
        <v>121</v>
      </c>
      <c r="B1" t="s">
        <v>94</v>
      </c>
      <c r="C1" t="s">
        <v>122</v>
      </c>
      <c r="D1" t="s">
        <v>70</v>
      </c>
      <c r="E1" t="s">
        <v>123</v>
      </c>
      <c r="I1" t="s">
        <v>88</v>
      </c>
      <c r="J1" t="s">
        <v>94</v>
      </c>
      <c r="K1" t="s">
        <v>122</v>
      </c>
      <c r="L1" t="s">
        <v>98</v>
      </c>
      <c r="N1" t="s">
        <v>124</v>
      </c>
    </row>
    <row r="2" spans="1:14" x14ac:dyDescent="0.25">
      <c r="B2">
        <v>1</v>
      </c>
      <c r="C2">
        <v>2</v>
      </c>
      <c r="D2">
        <v>24.5</v>
      </c>
      <c r="E2" s="1">
        <v>150000</v>
      </c>
      <c r="F2" s="6" t="s">
        <v>2</v>
      </c>
      <c r="G2" s="6">
        <v>150000</v>
      </c>
      <c r="I2">
        <v>1</v>
      </c>
      <c r="J2">
        <f>SUMIF($B$2:$B$11, $I2, $E$2:$E$11)</f>
        <v>290000</v>
      </c>
      <c r="K2">
        <f t="shared" ref="K2:K8" si="0">SUMIF($C$2:$C$11, $I2, $E$2:$E$11)</f>
        <v>0</v>
      </c>
      <c r="L2" s="4">
        <f>J2-K2</f>
        <v>290000</v>
      </c>
      <c r="M2" s="6" t="s">
        <v>2</v>
      </c>
      <c r="N2" s="3">
        <v>290000</v>
      </c>
    </row>
    <row r="3" spans="1:14" x14ac:dyDescent="0.25">
      <c r="B3">
        <v>1</v>
      </c>
      <c r="C3">
        <v>3</v>
      </c>
      <c r="D3">
        <v>26</v>
      </c>
      <c r="E3" s="1">
        <v>140000</v>
      </c>
      <c r="F3" s="6" t="s">
        <v>2</v>
      </c>
      <c r="G3" s="6">
        <v>150000</v>
      </c>
      <c r="I3">
        <v>2</v>
      </c>
      <c r="J3">
        <f t="shared" ref="J3:J8" si="1">SUMIF($B$2:$B$11, $I3, $E$2:$E$11)</f>
        <v>150000</v>
      </c>
      <c r="K3">
        <f t="shared" si="0"/>
        <v>150000</v>
      </c>
      <c r="L3" s="4">
        <f t="shared" ref="L3:L8" si="2">J3-K3</f>
        <v>0</v>
      </c>
      <c r="M3" s="6" t="s">
        <v>2</v>
      </c>
      <c r="N3" s="3">
        <v>0</v>
      </c>
    </row>
    <row r="4" spans="1:14" x14ac:dyDescent="0.25">
      <c r="B4">
        <v>2</v>
      </c>
      <c r="C4">
        <v>4</v>
      </c>
      <c r="D4">
        <v>9.6</v>
      </c>
      <c r="E4" s="1">
        <v>90000</v>
      </c>
      <c r="I4">
        <v>3</v>
      </c>
      <c r="J4">
        <f t="shared" si="1"/>
        <v>140000</v>
      </c>
      <c r="K4">
        <f t="shared" si="0"/>
        <v>140000</v>
      </c>
      <c r="L4" s="4">
        <f t="shared" si="2"/>
        <v>0</v>
      </c>
      <c r="M4" s="6" t="s">
        <v>2</v>
      </c>
      <c r="N4" s="3">
        <v>0</v>
      </c>
    </row>
    <row r="5" spans="1:14" x14ac:dyDescent="0.25">
      <c r="B5">
        <v>2</v>
      </c>
      <c r="C5">
        <v>5</v>
      </c>
      <c r="D5">
        <v>7</v>
      </c>
      <c r="E5" s="1">
        <v>60000</v>
      </c>
      <c r="I5">
        <v>4</v>
      </c>
      <c r="J5">
        <f t="shared" si="1"/>
        <v>0</v>
      </c>
      <c r="K5">
        <f t="shared" si="0"/>
        <v>90000</v>
      </c>
      <c r="L5" s="4">
        <f t="shared" si="2"/>
        <v>-90000</v>
      </c>
      <c r="M5" s="6" t="s">
        <v>2</v>
      </c>
      <c r="N5" s="3">
        <v>-90000</v>
      </c>
    </row>
    <row r="6" spans="1:14" x14ac:dyDescent="0.25">
      <c r="B6">
        <v>2</v>
      </c>
      <c r="C6">
        <v>6</v>
      </c>
      <c r="D6">
        <v>15.2</v>
      </c>
      <c r="E6" s="1">
        <v>0</v>
      </c>
      <c r="I6">
        <v>5</v>
      </c>
      <c r="J6">
        <f>SUMIF($B$2:$B$11, $I6, $E$2:$E$11)</f>
        <v>0</v>
      </c>
      <c r="K6">
        <f t="shared" si="0"/>
        <v>80000</v>
      </c>
      <c r="L6" s="4">
        <f t="shared" si="2"/>
        <v>-80000</v>
      </c>
      <c r="M6" s="6" t="s">
        <v>2</v>
      </c>
      <c r="N6" s="3">
        <v>-80000</v>
      </c>
    </row>
    <row r="7" spans="1:14" x14ac:dyDescent="0.25">
      <c r="B7">
        <v>2</v>
      </c>
      <c r="C7">
        <v>7</v>
      </c>
      <c r="D7">
        <v>28.5</v>
      </c>
      <c r="E7" s="1">
        <v>0</v>
      </c>
      <c r="I7">
        <v>6</v>
      </c>
      <c r="J7">
        <f t="shared" si="1"/>
        <v>0</v>
      </c>
      <c r="K7">
        <f t="shared" si="0"/>
        <v>50000</v>
      </c>
      <c r="L7" s="4">
        <f t="shared" si="2"/>
        <v>-50000</v>
      </c>
      <c r="M7" s="6" t="s">
        <v>2</v>
      </c>
      <c r="N7" s="3">
        <v>-50000</v>
      </c>
    </row>
    <row r="8" spans="1:14" x14ac:dyDescent="0.25">
      <c r="B8">
        <v>3</v>
      </c>
      <c r="C8">
        <v>4</v>
      </c>
      <c r="D8">
        <v>19.5</v>
      </c>
      <c r="E8" s="1">
        <v>0</v>
      </c>
      <c r="I8">
        <v>7</v>
      </c>
      <c r="J8">
        <f t="shared" si="1"/>
        <v>0</v>
      </c>
      <c r="K8">
        <f t="shared" si="0"/>
        <v>70000</v>
      </c>
      <c r="L8" s="4">
        <f t="shared" si="2"/>
        <v>-70000</v>
      </c>
      <c r="M8" s="6" t="s">
        <v>2</v>
      </c>
      <c r="N8" s="3">
        <v>-70000</v>
      </c>
    </row>
    <row r="9" spans="1:14" x14ac:dyDescent="0.25">
      <c r="B9">
        <v>3</v>
      </c>
      <c r="C9">
        <v>5</v>
      </c>
      <c r="D9">
        <v>13.3</v>
      </c>
      <c r="E9" s="1">
        <v>20000</v>
      </c>
    </row>
    <row r="10" spans="1:14" x14ac:dyDescent="0.25">
      <c r="B10">
        <v>3</v>
      </c>
      <c r="C10">
        <v>6</v>
      </c>
      <c r="D10">
        <v>5</v>
      </c>
      <c r="E10" s="1">
        <v>50000</v>
      </c>
    </row>
    <row r="11" spans="1:14" x14ac:dyDescent="0.25">
      <c r="B11">
        <v>3</v>
      </c>
      <c r="C11">
        <v>7</v>
      </c>
      <c r="D11">
        <v>11.3</v>
      </c>
      <c r="E11" s="1">
        <v>70000</v>
      </c>
    </row>
    <row r="13" spans="1:14" x14ac:dyDescent="0.25">
      <c r="D13" t="s">
        <v>70</v>
      </c>
      <c r="E13" s="26">
        <f>SUMPRODUCT(E2:E11, D2:D11)</f>
        <v>9906000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B17C-5944-46CA-B76E-D859AC09B597}">
  <dimension ref="A2:F22"/>
  <sheetViews>
    <sheetView workbookViewId="0">
      <selection activeCell="I11" sqref="I11"/>
    </sheetView>
  </sheetViews>
  <sheetFormatPr defaultRowHeight="15" x14ac:dyDescent="0.25"/>
  <cols>
    <col min="1" max="1" width="13.140625" bestFit="1" customWidth="1"/>
    <col min="2" max="2" width="11.140625" customWidth="1"/>
    <col min="3" max="3" width="10.42578125" customWidth="1"/>
  </cols>
  <sheetData>
    <row r="2" spans="1:6" x14ac:dyDescent="0.25">
      <c r="B2" t="s">
        <v>125</v>
      </c>
      <c r="C2" t="s">
        <v>56</v>
      </c>
      <c r="D2" t="s">
        <v>126</v>
      </c>
      <c r="E2" t="s">
        <v>127</v>
      </c>
      <c r="F2" t="s">
        <v>128</v>
      </c>
    </row>
    <row r="3" spans="1:6" x14ac:dyDescent="0.25">
      <c r="A3" t="s">
        <v>131</v>
      </c>
      <c r="B3">
        <v>1500</v>
      </c>
      <c r="C3">
        <v>1200</v>
      </c>
      <c r="D3">
        <v>1600</v>
      </c>
      <c r="E3">
        <v>1500</v>
      </c>
      <c r="F3">
        <v>1600</v>
      </c>
    </row>
    <row r="4" spans="1:6" x14ac:dyDescent="0.25">
      <c r="A4" s="27" t="s">
        <v>132</v>
      </c>
      <c r="B4">
        <v>2</v>
      </c>
      <c r="C4">
        <v>1</v>
      </c>
      <c r="D4">
        <v>6</v>
      </c>
      <c r="E4">
        <v>4</v>
      </c>
      <c r="F4">
        <v>8</v>
      </c>
    </row>
    <row r="5" spans="1:6" x14ac:dyDescent="0.25">
      <c r="A5" t="s">
        <v>133</v>
      </c>
      <c r="B5">
        <v>3</v>
      </c>
      <c r="C5">
        <v>2.5</v>
      </c>
      <c r="D5">
        <v>4</v>
      </c>
      <c r="E5">
        <v>4.5</v>
      </c>
      <c r="F5">
        <v>5.5</v>
      </c>
    </row>
    <row r="6" spans="1:6" x14ac:dyDescent="0.25">
      <c r="A6" t="s">
        <v>134</v>
      </c>
      <c r="B6">
        <v>35</v>
      </c>
      <c r="C6">
        <v>40</v>
      </c>
      <c r="D6">
        <v>65</v>
      </c>
      <c r="E6">
        <v>70</v>
      </c>
      <c r="F6">
        <v>110</v>
      </c>
    </row>
    <row r="7" spans="1:6" x14ac:dyDescent="0.25">
      <c r="A7" t="s">
        <v>135</v>
      </c>
      <c r="B7">
        <v>20</v>
      </c>
      <c r="C7">
        <v>10</v>
      </c>
      <c r="D7">
        <v>25</v>
      </c>
      <c r="E7">
        <v>30</v>
      </c>
      <c r="F7">
        <v>35</v>
      </c>
    </row>
    <row r="8" spans="1:6" x14ac:dyDescent="0.25">
      <c r="A8" t="s">
        <v>138</v>
      </c>
      <c r="B8">
        <f>B6-B7</f>
        <v>15</v>
      </c>
      <c r="C8">
        <f>C6-C7</f>
        <v>30</v>
      </c>
      <c r="D8">
        <f>D6-D7</f>
        <v>40</v>
      </c>
      <c r="E8">
        <f>E6-E7</f>
        <v>40</v>
      </c>
      <c r="F8">
        <f>F6-F7</f>
        <v>75</v>
      </c>
    </row>
    <row r="10" spans="1:6" x14ac:dyDescent="0.25">
      <c r="B10" t="s">
        <v>125</v>
      </c>
      <c r="C10" t="s">
        <v>56</v>
      </c>
      <c r="D10" t="s">
        <v>126</v>
      </c>
      <c r="E10" t="s">
        <v>127</v>
      </c>
      <c r="F10" t="s">
        <v>128</v>
      </c>
    </row>
    <row r="11" spans="1:6" x14ac:dyDescent="0.25">
      <c r="A11" t="s">
        <v>129</v>
      </c>
      <c r="B11" s="5">
        <v>0</v>
      </c>
      <c r="C11" s="5">
        <v>1</v>
      </c>
      <c r="D11" s="5">
        <v>0</v>
      </c>
      <c r="E11" s="5">
        <v>0</v>
      </c>
      <c r="F11" s="5">
        <v>1</v>
      </c>
    </row>
    <row r="12" spans="1:6" x14ac:dyDescent="0.25">
      <c r="A12" t="s">
        <v>130</v>
      </c>
      <c r="B12" s="5">
        <v>0</v>
      </c>
      <c r="C12" s="5">
        <v>965.51724137931024</v>
      </c>
      <c r="D12" s="5">
        <v>0</v>
      </c>
      <c r="E12" s="5">
        <v>0</v>
      </c>
      <c r="F12" s="5">
        <v>379.31034482758622</v>
      </c>
    </row>
    <row r="13" spans="1:6" x14ac:dyDescent="0.25">
      <c r="B13" s="6" t="s">
        <v>2</v>
      </c>
      <c r="C13" s="6" t="s">
        <v>2</v>
      </c>
      <c r="D13" s="6" t="s">
        <v>2</v>
      </c>
      <c r="E13" s="6" t="s">
        <v>2</v>
      </c>
      <c r="F13" s="6" t="s">
        <v>2</v>
      </c>
    </row>
    <row r="14" spans="1:6" x14ac:dyDescent="0.25">
      <c r="B14">
        <f>B11 * $B$19</f>
        <v>0</v>
      </c>
      <c r="C14">
        <f>C11 * $B$19</f>
        <v>1000000</v>
      </c>
      <c r="D14">
        <f>D11 * $B$19</f>
        <v>0</v>
      </c>
      <c r="E14">
        <f>E11 * $B$19</f>
        <v>0</v>
      </c>
      <c r="F14">
        <f>F11 * $B$19</f>
        <v>1000000</v>
      </c>
    </row>
    <row r="16" spans="1:6" x14ac:dyDescent="0.25">
      <c r="A16" t="s">
        <v>140</v>
      </c>
      <c r="B16" s="4">
        <f>SUMPRODUCT(B4:F4,B12:F12)</f>
        <v>4000</v>
      </c>
      <c r="C16" s="6" t="s">
        <v>2</v>
      </c>
      <c r="D16" s="3">
        <v>4000</v>
      </c>
    </row>
    <row r="17" spans="1:4" x14ac:dyDescent="0.25">
      <c r="A17" t="s">
        <v>141</v>
      </c>
      <c r="B17" s="4">
        <f>SUMPRODUCT(B5:F5, B12:F12)</f>
        <v>4500</v>
      </c>
      <c r="C17" s="6" t="s">
        <v>2</v>
      </c>
      <c r="D17" s="3">
        <v>4500</v>
      </c>
    </row>
    <row r="19" spans="1:4" x14ac:dyDescent="0.25">
      <c r="A19" t="s">
        <v>139</v>
      </c>
      <c r="B19">
        <f>1000000</f>
        <v>1000000</v>
      </c>
    </row>
    <row r="20" spans="1:4" x14ac:dyDescent="0.25">
      <c r="A20" t="s">
        <v>136</v>
      </c>
      <c r="B20">
        <f>SUMPRODUCT(B8:F8, B12:F12)</f>
        <v>57413.793103448275</v>
      </c>
    </row>
    <row r="21" spans="1:4" x14ac:dyDescent="0.25">
      <c r="A21" t="s">
        <v>137</v>
      </c>
      <c r="B21">
        <f>SUMPRODUCT(B3:F3, B11:F11)</f>
        <v>2800</v>
      </c>
    </row>
    <row r="22" spans="1:4" x14ac:dyDescent="0.25">
      <c r="A22" t="s">
        <v>39</v>
      </c>
      <c r="B22" s="2">
        <f>B20-B21</f>
        <v>54613.793103448275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270-313A-4FDD-8229-6559A071CFF2}">
  <dimension ref="A2:G22"/>
  <sheetViews>
    <sheetView workbookViewId="0">
      <selection activeCell="K16" sqref="K16"/>
    </sheetView>
  </sheetViews>
  <sheetFormatPr defaultRowHeight="15" x14ac:dyDescent="0.25"/>
  <cols>
    <col min="1" max="1" width="13.140625" bestFit="1" customWidth="1"/>
    <col min="2" max="2" width="11.140625" customWidth="1"/>
    <col min="3" max="3" width="10.42578125" customWidth="1"/>
  </cols>
  <sheetData>
    <row r="2" spans="1:7" x14ac:dyDescent="0.25">
      <c r="B2" s="29" t="s">
        <v>125</v>
      </c>
      <c r="C2" s="29" t="s">
        <v>56</v>
      </c>
      <c r="D2" s="29" t="s">
        <v>126</v>
      </c>
      <c r="E2" s="29" t="s">
        <v>127</v>
      </c>
      <c r="F2" s="29" t="s">
        <v>128</v>
      </c>
      <c r="G2" s="29" t="s">
        <v>160</v>
      </c>
    </row>
    <row r="3" spans="1:7" x14ac:dyDescent="0.25">
      <c r="A3" t="s">
        <v>131</v>
      </c>
      <c r="B3">
        <v>1500</v>
      </c>
      <c r="C3">
        <v>1200</v>
      </c>
      <c r="D3">
        <v>1600</v>
      </c>
      <c r="E3">
        <v>1500</v>
      </c>
      <c r="F3">
        <v>1600</v>
      </c>
      <c r="G3">
        <v>1100</v>
      </c>
    </row>
    <row r="4" spans="1:7" x14ac:dyDescent="0.25">
      <c r="A4" s="27" t="s">
        <v>132</v>
      </c>
      <c r="B4">
        <v>2</v>
      </c>
      <c r="C4">
        <v>1</v>
      </c>
      <c r="D4">
        <v>6</v>
      </c>
      <c r="E4">
        <v>4</v>
      </c>
      <c r="F4">
        <v>8</v>
      </c>
      <c r="G4">
        <v>1</v>
      </c>
    </row>
    <row r="5" spans="1:7" x14ac:dyDescent="0.25">
      <c r="A5" t="s">
        <v>133</v>
      </c>
      <c r="B5">
        <v>3</v>
      </c>
      <c r="C5">
        <v>2.5</v>
      </c>
      <c r="D5">
        <v>4</v>
      </c>
      <c r="E5">
        <v>4.5</v>
      </c>
      <c r="F5">
        <v>5.5</v>
      </c>
      <c r="G5">
        <v>3.5</v>
      </c>
    </row>
    <row r="6" spans="1:7" x14ac:dyDescent="0.25">
      <c r="A6" t="s">
        <v>134</v>
      </c>
      <c r="B6">
        <v>35</v>
      </c>
      <c r="C6">
        <v>40</v>
      </c>
      <c r="D6">
        <v>65</v>
      </c>
      <c r="E6">
        <v>70</v>
      </c>
      <c r="F6">
        <v>110</v>
      </c>
      <c r="G6">
        <v>45</v>
      </c>
    </row>
    <row r="7" spans="1:7" x14ac:dyDescent="0.25">
      <c r="A7" t="s">
        <v>135</v>
      </c>
      <c r="B7">
        <v>20</v>
      </c>
      <c r="C7">
        <v>10</v>
      </c>
      <c r="D7">
        <v>25</v>
      </c>
      <c r="E7">
        <v>30</v>
      </c>
      <c r="F7">
        <v>35</v>
      </c>
      <c r="G7">
        <v>15</v>
      </c>
    </row>
    <row r="8" spans="1:7" x14ac:dyDescent="0.25">
      <c r="A8" t="s">
        <v>138</v>
      </c>
      <c r="B8">
        <f t="shared" ref="B8:G8" si="0">B6-B7</f>
        <v>15</v>
      </c>
      <c r="C8">
        <f t="shared" si="0"/>
        <v>30</v>
      </c>
      <c r="D8">
        <f t="shared" si="0"/>
        <v>40</v>
      </c>
      <c r="E8">
        <f t="shared" si="0"/>
        <v>40</v>
      </c>
      <c r="F8">
        <f t="shared" si="0"/>
        <v>75</v>
      </c>
      <c r="G8">
        <f t="shared" si="0"/>
        <v>30</v>
      </c>
    </row>
    <row r="10" spans="1:7" x14ac:dyDescent="0.25">
      <c r="B10" t="s">
        <v>125</v>
      </c>
      <c r="C10" t="s">
        <v>56</v>
      </c>
      <c r="D10" t="s">
        <v>126</v>
      </c>
      <c r="E10" t="s">
        <v>127</v>
      </c>
      <c r="F10" t="s">
        <v>128</v>
      </c>
      <c r="G10" t="s">
        <v>160</v>
      </c>
    </row>
    <row r="11" spans="1:7" x14ac:dyDescent="0.25">
      <c r="A11" t="s">
        <v>129</v>
      </c>
      <c r="B11" s="5">
        <v>0</v>
      </c>
      <c r="C11" s="5">
        <v>1</v>
      </c>
      <c r="D11" s="5">
        <v>0</v>
      </c>
      <c r="E11" s="5">
        <v>0</v>
      </c>
      <c r="F11" s="5">
        <v>1</v>
      </c>
      <c r="G11" s="5">
        <v>0</v>
      </c>
    </row>
    <row r="12" spans="1:7" x14ac:dyDescent="0.25">
      <c r="A12" t="s">
        <v>130</v>
      </c>
      <c r="B12" s="5">
        <v>0</v>
      </c>
      <c r="C12" s="5">
        <v>965.51724137931024</v>
      </c>
      <c r="D12" s="5">
        <v>0</v>
      </c>
      <c r="E12" s="5">
        <v>0</v>
      </c>
      <c r="F12" s="5">
        <v>379.31034482758622</v>
      </c>
      <c r="G12" s="5">
        <v>0</v>
      </c>
    </row>
    <row r="13" spans="1:7" x14ac:dyDescent="0.25">
      <c r="B13" s="6" t="s">
        <v>2</v>
      </c>
      <c r="C13" s="6" t="s">
        <v>2</v>
      </c>
      <c r="D13" s="6" t="s">
        <v>2</v>
      </c>
      <c r="E13" s="6" t="s">
        <v>2</v>
      </c>
      <c r="F13" s="6" t="s">
        <v>2</v>
      </c>
      <c r="G13" s="6" t="s">
        <v>2</v>
      </c>
    </row>
    <row r="14" spans="1:7" x14ac:dyDescent="0.25">
      <c r="B14">
        <f t="shared" ref="B14:G14" si="1">B11 * $B$19</f>
        <v>0</v>
      </c>
      <c r="C14">
        <f t="shared" si="1"/>
        <v>1000000</v>
      </c>
      <c r="D14">
        <f t="shared" si="1"/>
        <v>0</v>
      </c>
      <c r="E14">
        <f t="shared" si="1"/>
        <v>0</v>
      </c>
      <c r="F14">
        <f t="shared" si="1"/>
        <v>1000000</v>
      </c>
      <c r="G14">
        <f t="shared" si="1"/>
        <v>0</v>
      </c>
    </row>
    <row r="16" spans="1:7" x14ac:dyDescent="0.25">
      <c r="A16" t="s">
        <v>140</v>
      </c>
      <c r="B16" s="4">
        <f>SUMPRODUCT(B4:G4,B12:G12)</f>
        <v>4000</v>
      </c>
      <c r="C16" s="6" t="s">
        <v>2</v>
      </c>
      <c r="D16" s="3">
        <v>4000</v>
      </c>
    </row>
    <row r="17" spans="1:4" x14ac:dyDescent="0.25">
      <c r="A17" t="s">
        <v>141</v>
      </c>
      <c r="B17" s="4">
        <f>SUMPRODUCT(B5:G5, B12:G12)</f>
        <v>4500</v>
      </c>
      <c r="C17" s="6" t="s">
        <v>2</v>
      </c>
      <c r="D17" s="3">
        <v>4500</v>
      </c>
    </row>
    <row r="19" spans="1:4" x14ac:dyDescent="0.25">
      <c r="A19" t="s">
        <v>139</v>
      </c>
      <c r="B19">
        <f>1000000</f>
        <v>1000000</v>
      </c>
    </row>
    <row r="20" spans="1:4" x14ac:dyDescent="0.25">
      <c r="A20" t="s">
        <v>136</v>
      </c>
      <c r="B20">
        <f>SUMPRODUCT(B8:G8, B12:G12)</f>
        <v>57413.793103448275</v>
      </c>
    </row>
    <row r="21" spans="1:4" x14ac:dyDescent="0.25">
      <c r="A21" t="s">
        <v>137</v>
      </c>
      <c r="B21">
        <f>SUMPRODUCT(B3:G3, B11:G11)</f>
        <v>2800</v>
      </c>
    </row>
    <row r="22" spans="1:4" x14ac:dyDescent="0.25">
      <c r="A22" t="s">
        <v>39</v>
      </c>
      <c r="B22" s="2">
        <f>B20-B21</f>
        <v>54613.793103448275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B6CF-31AC-43B2-BABC-B89D4F5C3C26}">
  <dimension ref="A1:L9"/>
  <sheetViews>
    <sheetView workbookViewId="0">
      <selection activeCell="I8" sqref="I8"/>
    </sheetView>
  </sheetViews>
  <sheetFormatPr defaultRowHeight="15" x14ac:dyDescent="0.25"/>
  <cols>
    <col min="1" max="1" width="14.5703125" bestFit="1" customWidth="1"/>
  </cols>
  <sheetData>
    <row r="1" spans="1:12" x14ac:dyDescent="0.25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12" x14ac:dyDescent="0.25">
      <c r="A2" t="s">
        <v>82</v>
      </c>
      <c r="B2" s="5">
        <v>0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1</v>
      </c>
      <c r="K2" s="6"/>
    </row>
    <row r="3" spans="1:12" x14ac:dyDescent="0.25">
      <c r="B3" s="28"/>
      <c r="C3" s="28"/>
      <c r="D3" s="28"/>
      <c r="E3" s="28"/>
      <c r="F3" s="28"/>
      <c r="G3" s="28"/>
      <c r="H3" s="28"/>
      <c r="K3" s="6"/>
    </row>
    <row r="4" spans="1:12" x14ac:dyDescent="0.25">
      <c r="J4" s="4">
        <f>SUMPRODUCT(B2:H2, B5:H5)</f>
        <v>14.8</v>
      </c>
      <c r="K4" s="6" t="s">
        <v>2</v>
      </c>
      <c r="L4" s="3">
        <v>15</v>
      </c>
    </row>
    <row r="5" spans="1:12" x14ac:dyDescent="0.25">
      <c r="A5" t="s">
        <v>70</v>
      </c>
      <c r="B5">
        <v>5</v>
      </c>
      <c r="C5">
        <v>2.4</v>
      </c>
      <c r="D5">
        <v>3.5</v>
      </c>
      <c r="E5">
        <v>5.9</v>
      </c>
      <c r="F5">
        <v>6.9</v>
      </c>
      <c r="G5">
        <v>4.5</v>
      </c>
      <c r="H5">
        <v>3</v>
      </c>
    </row>
    <row r="6" spans="1:12" x14ac:dyDescent="0.25">
      <c r="A6" t="s">
        <v>80</v>
      </c>
      <c r="B6">
        <v>5.6</v>
      </c>
      <c r="C6">
        <v>2.7</v>
      </c>
      <c r="D6">
        <v>3.9</v>
      </c>
      <c r="E6">
        <v>6.8</v>
      </c>
      <c r="F6">
        <v>7.7</v>
      </c>
      <c r="G6">
        <v>5.0999999999999996</v>
      </c>
      <c r="H6">
        <v>3.3</v>
      </c>
    </row>
    <row r="7" spans="1:12" x14ac:dyDescent="0.25">
      <c r="A7" t="s">
        <v>81</v>
      </c>
      <c r="B7">
        <f>(B6-B5)/B5</f>
        <v>0.11999999999999993</v>
      </c>
      <c r="C7">
        <f t="shared" ref="C7:G7" si="0">(C6-C5)/C5</f>
        <v>0.12500000000000011</v>
      </c>
      <c r="D7">
        <f t="shared" si="0"/>
        <v>0.11428571428571425</v>
      </c>
      <c r="E7">
        <f t="shared" si="0"/>
        <v>0.15254237288135583</v>
      </c>
      <c r="F7">
        <f t="shared" si="0"/>
        <v>0.11594202898550722</v>
      </c>
      <c r="G7">
        <f t="shared" si="0"/>
        <v>0.13333333333333325</v>
      </c>
      <c r="H7">
        <f>(H6-H5)/H5</f>
        <v>9.9999999999999936E-2</v>
      </c>
    </row>
    <row r="9" spans="1:12" x14ac:dyDescent="0.25">
      <c r="A9" t="s">
        <v>39</v>
      </c>
      <c r="B9" s="2">
        <f>SUMPRODUCT(B2:H2,B6:H6)</f>
        <v>16.7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8DC-633E-40D6-9FA8-AC14046EFECF}">
  <dimension ref="A1:J14"/>
  <sheetViews>
    <sheetView workbookViewId="0">
      <selection activeCell="J22" sqref="J22"/>
    </sheetView>
  </sheetViews>
  <sheetFormatPr defaultRowHeight="15" x14ac:dyDescent="0.25"/>
  <cols>
    <col min="1" max="1" width="8.7109375" bestFit="1" customWidth="1"/>
  </cols>
  <sheetData>
    <row r="1" spans="1:10" x14ac:dyDescent="0.25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s="29"/>
    </row>
    <row r="2" spans="1:10" x14ac:dyDescent="0.25">
      <c r="A2" t="s">
        <v>148</v>
      </c>
      <c r="B2" s="5">
        <v>0</v>
      </c>
      <c r="C2" s="5">
        <v>0</v>
      </c>
      <c r="D2" s="5">
        <v>0</v>
      </c>
      <c r="E2" s="5">
        <v>1</v>
      </c>
      <c r="F2" s="5">
        <v>0</v>
      </c>
      <c r="G2" s="5">
        <v>1</v>
      </c>
      <c r="H2" s="2">
        <f>SUMPRODUCT(B11:G11,B2:G2)</f>
        <v>2</v>
      </c>
    </row>
    <row r="3" spans="1:10" x14ac:dyDescent="0.25">
      <c r="A3" s="30"/>
      <c r="B3" s="28"/>
      <c r="C3" s="28"/>
      <c r="D3" s="28"/>
      <c r="E3" s="28"/>
      <c r="F3" s="28"/>
      <c r="G3" s="28"/>
      <c r="H3" s="30"/>
      <c r="I3" s="30"/>
      <c r="J3" s="30"/>
    </row>
    <row r="4" spans="1:10" x14ac:dyDescent="0.25">
      <c r="A4" t="s">
        <v>142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 s="4">
        <f>SUMPRODUCT(B4:G4,$B$2:$G$2)</f>
        <v>1</v>
      </c>
      <c r="I4" s="6" t="s">
        <v>61</v>
      </c>
      <c r="J4" s="3">
        <v>1</v>
      </c>
    </row>
    <row r="5" spans="1:10" x14ac:dyDescent="0.25">
      <c r="A5" t="s">
        <v>143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 s="4">
        <f t="shared" ref="H5:H9" si="0">SUMPRODUCT(B5:G5,$B$2:$G$2)</f>
        <v>1</v>
      </c>
      <c r="I5" s="6" t="s">
        <v>61</v>
      </c>
      <c r="J5" s="3">
        <v>1</v>
      </c>
    </row>
    <row r="6" spans="1:10" x14ac:dyDescent="0.25">
      <c r="A6" t="s">
        <v>144</v>
      </c>
      <c r="B6">
        <v>0</v>
      </c>
      <c r="C6">
        <v>0</v>
      </c>
      <c r="D6">
        <v>1</v>
      </c>
      <c r="E6">
        <v>0</v>
      </c>
      <c r="F6">
        <v>1</v>
      </c>
      <c r="G6">
        <v>1</v>
      </c>
      <c r="H6" s="4">
        <f t="shared" si="0"/>
        <v>1</v>
      </c>
      <c r="I6" s="6" t="s">
        <v>61</v>
      </c>
      <c r="J6" s="3">
        <v>1</v>
      </c>
    </row>
    <row r="7" spans="1:10" x14ac:dyDescent="0.25">
      <c r="A7" t="s">
        <v>145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 s="4">
        <f t="shared" si="0"/>
        <v>1</v>
      </c>
      <c r="I7" s="6" t="s">
        <v>61</v>
      </c>
      <c r="J7" s="3">
        <v>1</v>
      </c>
    </row>
    <row r="8" spans="1:10" x14ac:dyDescent="0.25">
      <c r="A8" t="s">
        <v>146</v>
      </c>
      <c r="B8">
        <v>0</v>
      </c>
      <c r="C8">
        <v>0</v>
      </c>
      <c r="D8">
        <v>1</v>
      </c>
      <c r="E8">
        <v>1</v>
      </c>
      <c r="F8">
        <v>1</v>
      </c>
      <c r="G8">
        <v>0</v>
      </c>
      <c r="H8" s="4">
        <f t="shared" si="0"/>
        <v>1</v>
      </c>
      <c r="I8" s="6" t="s">
        <v>61</v>
      </c>
      <c r="J8" s="3">
        <v>1</v>
      </c>
    </row>
    <row r="9" spans="1:10" x14ac:dyDescent="0.25">
      <c r="A9" t="s">
        <v>147</v>
      </c>
      <c r="B9">
        <v>0</v>
      </c>
      <c r="C9">
        <v>0</v>
      </c>
      <c r="D9">
        <v>10</v>
      </c>
      <c r="E9">
        <v>0</v>
      </c>
      <c r="F9">
        <v>0</v>
      </c>
      <c r="G9">
        <v>1</v>
      </c>
      <c r="H9" s="4">
        <f t="shared" si="0"/>
        <v>1</v>
      </c>
      <c r="I9" s="6" t="s">
        <v>61</v>
      </c>
      <c r="J9" s="3">
        <v>1</v>
      </c>
    </row>
    <row r="11" spans="1:10" x14ac:dyDescent="0.25">
      <c r="A11" t="s">
        <v>131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4" spans="1:10" x14ac:dyDescent="0.25">
      <c r="A14" s="31" t="s">
        <v>149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8B83-9FAD-40FB-8E72-EC5CAC388E8C}">
  <dimension ref="A1:K12"/>
  <sheetViews>
    <sheetView workbookViewId="0">
      <selection activeCell="J15" sqref="J15"/>
    </sheetView>
  </sheetViews>
  <sheetFormatPr defaultRowHeight="15" x14ac:dyDescent="0.25"/>
  <sheetData>
    <row r="1" spans="1:11" x14ac:dyDescent="0.25">
      <c r="A1" s="32" t="s">
        <v>159</v>
      </c>
      <c r="B1" s="29" t="s">
        <v>150</v>
      </c>
      <c r="C1" s="29" t="s">
        <v>151</v>
      </c>
      <c r="D1" s="29" t="s">
        <v>152</v>
      </c>
      <c r="E1" s="29" t="s">
        <v>153</v>
      </c>
      <c r="F1" s="29" t="s">
        <v>154</v>
      </c>
      <c r="G1" s="29" t="s">
        <v>156</v>
      </c>
      <c r="H1" s="29" t="s">
        <v>155</v>
      </c>
    </row>
    <row r="2" spans="1:11" x14ac:dyDescent="0.25">
      <c r="A2" t="s">
        <v>157</v>
      </c>
      <c r="B2" s="5">
        <v>5</v>
      </c>
      <c r="C2" s="5">
        <v>1</v>
      </c>
      <c r="D2" s="5">
        <v>7</v>
      </c>
      <c r="E2" s="5">
        <v>1</v>
      </c>
      <c r="F2" s="5">
        <v>3</v>
      </c>
      <c r="G2" s="5">
        <v>6</v>
      </c>
      <c r="H2" s="5">
        <v>0</v>
      </c>
      <c r="I2" s="2">
        <f>SUMPRODUCT(B2:H2,B12:H12)</f>
        <v>23</v>
      </c>
    </row>
    <row r="3" spans="1:11" x14ac:dyDescent="0.25">
      <c r="B3" s="29"/>
      <c r="C3" s="29"/>
      <c r="D3" s="29"/>
      <c r="E3" s="29"/>
      <c r="F3" s="29"/>
      <c r="G3" s="29"/>
      <c r="H3" s="29"/>
    </row>
    <row r="4" spans="1:11" x14ac:dyDescent="0.25">
      <c r="A4" s="29" t="s">
        <v>150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 s="4">
        <f>SUMPRODUCT($B$2:$H$2, B4:H4)</f>
        <v>17</v>
      </c>
      <c r="J4" t="s">
        <v>61</v>
      </c>
      <c r="K4" s="3">
        <v>17</v>
      </c>
    </row>
    <row r="5" spans="1:11" x14ac:dyDescent="0.25">
      <c r="A5" s="29" t="s">
        <v>151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 s="4">
        <f>SUMPRODUCT($B$2:$H$2, B5:H5)</f>
        <v>15</v>
      </c>
      <c r="J5" t="s">
        <v>61</v>
      </c>
      <c r="K5" s="3">
        <v>13</v>
      </c>
    </row>
    <row r="6" spans="1:11" x14ac:dyDescent="0.25">
      <c r="A6" s="29" t="s">
        <v>152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 s="4">
        <f>SUMPRODUCT($B$2:$H$2, B6:H6)</f>
        <v>15</v>
      </c>
      <c r="J6" t="s">
        <v>61</v>
      </c>
      <c r="K6" s="3">
        <v>15</v>
      </c>
    </row>
    <row r="7" spans="1:11" x14ac:dyDescent="0.25">
      <c r="A7" s="29" t="s">
        <v>153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 s="4">
        <f>SUMPRODUCT($B$2:$H$2, B7:H7)</f>
        <v>19</v>
      </c>
      <c r="J7" t="s">
        <v>61</v>
      </c>
      <c r="K7" s="3">
        <v>19</v>
      </c>
    </row>
    <row r="8" spans="1:11" x14ac:dyDescent="0.25">
      <c r="A8" s="29" t="s">
        <v>154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 s="4">
        <f>SUMPRODUCT($B$2:$H$2, B8:H8)</f>
        <v>14</v>
      </c>
      <c r="J8" t="s">
        <v>61</v>
      </c>
      <c r="K8" s="3">
        <v>14</v>
      </c>
    </row>
    <row r="9" spans="1:11" x14ac:dyDescent="0.25">
      <c r="A9" s="29" t="s">
        <v>156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 s="4">
        <f t="shared" ref="I9:I10" si="0">SUMPRODUCT($B$2:$H$2, B9:H9)</f>
        <v>17</v>
      </c>
      <c r="J9" t="s">
        <v>61</v>
      </c>
      <c r="K9" s="3">
        <v>16</v>
      </c>
    </row>
    <row r="10" spans="1:11" x14ac:dyDescent="0.25">
      <c r="A10" s="29" t="s">
        <v>155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 s="4">
        <f t="shared" si="0"/>
        <v>18</v>
      </c>
      <c r="J10" t="s">
        <v>61</v>
      </c>
      <c r="K10" s="3">
        <v>11</v>
      </c>
    </row>
    <row r="11" spans="1:11" x14ac:dyDescent="0.25">
      <c r="I11" s="30"/>
    </row>
    <row r="12" spans="1:11" x14ac:dyDescent="0.25">
      <c r="A12" s="29" t="s">
        <v>158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0651-6A0E-4CA7-AD8F-E5D26ABE3557}">
  <dimension ref="A1:I33"/>
  <sheetViews>
    <sheetView workbookViewId="0">
      <selection activeCell="L19" sqref="L19"/>
    </sheetView>
  </sheetViews>
  <sheetFormatPr defaultRowHeight="15" x14ac:dyDescent="0.25"/>
  <cols>
    <col min="1" max="1" width="50" bestFit="1" customWidth="1"/>
    <col min="2" max="2" width="12" bestFit="1" customWidth="1"/>
    <col min="3" max="7" width="9.5703125" bestFit="1" customWidth="1"/>
    <col min="8" max="8" width="13.28515625" bestFit="1" customWidth="1"/>
  </cols>
  <sheetData>
    <row r="1" spans="1:9" x14ac:dyDescent="0.25">
      <c r="A1" s="7" t="s">
        <v>99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8"/>
      <c r="B2" s="8"/>
      <c r="C2" s="8"/>
      <c r="D2" s="8"/>
      <c r="E2" s="8"/>
      <c r="F2" s="8"/>
      <c r="G2" s="8"/>
      <c r="H2" s="8"/>
      <c r="I2" s="8"/>
    </row>
    <row r="3" spans="1:9" x14ac:dyDescent="0.25">
      <c r="A3" s="7" t="s">
        <v>100</v>
      </c>
      <c r="B3" s="8"/>
      <c r="C3" s="8"/>
      <c r="D3" s="8"/>
      <c r="E3" s="9"/>
      <c r="F3" s="8"/>
      <c r="G3" s="8"/>
      <c r="H3" s="8"/>
      <c r="I3" s="8"/>
    </row>
    <row r="4" spans="1:9" x14ac:dyDescent="0.25">
      <c r="A4" s="8" t="s">
        <v>101</v>
      </c>
      <c r="B4" s="10">
        <v>5000</v>
      </c>
      <c r="C4" s="8"/>
      <c r="D4" s="8"/>
      <c r="E4" s="8"/>
      <c r="F4" s="8"/>
      <c r="G4" s="8"/>
      <c r="H4" s="8"/>
      <c r="I4" s="8"/>
    </row>
    <row r="5" spans="1:9" x14ac:dyDescent="0.25">
      <c r="A5" s="8" t="s">
        <v>102</v>
      </c>
      <c r="B5" s="11">
        <v>0.05</v>
      </c>
      <c r="C5" s="8"/>
      <c r="D5" s="8"/>
      <c r="E5" s="8"/>
      <c r="F5" s="8"/>
      <c r="G5" s="8"/>
      <c r="H5" s="8"/>
      <c r="I5" s="8"/>
    </row>
    <row r="6" spans="1:9" x14ac:dyDescent="0.25">
      <c r="A6" s="8" t="s">
        <v>161</v>
      </c>
      <c r="B6" s="40">
        <f>125000</f>
        <v>125000</v>
      </c>
      <c r="C6" s="8"/>
      <c r="D6" s="8"/>
      <c r="E6" s="8"/>
      <c r="F6" s="8"/>
      <c r="G6" s="8"/>
      <c r="H6" s="8"/>
      <c r="I6" s="8"/>
    </row>
    <row r="7" spans="1:9" x14ac:dyDescent="0.25">
      <c r="A7" s="8"/>
      <c r="B7" s="8"/>
      <c r="C7" s="8"/>
      <c r="D7" s="8"/>
      <c r="E7" s="8"/>
      <c r="F7" s="8"/>
      <c r="G7" s="8"/>
      <c r="H7" s="8"/>
      <c r="I7" s="8"/>
    </row>
    <row r="8" spans="1:9" x14ac:dyDescent="0.25">
      <c r="A8" s="8" t="s">
        <v>103</v>
      </c>
      <c r="B8" s="12">
        <v>1</v>
      </c>
      <c r="C8" s="12">
        <v>2</v>
      </c>
      <c r="D8" s="12">
        <v>3</v>
      </c>
      <c r="E8" s="12">
        <v>4</v>
      </c>
      <c r="F8" s="12">
        <v>5</v>
      </c>
      <c r="G8" s="12">
        <v>6</v>
      </c>
      <c r="H8" s="13"/>
      <c r="I8" s="8"/>
    </row>
    <row r="9" spans="1:9" x14ac:dyDescent="0.25">
      <c r="A9" s="14" t="s">
        <v>104</v>
      </c>
      <c r="B9" s="15">
        <v>12.5</v>
      </c>
      <c r="C9" s="15">
        <v>12.55</v>
      </c>
      <c r="D9" s="15">
        <v>12.7</v>
      </c>
      <c r="E9" s="15">
        <v>12.8</v>
      </c>
      <c r="F9" s="15">
        <v>12.85</v>
      </c>
      <c r="G9" s="15">
        <v>12.95</v>
      </c>
      <c r="H9" s="8"/>
      <c r="I9" s="8"/>
    </row>
    <row r="10" spans="1:9" x14ac:dyDescent="0.25">
      <c r="A10" s="14" t="s">
        <v>105</v>
      </c>
      <c r="B10" s="16">
        <f t="shared" ref="B10:G10" si="0">B9* $B$5</f>
        <v>0.625</v>
      </c>
      <c r="C10" s="16">
        <f t="shared" si="0"/>
        <v>0.62750000000000006</v>
      </c>
      <c r="D10" s="16">
        <f t="shared" si="0"/>
        <v>0.63500000000000001</v>
      </c>
      <c r="E10" s="16">
        <f t="shared" si="0"/>
        <v>0.64000000000000012</v>
      </c>
      <c r="F10" s="16">
        <f t="shared" si="0"/>
        <v>0.64250000000000007</v>
      </c>
      <c r="G10" s="16">
        <f t="shared" si="0"/>
        <v>0.64749999999999996</v>
      </c>
      <c r="H10" s="8"/>
      <c r="I10" s="8"/>
    </row>
    <row r="11" spans="1:9" x14ac:dyDescent="0.25">
      <c r="H11" s="8"/>
      <c r="I11" s="8"/>
    </row>
    <row r="12" spans="1:9" x14ac:dyDescent="0.25">
      <c r="A12" s="17" t="s">
        <v>106</v>
      </c>
      <c r="B12" s="8"/>
      <c r="C12" s="8"/>
      <c r="D12" s="8"/>
      <c r="E12" s="8"/>
      <c r="F12" s="8"/>
      <c r="G12" s="8"/>
      <c r="H12" s="8"/>
    </row>
    <row r="13" spans="1:9" x14ac:dyDescent="0.25">
      <c r="A13" s="8" t="s">
        <v>103</v>
      </c>
      <c r="B13" s="12">
        <v>1</v>
      </c>
      <c r="C13" s="12">
        <v>2</v>
      </c>
      <c r="D13" s="12">
        <v>3</v>
      </c>
      <c r="E13" s="12">
        <v>4</v>
      </c>
      <c r="F13" s="12">
        <v>5</v>
      </c>
      <c r="G13" s="12">
        <v>6</v>
      </c>
      <c r="H13" s="8"/>
      <c r="I13" s="8"/>
    </row>
    <row r="14" spans="1:9" x14ac:dyDescent="0.25">
      <c r="A14" s="8" t="s">
        <v>129</v>
      </c>
      <c r="B14" s="37">
        <v>1</v>
      </c>
      <c r="C14" s="37">
        <v>0</v>
      </c>
      <c r="D14" s="37">
        <v>1</v>
      </c>
      <c r="E14" s="37">
        <v>1</v>
      </c>
      <c r="F14" s="37">
        <v>1</v>
      </c>
      <c r="G14" s="37">
        <v>0</v>
      </c>
      <c r="H14" s="8"/>
      <c r="I14" s="8"/>
    </row>
    <row r="15" spans="1:9" x14ac:dyDescent="0.25">
      <c r="A15" s="8" t="s">
        <v>107</v>
      </c>
      <c r="B15" s="38">
        <v>20000</v>
      </c>
      <c r="C15" s="38">
        <v>0</v>
      </c>
      <c r="D15" s="38">
        <v>30000</v>
      </c>
      <c r="E15" s="38">
        <v>35000</v>
      </c>
      <c r="F15" s="38">
        <v>35000</v>
      </c>
      <c r="G15" s="38">
        <v>0</v>
      </c>
      <c r="H15" s="8"/>
      <c r="I15" s="8"/>
    </row>
    <row r="16" spans="1:9" x14ac:dyDescent="0.25">
      <c r="A16" s="8"/>
      <c r="B16" s="43" t="s">
        <v>2</v>
      </c>
      <c r="C16" s="43" t="s">
        <v>2</v>
      </c>
      <c r="D16" s="43" t="s">
        <v>2</v>
      </c>
      <c r="E16" s="43" t="s">
        <v>2</v>
      </c>
      <c r="F16" s="43" t="s">
        <v>2</v>
      </c>
      <c r="G16" s="43" t="s">
        <v>2</v>
      </c>
      <c r="H16" s="8"/>
      <c r="I16" s="8" t="s">
        <v>109</v>
      </c>
    </row>
    <row r="17" spans="1:9" x14ac:dyDescent="0.25">
      <c r="A17" s="8" t="s">
        <v>108</v>
      </c>
      <c r="B17" s="36">
        <v>30000</v>
      </c>
      <c r="C17" s="36">
        <v>30000</v>
      </c>
      <c r="D17" s="36">
        <v>30000</v>
      </c>
      <c r="E17" s="36">
        <v>30000</v>
      </c>
      <c r="F17" s="36">
        <v>30000</v>
      </c>
      <c r="G17" s="36">
        <v>30000</v>
      </c>
      <c r="H17" s="8"/>
      <c r="I17" s="8"/>
    </row>
    <row r="18" spans="1:9" x14ac:dyDescent="0.25">
      <c r="A18" s="8"/>
      <c r="B18" s="39">
        <f>$B$6*B14</f>
        <v>125000</v>
      </c>
      <c r="C18" s="39">
        <f t="shared" ref="C18:F18" si="1">$B$6*C14</f>
        <v>0</v>
      </c>
      <c r="D18" s="39">
        <f>$B$6*D14</f>
        <v>125000</v>
      </c>
      <c r="E18" s="39">
        <f t="shared" si="1"/>
        <v>125000</v>
      </c>
      <c r="F18" s="39">
        <f t="shared" si="1"/>
        <v>125000</v>
      </c>
      <c r="G18" s="39">
        <f>$B$6*G14</f>
        <v>0</v>
      </c>
      <c r="H18" s="8"/>
      <c r="I18" s="8"/>
    </row>
    <row r="19" spans="1:9" x14ac:dyDescent="0.2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25">
      <c r="A20" s="20" t="s">
        <v>110</v>
      </c>
      <c r="B20" s="8"/>
      <c r="C20" s="8"/>
      <c r="D20" s="8"/>
      <c r="E20" s="8"/>
      <c r="F20" s="8"/>
      <c r="G20" s="8"/>
      <c r="H20" s="8"/>
      <c r="I20" s="8"/>
    </row>
    <row r="21" spans="1:9" x14ac:dyDescent="0.25">
      <c r="A21" s="8"/>
      <c r="B21" s="21"/>
      <c r="C21" s="21"/>
      <c r="D21" s="21"/>
      <c r="E21" s="21"/>
      <c r="F21" s="21"/>
      <c r="G21" s="21"/>
      <c r="H21" s="8"/>
      <c r="I21" s="8"/>
    </row>
    <row r="22" spans="1:9" x14ac:dyDescent="0.25">
      <c r="A22" s="8" t="s">
        <v>111</v>
      </c>
      <c r="B22" s="10">
        <v>10000</v>
      </c>
      <c r="C22" s="10">
        <v>15000</v>
      </c>
      <c r="D22" s="10">
        <v>30000</v>
      </c>
      <c r="E22" s="10">
        <v>35000</v>
      </c>
      <c r="F22" s="10">
        <v>25000</v>
      </c>
      <c r="G22" s="10">
        <v>10000</v>
      </c>
      <c r="H22" s="8"/>
      <c r="I22" s="8"/>
    </row>
    <row r="23" spans="1:9" x14ac:dyDescent="0.25">
      <c r="A23" s="8"/>
      <c r="B23" s="19"/>
      <c r="C23" s="19"/>
      <c r="D23" s="19"/>
      <c r="E23" s="19"/>
      <c r="F23" s="19"/>
      <c r="G23" s="19"/>
      <c r="H23" s="21" t="s">
        <v>113</v>
      </c>
      <c r="I23" s="8" t="s">
        <v>114</v>
      </c>
    </row>
    <row r="24" spans="1:9" x14ac:dyDescent="0.25">
      <c r="A24" s="8" t="s">
        <v>112</v>
      </c>
      <c r="B24" s="25">
        <f>(B15)-B22+B4</f>
        <v>15000</v>
      </c>
      <c r="C24" s="25">
        <f>(C15)-C22+B24</f>
        <v>0</v>
      </c>
      <c r="D24" s="25">
        <f>(D15)-D22+C24</f>
        <v>0</v>
      </c>
      <c r="E24" s="25">
        <f t="shared" ref="E24:G24" si="2">(E15)-E22+D24</f>
        <v>0</v>
      </c>
      <c r="F24" s="25">
        <f>(F15)-F22+E24</f>
        <v>10000</v>
      </c>
      <c r="G24" s="25">
        <f t="shared" si="2"/>
        <v>0</v>
      </c>
      <c r="H24" s="8"/>
      <c r="I24" s="8"/>
    </row>
    <row r="25" spans="1:9" x14ac:dyDescent="0.25">
      <c r="A25" s="8"/>
      <c r="B25" s="34" t="s">
        <v>2</v>
      </c>
      <c r="C25" s="34" t="s">
        <v>2</v>
      </c>
      <c r="D25" s="34" t="s">
        <v>2</v>
      </c>
      <c r="E25" s="34" t="s">
        <v>2</v>
      </c>
      <c r="F25" s="34" t="s">
        <v>2</v>
      </c>
      <c r="G25" s="34" t="s">
        <v>2</v>
      </c>
      <c r="H25" s="8"/>
      <c r="I25" s="8" t="s">
        <v>116</v>
      </c>
    </row>
    <row r="26" spans="1:9" x14ac:dyDescent="0.25">
      <c r="A26" s="8" t="s">
        <v>115</v>
      </c>
      <c r="B26" s="35">
        <v>10000</v>
      </c>
      <c r="C26" s="35">
        <v>10000</v>
      </c>
      <c r="D26" s="35">
        <v>10000</v>
      </c>
      <c r="E26" s="35">
        <v>10000</v>
      </c>
      <c r="F26" s="35">
        <v>10000</v>
      </c>
      <c r="G26" s="35">
        <v>10000</v>
      </c>
      <c r="H26" s="8"/>
      <c r="I26" s="8"/>
    </row>
    <row r="27" spans="1:9" x14ac:dyDescent="0.25">
      <c r="A27" s="17"/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22" t="s">
        <v>117</v>
      </c>
      <c r="B28" s="16"/>
      <c r="C28" s="8"/>
      <c r="D28" s="8"/>
      <c r="E28" s="8"/>
      <c r="F28" s="8"/>
      <c r="G28" s="8"/>
      <c r="I28" s="8"/>
    </row>
    <row r="29" spans="1:9" x14ac:dyDescent="0.25">
      <c r="A29" s="8" t="s">
        <v>103</v>
      </c>
      <c r="B29" s="12">
        <v>1</v>
      </c>
      <c r="C29" s="12">
        <v>2</v>
      </c>
      <c r="D29" s="12">
        <v>3</v>
      </c>
      <c r="E29" s="12">
        <v>4</v>
      </c>
      <c r="F29" s="12">
        <v>5</v>
      </c>
      <c r="G29" s="12">
        <v>6</v>
      </c>
      <c r="H29" s="21" t="s">
        <v>118</v>
      </c>
      <c r="I29" s="8"/>
    </row>
    <row r="30" spans="1:9" x14ac:dyDescent="0.25">
      <c r="A30" s="8" t="s">
        <v>119</v>
      </c>
      <c r="B30" s="33">
        <f t="shared" ref="B30:G30" si="3">B24*B10</f>
        <v>9375</v>
      </c>
      <c r="C30" s="33">
        <f t="shared" si="3"/>
        <v>0</v>
      </c>
      <c r="D30" s="33">
        <f t="shared" si="3"/>
        <v>0</v>
      </c>
      <c r="E30" s="33">
        <f t="shared" si="3"/>
        <v>0</v>
      </c>
      <c r="F30" s="33">
        <f t="shared" si="3"/>
        <v>6425.0000000000009</v>
      </c>
      <c r="G30" s="33">
        <f t="shared" si="3"/>
        <v>0</v>
      </c>
      <c r="H30" s="41">
        <f>SUMPRODUCT(B24:G24,B10:G10)</f>
        <v>15800</v>
      </c>
      <c r="I30" s="8"/>
    </row>
    <row r="31" spans="1:9" x14ac:dyDescent="0.25">
      <c r="A31" s="8" t="s">
        <v>120</v>
      </c>
      <c r="B31" s="33">
        <f t="shared" ref="B31:G31" si="4">B15*B9</f>
        <v>250000</v>
      </c>
      <c r="C31" s="33">
        <f t="shared" si="4"/>
        <v>0</v>
      </c>
      <c r="D31" s="33">
        <f t="shared" si="4"/>
        <v>381000</v>
      </c>
      <c r="E31" s="33">
        <f t="shared" si="4"/>
        <v>448000</v>
      </c>
      <c r="F31" s="33">
        <f t="shared" si="4"/>
        <v>449750</v>
      </c>
      <c r="G31" s="33">
        <f t="shared" si="4"/>
        <v>0</v>
      </c>
      <c r="H31" s="41">
        <f>SUMPRODUCT(B15:G15,B9:G9)</f>
        <v>1528750</v>
      </c>
      <c r="I31" s="8"/>
    </row>
    <row r="32" spans="1:9" x14ac:dyDescent="0.25">
      <c r="A32" s="14" t="s">
        <v>131</v>
      </c>
      <c r="B32" s="33">
        <v>15000</v>
      </c>
      <c r="C32" s="33">
        <v>15000</v>
      </c>
      <c r="D32" s="33">
        <v>15000</v>
      </c>
      <c r="E32" s="33">
        <v>15000</v>
      </c>
      <c r="F32" s="33">
        <v>15000</v>
      </c>
      <c r="G32" s="33">
        <v>15000</v>
      </c>
      <c r="H32" s="41">
        <f>SUMPRODUCT(B14:G14,B32:G32)</f>
        <v>60000</v>
      </c>
      <c r="I32" s="8"/>
    </row>
    <row r="33" spans="1:8" x14ac:dyDescent="0.25">
      <c r="A33" s="8"/>
      <c r="B33" s="8"/>
      <c r="C33" s="8"/>
      <c r="D33" s="8"/>
      <c r="E33" s="8"/>
      <c r="F33" s="8"/>
      <c r="G33" s="8"/>
      <c r="H33" s="42">
        <f>SUM(H30:H32)</f>
        <v>1604550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8B91-F448-4184-8315-E5F01652B01A}">
  <dimension ref="A1:G7"/>
  <sheetViews>
    <sheetView workbookViewId="0">
      <selection sqref="A1:G7"/>
    </sheetView>
  </sheetViews>
  <sheetFormatPr defaultRowHeight="15" x14ac:dyDescent="0.25"/>
  <cols>
    <col min="1" max="1" width="14" bestFit="1" customWidth="1"/>
    <col min="4" max="4" width="11.28515625" bestFit="1" customWidth="1"/>
    <col min="5" max="5" width="11.28515625" customWidth="1"/>
  </cols>
  <sheetData>
    <row r="1" spans="1:7" x14ac:dyDescent="0.25">
      <c r="A1" t="s">
        <v>162</v>
      </c>
      <c r="B1" t="s">
        <v>163</v>
      </c>
      <c r="C1" t="s">
        <v>164</v>
      </c>
      <c r="D1" t="s">
        <v>165</v>
      </c>
      <c r="E1" t="s">
        <v>167</v>
      </c>
      <c r="F1" t="s">
        <v>168</v>
      </c>
      <c r="G1" t="s">
        <v>169</v>
      </c>
    </row>
    <row r="2" spans="1:7" x14ac:dyDescent="0.25">
      <c r="A2">
        <v>1</v>
      </c>
      <c r="B2">
        <v>5</v>
      </c>
      <c r="C2">
        <v>10</v>
      </c>
      <c r="D2">
        <v>200</v>
      </c>
      <c r="E2">
        <f>($B$6-B2)</f>
        <v>4.3141630158538948</v>
      </c>
      <c r="F2">
        <f>($C$6-C2)</f>
        <v>-4.9712990159689436</v>
      </c>
      <c r="G2">
        <f>SQRT(E2^2 +F2^2)</f>
        <v>6.582234911755684</v>
      </c>
    </row>
    <row r="3" spans="1:7" x14ac:dyDescent="0.25">
      <c r="A3">
        <v>2</v>
      </c>
      <c r="B3">
        <v>10</v>
      </c>
      <c r="C3">
        <v>5</v>
      </c>
      <c r="D3">
        <v>150</v>
      </c>
      <c r="E3">
        <f t="shared" ref="E3:E5" si="0">($B$6-B3)</f>
        <v>-0.68583698414610517</v>
      </c>
      <c r="F3">
        <f t="shared" ref="F3:F5" si="1">($C$6-C3)</f>
        <v>2.8700984031056365E-2</v>
      </c>
      <c r="G3">
        <f t="shared" ref="G3:G5" si="2">SQRT(E3^2 +F3^2)</f>
        <v>0.68643726246975834</v>
      </c>
    </row>
    <row r="4" spans="1:7" x14ac:dyDescent="0.25">
      <c r="A4">
        <v>3</v>
      </c>
      <c r="B4">
        <v>0</v>
      </c>
      <c r="C4">
        <v>12</v>
      </c>
      <c r="D4">
        <v>200</v>
      </c>
      <c r="E4">
        <f t="shared" si="0"/>
        <v>9.3141630158538948</v>
      </c>
      <c r="F4">
        <f t="shared" si="1"/>
        <v>-6.9712990159689436</v>
      </c>
      <c r="G4">
        <f t="shared" si="2"/>
        <v>11.634115465128842</v>
      </c>
    </row>
    <row r="5" spans="1:7" x14ac:dyDescent="0.25">
      <c r="A5">
        <v>4</v>
      </c>
      <c r="B5">
        <v>12</v>
      </c>
      <c r="C5">
        <v>0</v>
      </c>
      <c r="D5">
        <v>300</v>
      </c>
      <c r="E5">
        <f t="shared" si="0"/>
        <v>-2.6858369841461052</v>
      </c>
      <c r="F5">
        <f t="shared" si="1"/>
        <v>5.0287009840310564</v>
      </c>
      <c r="G5">
        <f t="shared" si="2"/>
        <v>5.7010134092283948</v>
      </c>
    </row>
    <row r="6" spans="1:7" x14ac:dyDescent="0.25">
      <c r="A6" s="29" t="s">
        <v>166</v>
      </c>
      <c r="B6" s="1">
        <v>9.3141630158538948</v>
      </c>
      <c r="C6" s="1">
        <v>5.0287009840310564</v>
      </c>
      <c r="G6" s="30"/>
    </row>
    <row r="7" spans="1:7" x14ac:dyDescent="0.25">
      <c r="A7" t="s">
        <v>170</v>
      </c>
      <c r="B7" s="2">
        <f>SUMPRODUCT(D2:D5,G2:G5)</f>
        <v>5456.5396875158876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87C3-C663-4007-B0D4-35BF49BC4D1B}">
  <dimension ref="A1:E27"/>
  <sheetViews>
    <sheetView workbookViewId="0">
      <selection activeCell="K36" sqref="K36"/>
    </sheetView>
  </sheetViews>
  <sheetFormatPr defaultRowHeight="15" x14ac:dyDescent="0.25"/>
  <cols>
    <col min="1" max="1" width="31.28515625" customWidth="1"/>
    <col min="2" max="2" width="9.85546875" bestFit="1" customWidth="1"/>
    <col min="3" max="3" width="10.140625" bestFit="1" customWidth="1"/>
    <col min="4" max="4" width="13.85546875" bestFit="1" customWidth="1"/>
  </cols>
  <sheetData>
    <row r="1" spans="1:5" x14ac:dyDescent="0.25">
      <c r="A1" s="17" t="s">
        <v>171</v>
      </c>
      <c r="B1" s="8"/>
      <c r="C1" s="8"/>
      <c r="D1" s="8"/>
      <c r="E1" s="8"/>
    </row>
    <row r="2" spans="1:5" x14ac:dyDescent="0.25">
      <c r="A2" s="8"/>
      <c r="B2" s="8"/>
      <c r="C2" s="8"/>
      <c r="D2" s="8"/>
      <c r="E2" s="8"/>
    </row>
    <row r="3" spans="1:5" x14ac:dyDescent="0.25">
      <c r="A3" s="17" t="s">
        <v>100</v>
      </c>
      <c r="B3" s="8"/>
      <c r="C3" s="8"/>
      <c r="D3" s="8"/>
      <c r="E3" s="8"/>
    </row>
    <row r="4" spans="1:5" x14ac:dyDescent="0.25">
      <c r="A4" s="14" t="s">
        <v>172</v>
      </c>
      <c r="B4" s="8"/>
      <c r="C4" s="8"/>
      <c r="D4" s="8"/>
      <c r="E4" s="8"/>
    </row>
    <row r="5" spans="1:5" x14ac:dyDescent="0.25">
      <c r="A5" s="8"/>
      <c r="B5" s="21" t="s">
        <v>173</v>
      </c>
      <c r="C5" s="21" t="s">
        <v>174</v>
      </c>
      <c r="D5" s="21" t="s">
        <v>175</v>
      </c>
      <c r="E5" s="21"/>
    </row>
    <row r="6" spans="1:5" x14ac:dyDescent="0.25">
      <c r="A6" s="20" t="s">
        <v>176</v>
      </c>
      <c r="B6" s="10">
        <v>2.2530000000000001</v>
      </c>
      <c r="C6" s="10">
        <v>-1.2999999999999999E-2</v>
      </c>
      <c r="D6" s="10">
        <v>3.0000000000000001E-3</v>
      </c>
      <c r="E6" s="8"/>
    </row>
    <row r="7" spans="1:5" x14ac:dyDescent="0.25">
      <c r="A7" s="8" t="s">
        <v>177</v>
      </c>
      <c r="B7" s="10">
        <v>1.1419999999999999</v>
      </c>
      <c r="C7" s="10">
        <v>5.0000000000000001E-3</v>
      </c>
      <c r="D7" s="10">
        <v>-1.4999999999999999E-2</v>
      </c>
      <c r="E7" s="8"/>
    </row>
    <row r="8" spans="1:5" x14ac:dyDescent="0.25">
      <c r="A8" s="8"/>
      <c r="B8" s="8"/>
      <c r="C8" s="8"/>
      <c r="D8" s="8"/>
      <c r="E8" s="8"/>
    </row>
    <row r="9" spans="1:5" x14ac:dyDescent="0.25">
      <c r="A9" s="14" t="s">
        <v>178</v>
      </c>
      <c r="B9" s="44">
        <v>75</v>
      </c>
      <c r="C9" s="8"/>
      <c r="D9" s="8"/>
      <c r="E9" s="8"/>
    </row>
    <row r="10" spans="1:5" x14ac:dyDescent="0.25">
      <c r="A10" s="8"/>
      <c r="B10" s="8"/>
      <c r="C10" s="8"/>
      <c r="D10" s="8"/>
      <c r="E10" s="8"/>
    </row>
    <row r="11" spans="1:5" x14ac:dyDescent="0.25">
      <c r="A11" s="22" t="s">
        <v>179</v>
      </c>
      <c r="B11" s="8"/>
      <c r="C11" s="8"/>
      <c r="D11" s="8"/>
      <c r="E11" s="8"/>
    </row>
    <row r="12" spans="1:5" x14ac:dyDescent="0.25">
      <c r="A12" s="21"/>
      <c r="B12" s="21" t="s">
        <v>180</v>
      </c>
      <c r="C12" s="21" t="s">
        <v>181</v>
      </c>
      <c r="D12" s="19"/>
      <c r="E12" s="21"/>
    </row>
    <row r="13" spans="1:5" x14ac:dyDescent="0.25">
      <c r="A13" s="8" t="s">
        <v>182</v>
      </c>
      <c r="B13" s="45">
        <v>137.57222139459847</v>
      </c>
      <c r="C13" s="45">
        <v>75.849999204652676</v>
      </c>
      <c r="D13" s="8"/>
      <c r="E13" s="8"/>
    </row>
    <row r="14" spans="1:5" x14ac:dyDescent="0.25">
      <c r="A14" s="8"/>
      <c r="B14" s="46"/>
      <c r="C14" s="46"/>
      <c r="D14" s="47"/>
      <c r="E14" s="8"/>
    </row>
    <row r="15" spans="1:5" x14ac:dyDescent="0.25">
      <c r="A15" s="8" t="s">
        <v>183</v>
      </c>
      <c r="B15" s="48">
        <v>0.69211111571181716</v>
      </c>
      <c r="C15" s="46"/>
      <c r="D15" s="47"/>
      <c r="E15" s="8"/>
    </row>
    <row r="16" spans="1:5" x14ac:dyDescent="0.25">
      <c r="A16" s="8"/>
      <c r="B16" s="8"/>
      <c r="C16" s="8"/>
      <c r="D16" s="8"/>
      <c r="E16" s="8"/>
    </row>
    <row r="17" spans="1:5" x14ac:dyDescent="0.25">
      <c r="A17" s="22" t="s">
        <v>184</v>
      </c>
      <c r="B17" s="8"/>
      <c r="C17" s="8"/>
      <c r="D17" s="8"/>
      <c r="E17" s="8"/>
    </row>
    <row r="18" spans="1:5" x14ac:dyDescent="0.25">
      <c r="A18" s="8"/>
      <c r="B18" s="21" t="s">
        <v>180</v>
      </c>
      <c r="C18" s="21" t="s">
        <v>181</v>
      </c>
      <c r="D18" s="21"/>
      <c r="E18" s="21"/>
    </row>
    <row r="19" spans="1:5" x14ac:dyDescent="0.25">
      <c r="A19" s="8" t="s">
        <v>111</v>
      </c>
      <c r="B19" s="52">
        <f>SUMPRODUCT(C6:D6,B13:C13) +B6</f>
        <v>0.69211111948417825</v>
      </c>
      <c r="C19" s="52">
        <f>SUMPRODUCT(C7:D7, B13:C13) + B7</f>
        <v>0.6921111189032022</v>
      </c>
      <c r="D19" s="8"/>
      <c r="E19" s="8"/>
    </row>
    <row r="20" spans="1:5" x14ac:dyDescent="0.25">
      <c r="A20" s="8"/>
      <c r="B20" s="21" t="s">
        <v>2</v>
      </c>
      <c r="C20" s="21" t="s">
        <v>2</v>
      </c>
      <c r="D20" s="8"/>
      <c r="E20" s="8"/>
    </row>
    <row r="21" spans="1:5" x14ac:dyDescent="0.25">
      <c r="A21" s="8" t="s">
        <v>183</v>
      </c>
      <c r="B21" s="51">
        <f>$B$15</f>
        <v>0.69211111571181716</v>
      </c>
      <c r="C21" s="51">
        <f>$B$15</f>
        <v>0.69211111571181716</v>
      </c>
      <c r="D21" s="47"/>
      <c r="E21" s="8"/>
    </row>
    <row r="22" spans="1:5" x14ac:dyDescent="0.25">
      <c r="A22" s="8"/>
      <c r="B22" s="47"/>
      <c r="C22" s="8"/>
      <c r="D22" s="8"/>
      <c r="E22" s="8"/>
    </row>
    <row r="23" spans="1:5" x14ac:dyDescent="0.25">
      <c r="A23" s="17" t="s">
        <v>185</v>
      </c>
      <c r="B23" s="8"/>
      <c r="C23" s="8"/>
      <c r="D23" s="8"/>
      <c r="E23" s="8"/>
    </row>
    <row r="24" spans="1:5" x14ac:dyDescent="0.25">
      <c r="A24" s="8" t="s">
        <v>186</v>
      </c>
      <c r="B24" s="49">
        <f>SUMPRODUCT(B19:C19,B13:C13)</f>
        <v>147.71189197767993</v>
      </c>
      <c r="C24" s="49"/>
      <c r="D24" s="8"/>
      <c r="E24" s="8"/>
    </row>
    <row r="25" spans="1:5" x14ac:dyDescent="0.25">
      <c r="A25" s="8" t="s">
        <v>187</v>
      </c>
      <c r="B25" s="49">
        <f>$B$9*B15</f>
        <v>51.908333678386285</v>
      </c>
      <c r="C25" s="8"/>
      <c r="D25" s="8"/>
      <c r="E25" s="8"/>
    </row>
    <row r="26" spans="1:5" x14ac:dyDescent="0.25">
      <c r="A26" s="8" t="s">
        <v>188</v>
      </c>
      <c r="B26" s="50">
        <f>B24-B25</f>
        <v>95.803558299293641</v>
      </c>
      <c r="C26" s="8"/>
      <c r="D26" s="8"/>
      <c r="E26" s="8"/>
    </row>
    <row r="27" spans="1:5" x14ac:dyDescent="0.25">
      <c r="A27" s="8"/>
      <c r="B27" s="8"/>
      <c r="C27" s="8"/>
      <c r="D27" s="8"/>
      <c r="E27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9978-8C83-46EC-9B0D-95A12529CCF4}">
  <dimension ref="A2:J8"/>
  <sheetViews>
    <sheetView workbookViewId="0">
      <selection activeCell="K21" sqref="K21"/>
    </sheetView>
  </sheetViews>
  <sheetFormatPr defaultRowHeight="15" x14ac:dyDescent="0.25"/>
  <cols>
    <col min="1" max="1" width="14" bestFit="1" customWidth="1"/>
    <col min="2" max="3" width="12" bestFit="1" customWidth="1"/>
    <col min="4" max="4" width="11.28515625" bestFit="1" customWidth="1"/>
  </cols>
  <sheetData>
    <row r="2" spans="1:10" x14ac:dyDescent="0.25">
      <c r="A2" s="29" t="s">
        <v>162</v>
      </c>
      <c r="B2" s="29" t="s">
        <v>163</v>
      </c>
      <c r="C2" s="29" t="s">
        <v>164</v>
      </c>
      <c r="D2" s="29" t="s">
        <v>165</v>
      </c>
      <c r="E2" s="29" t="s">
        <v>167</v>
      </c>
      <c r="F2" s="29"/>
      <c r="G2" s="29" t="s">
        <v>168</v>
      </c>
      <c r="H2" s="29"/>
      <c r="I2" s="29" t="s">
        <v>189</v>
      </c>
      <c r="J2" s="29" t="s">
        <v>190</v>
      </c>
    </row>
    <row r="3" spans="1:10" x14ac:dyDescent="0.25">
      <c r="A3">
        <v>1</v>
      </c>
      <c r="B3">
        <v>5</v>
      </c>
      <c r="C3">
        <v>10</v>
      </c>
      <c r="D3">
        <v>200</v>
      </c>
      <c r="E3">
        <f>$B$7-B3</f>
        <v>5</v>
      </c>
      <c r="F3">
        <f>E3 * -1</f>
        <v>-5</v>
      </c>
      <c r="G3">
        <f>$C$7-C3</f>
        <v>-5</v>
      </c>
      <c r="H3">
        <f>G3 * -1</f>
        <v>5</v>
      </c>
      <c r="I3" s="5">
        <v>5</v>
      </c>
      <c r="J3" s="5">
        <v>5</v>
      </c>
    </row>
    <row r="4" spans="1:10" x14ac:dyDescent="0.25">
      <c r="A4">
        <v>2</v>
      </c>
      <c r="B4">
        <v>10</v>
      </c>
      <c r="C4">
        <v>5</v>
      </c>
      <c r="D4">
        <v>150</v>
      </c>
      <c r="E4">
        <f t="shared" ref="E4:E6" si="0">$B$7-B4</f>
        <v>0</v>
      </c>
      <c r="F4">
        <f t="shared" ref="F4:F6" si="1">E4 * -1</f>
        <v>0</v>
      </c>
      <c r="G4">
        <f t="shared" ref="G4:G6" si="2">$C$7-C4</f>
        <v>0</v>
      </c>
      <c r="H4">
        <f t="shared" ref="H4:H6" si="3">G4 * -1</f>
        <v>0</v>
      </c>
      <c r="I4" s="5">
        <v>0</v>
      </c>
      <c r="J4" s="5">
        <v>0</v>
      </c>
    </row>
    <row r="5" spans="1:10" x14ac:dyDescent="0.25">
      <c r="A5">
        <v>3</v>
      </c>
      <c r="B5">
        <v>0</v>
      </c>
      <c r="C5">
        <v>12</v>
      </c>
      <c r="D5">
        <v>200</v>
      </c>
      <c r="E5">
        <f t="shared" si="0"/>
        <v>10</v>
      </c>
      <c r="F5">
        <f t="shared" si="1"/>
        <v>-10</v>
      </c>
      <c r="G5">
        <f t="shared" si="2"/>
        <v>-7</v>
      </c>
      <c r="H5">
        <f t="shared" si="3"/>
        <v>7</v>
      </c>
      <c r="I5" s="5">
        <v>10</v>
      </c>
      <c r="J5" s="5">
        <v>7</v>
      </c>
    </row>
    <row r="6" spans="1:10" x14ac:dyDescent="0.25">
      <c r="A6">
        <v>4</v>
      </c>
      <c r="B6">
        <v>12</v>
      </c>
      <c r="C6">
        <v>0</v>
      </c>
      <c r="D6">
        <v>300</v>
      </c>
      <c r="E6">
        <f t="shared" si="0"/>
        <v>-2</v>
      </c>
      <c r="F6">
        <f t="shared" si="1"/>
        <v>2</v>
      </c>
      <c r="G6">
        <f t="shared" si="2"/>
        <v>5</v>
      </c>
      <c r="H6">
        <f t="shared" si="3"/>
        <v>-5</v>
      </c>
      <c r="I6" s="5">
        <v>2</v>
      </c>
      <c r="J6" s="5">
        <v>5</v>
      </c>
    </row>
    <row r="7" spans="1:10" x14ac:dyDescent="0.25">
      <c r="A7" s="29" t="s">
        <v>166</v>
      </c>
      <c r="B7" s="1">
        <v>10</v>
      </c>
      <c r="C7" s="1">
        <v>5</v>
      </c>
      <c r="I7">
        <f>SUMPRODUCT(D3:D6,I3:I6)</f>
        <v>3600</v>
      </c>
      <c r="J7">
        <f>SUMPRODUCT(D3:D6,J3:J6)</f>
        <v>3900</v>
      </c>
    </row>
    <row r="8" spans="1:10" x14ac:dyDescent="0.25">
      <c r="A8" t="s">
        <v>170</v>
      </c>
      <c r="B8" s="2">
        <f>SUM(I7:J7)</f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Sensitivity Report 1</vt:lpstr>
      <vt:lpstr>ch_1_1</vt:lpstr>
      <vt:lpstr>ch_1_2</vt:lpstr>
      <vt:lpstr>ch_2_1</vt:lpstr>
      <vt:lpstr>ch_2_2</vt:lpstr>
      <vt:lpstr>ch_2_3</vt:lpstr>
      <vt:lpstr>ch_2_4</vt:lpstr>
      <vt:lpstr>ch_3_1</vt:lpstr>
      <vt:lpstr>ch_3_2</vt:lpstr>
      <vt:lpstr>ch_3_3</vt:lpstr>
      <vt:lpstr>ch_3_4</vt:lpstr>
      <vt:lpstr>ch4_1</vt:lpstr>
      <vt:lpstr>ch4_1 (2)</vt:lpstr>
      <vt:lpstr>ch4_2</vt:lpstr>
      <vt:lpstr>ch4_3</vt:lpstr>
      <vt:lpstr>ch4_4</vt:lpstr>
      <vt:lpstr>ch4_5</vt:lpstr>
      <vt:lpstr>ch5_1</vt:lpstr>
      <vt:lpstr>ch5_2</vt:lpstr>
      <vt:lpstr>ch5_3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 Janpitak</dc:creator>
  <cp:lastModifiedBy>Pannatorn Janpitak</cp:lastModifiedBy>
  <dcterms:created xsi:type="dcterms:W3CDTF">2026-09-16T13:39:47Z</dcterms:created>
  <dcterms:modified xsi:type="dcterms:W3CDTF">2026-09-24T10:02:46Z</dcterms:modified>
</cp:coreProperties>
</file>