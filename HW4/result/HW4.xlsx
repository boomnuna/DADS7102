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229\Documents\GitHub\DADS7102\HW4\result\"/>
    </mc:Choice>
  </mc:AlternateContent>
  <xr:revisionPtr revIDLastSave="0" documentId="13_ncr:1_{0D01EDF7-7DA0-4F4B-A80A-750284FE0867}" xr6:coauthVersionLast="47" xr6:coauthVersionMax="47" xr10:uidLastSave="{00000000-0000-0000-0000-000000000000}"/>
  <bookViews>
    <workbookView xWindow="-120" yWindow="-120" windowWidth="29040" windowHeight="15720" activeTab="2" xr2:uid="{34DA60CE-96CD-40DE-89EC-63BE59E8EFBC}"/>
  </bookViews>
  <sheets>
    <sheet name="FixedCost" sheetId="1" r:id="rId1"/>
    <sheet name="CapitalBudget" sheetId="2" r:id="rId2"/>
    <sheet name="ProdPlanning" sheetId="3" r:id="rId3"/>
  </sheets>
  <externalReferences>
    <externalReference r:id="rId4"/>
    <externalReference r:id="rId5"/>
  </externalReferences>
  <definedNames>
    <definedName name="_xlnm._FilterDatabase" localSheetId="1" hidden="1">CapitalBudget!$A$21:$J$149</definedName>
    <definedName name="AFinish" localSheetId="2">[1]project!$K$6</definedName>
    <definedName name="AFinish">[2]project!$K$6</definedName>
    <definedName name="BFinish" localSheetId="2">[1]project!$K$7</definedName>
    <definedName name="BFinish">[2]project!$K$7</definedName>
    <definedName name="CFinish" localSheetId="2">[1]project!$K$8</definedName>
    <definedName name="CFinish">[2]project!$K$8</definedName>
    <definedName name="DFinish" localSheetId="2">[1]project!$K$9</definedName>
    <definedName name="DFinish">[2]project!$K$9</definedName>
    <definedName name="EFinish" localSheetId="2">[1]project!$K$10</definedName>
    <definedName name="EFinish">[2]project!$K$10</definedName>
    <definedName name="FFinish" localSheetId="2">[1]project!$K$11</definedName>
    <definedName name="FFinish">[2]project!$K$11</definedName>
    <definedName name="GFinish" localSheetId="2">[1]project!$K$12</definedName>
    <definedName name="GFinish">[2]project!$K$12</definedName>
    <definedName name="HFinish" localSheetId="2">[1]project!$K$13</definedName>
    <definedName name="HFinish">[2]project!$K$13</definedName>
    <definedName name="IFinish" localSheetId="2">[1]project!$K$14</definedName>
    <definedName name="IFinish">[2]project!$K$14</definedName>
    <definedName name="invLevels" localSheetId="2">[1]CapitalBudget!$B$10:$H$10</definedName>
    <definedName name="invLevels">[2]CapitalBudget!$B$10:$H$10</definedName>
    <definedName name="JFinish" localSheetId="2">[1]project!$K$15</definedName>
    <definedName name="JFinish">[2]project!$K$15</definedName>
    <definedName name="KFinish" localSheetId="2">[1]project!$K$16</definedName>
    <definedName name="KFinish">[2]project!$K$16</definedName>
    <definedName name="LFinish" localSheetId="2">[1]project!$K$17</definedName>
    <definedName name="LFinish">[2]project!$K$17</definedName>
    <definedName name="MFinish" localSheetId="2">[1]project!$K$18</definedName>
    <definedName name="MFinish">[2]project!$K$18</definedName>
    <definedName name="NFinish" localSheetId="2">[1]project!$K$19</definedName>
    <definedName name="NFinish">[2]project!$K$19</definedName>
    <definedName name="solver_adj" localSheetId="1" hidden="1">CapitalBudget!$B$10:$H$10</definedName>
    <definedName name="solver_adj" localSheetId="0" hidden="1">FixedCost!$B$14:$G$15</definedName>
    <definedName name="solver_adj" localSheetId="2" hidden="1">ProdPlanning!$B$16:$G$17</definedName>
    <definedName name="solver_cvg" localSheetId="1" hidden="1">0.0001</definedName>
    <definedName name="solver_cvg" localSheetId="0" hidden="1">0.0001</definedName>
    <definedName name="solver_cvg" localSheetId="2" hidden="1">0.0001</definedName>
    <definedName name="solver_drv" localSheetId="1" hidden="1">1</definedName>
    <definedName name="solver_drv" localSheetId="0" hidden="1">1</definedName>
    <definedName name="solver_drv" localSheetId="2" hidden="1">1</definedName>
    <definedName name="solver_eng" localSheetId="1" hidden="1">2</definedName>
    <definedName name="solver_eng" localSheetId="0" hidden="1">2</definedName>
    <definedName name="solver_eng" localSheetId="2" hidden="1">2</definedName>
    <definedName name="solver_est" localSheetId="1" hidden="1">1</definedName>
    <definedName name="solver_est" localSheetId="0" hidden="1">1</definedName>
    <definedName name="solver_est" localSheetId="2" hidden="1">1</definedName>
    <definedName name="solver_itr" localSheetId="1" hidden="1">2147483647</definedName>
    <definedName name="solver_itr" localSheetId="0" hidden="1">2147483647</definedName>
    <definedName name="solver_itr" localSheetId="2" hidden="1">2147483647</definedName>
    <definedName name="solver_lhs1" localSheetId="1" hidden="1">CapitalBudget!$B$14</definedName>
    <definedName name="solver_lhs1" localSheetId="0" hidden="1">FixedCost!$B$14:$G$14</definedName>
    <definedName name="solver_lhs1" localSheetId="2" hidden="1">ProdPlanning!$B$16:$G$16</definedName>
    <definedName name="solver_lhs2" localSheetId="1" hidden="1">CapitalBudget!$B$10:$H$10</definedName>
    <definedName name="solver_lhs2" localSheetId="0" hidden="1">FixedCost!$B$15:$G$15</definedName>
    <definedName name="solver_lhs2" localSheetId="2" hidden="1">ProdPlanning!$B$17:$G$17</definedName>
    <definedName name="solver_lhs3" localSheetId="1" hidden="1">CapitalBudget!$C$15</definedName>
    <definedName name="solver_lhs3" localSheetId="0" hidden="1">FixedCost!$B$23:$B$24</definedName>
    <definedName name="solver_lhs3" localSheetId="2" hidden="1">ProdPlanning!$B$27:$G$27</definedName>
    <definedName name="solver_lhs4" localSheetId="1" hidden="1">CapitalBudget!$B$10:$H$10</definedName>
    <definedName name="solver_lhs4" localSheetId="0" hidden="1">FixedCost!$B$23:$B$24</definedName>
    <definedName name="solver_lhs5" localSheetId="1" hidden="1">CapitalBudget!$B$10:$H$10</definedName>
    <definedName name="solver_mip" localSheetId="1" hidden="1">2147483647</definedName>
    <definedName name="solver_mip" localSheetId="0" hidden="1">2147483647</definedName>
    <definedName name="solver_mip" localSheetId="2" hidden="1">2147483647</definedName>
    <definedName name="solver_mni" localSheetId="1" hidden="1">30</definedName>
    <definedName name="solver_mni" localSheetId="0" hidden="1">30</definedName>
    <definedName name="solver_mni" localSheetId="2" hidden="1">30</definedName>
    <definedName name="solver_mrt" localSheetId="1" hidden="1">0.075</definedName>
    <definedName name="solver_mrt" localSheetId="0" hidden="1">0.075</definedName>
    <definedName name="solver_mrt" localSheetId="2" hidden="1">0.075</definedName>
    <definedName name="solver_msl" localSheetId="1" hidden="1">2</definedName>
    <definedName name="solver_msl" localSheetId="0" hidden="1">2</definedName>
    <definedName name="solver_msl" localSheetId="2" hidden="1">2</definedName>
    <definedName name="solver_neg" localSheetId="1" hidden="1">1</definedName>
    <definedName name="solver_neg" localSheetId="0" hidden="1">1</definedName>
    <definedName name="solver_neg" localSheetId="2" hidden="1">1</definedName>
    <definedName name="solver_nod" localSheetId="1" hidden="1">2147483647</definedName>
    <definedName name="solver_nod" localSheetId="0" hidden="1">2147483647</definedName>
    <definedName name="solver_nod" localSheetId="2" hidden="1">2147483647</definedName>
    <definedName name="solver_num" localSheetId="1" hidden="1">2</definedName>
    <definedName name="solver_num" localSheetId="0" hidden="1">3</definedName>
    <definedName name="solver_num" localSheetId="2" hidden="1">3</definedName>
    <definedName name="solver_nwt" localSheetId="1" hidden="1">1</definedName>
    <definedName name="solver_nwt" localSheetId="0" hidden="1">1</definedName>
    <definedName name="solver_nwt" localSheetId="2" hidden="1">1</definedName>
    <definedName name="solver_opt" localSheetId="1" hidden="1">CapitalBudget!$B$17</definedName>
    <definedName name="solver_opt" localSheetId="0" hidden="1">FixedCost!$B$30</definedName>
    <definedName name="solver_opt" localSheetId="2" hidden="1">ProdPlanning!$Y$8</definedName>
    <definedName name="solver_pre" localSheetId="1" hidden="1">0.000001</definedName>
    <definedName name="solver_pre" localSheetId="0" hidden="1">0.000001</definedName>
    <definedName name="solver_pre" localSheetId="2" hidden="1">0.000001</definedName>
    <definedName name="solver_rbv" localSheetId="1" hidden="1">1</definedName>
    <definedName name="solver_rbv" localSheetId="0" hidden="1">1</definedName>
    <definedName name="solver_rbv" localSheetId="2" hidden="1">1</definedName>
    <definedName name="solver_rel1" localSheetId="1" hidden="1">1</definedName>
    <definedName name="solver_rel1" localSheetId="0" hidden="1">5</definedName>
    <definedName name="solver_rel1" localSheetId="2" hidden="1">5</definedName>
    <definedName name="solver_rel2" localSheetId="1" hidden="1">5</definedName>
    <definedName name="solver_rel2" localSheetId="0" hidden="1">1</definedName>
    <definedName name="solver_rel2" localSheetId="2" hidden="1">1</definedName>
    <definedName name="solver_rel3" localSheetId="1" hidden="1">1</definedName>
    <definedName name="solver_rel3" localSheetId="0" hidden="1">1</definedName>
    <definedName name="solver_rel3" localSheetId="2" hidden="1">3</definedName>
    <definedName name="solver_rel4" localSheetId="1" hidden="1">1</definedName>
    <definedName name="solver_rel4" localSheetId="0" hidden="1">1</definedName>
    <definedName name="solver_rel5" localSheetId="1" hidden="1">5</definedName>
    <definedName name="solver_rhs1" localSheetId="1" hidden="1">CapitalBudget!$D$14</definedName>
    <definedName name="solver_rhs1" localSheetId="0" hidden="1">"binary"</definedName>
    <definedName name="solver_rhs1" localSheetId="2" hidden="1">"binary"</definedName>
    <definedName name="solver_rhs2" localSheetId="1" hidden="1">"binary"</definedName>
    <definedName name="solver_rhs2" localSheetId="0" hidden="1">FixedCost!$B$17:$G$17</definedName>
    <definedName name="solver_rhs2" localSheetId="2" hidden="1">ProdPlanning!$B$19:$G$19</definedName>
    <definedName name="solver_rhs3" localSheetId="1" hidden="1">0</definedName>
    <definedName name="solver_rhs3" localSheetId="0" hidden="1">FixedCost!$D$23:$D$24</definedName>
    <definedName name="solver_rhs3" localSheetId="2" hidden="1">0</definedName>
    <definedName name="solver_rhs4" localSheetId="1" hidden="1">1</definedName>
    <definedName name="solver_rhs4" localSheetId="0" hidden="1">FixedCost!$D$23:$D$24</definedName>
    <definedName name="solver_rhs5" localSheetId="1" hidden="1">binary</definedName>
    <definedName name="solver_rlx" localSheetId="1" hidden="1">2</definedName>
    <definedName name="solver_rlx" localSheetId="0" hidden="1">2</definedName>
    <definedName name="solver_rlx" localSheetId="2" hidden="1">2</definedName>
    <definedName name="solver_rsd" localSheetId="1" hidden="1">0</definedName>
    <definedName name="solver_rsd" localSheetId="0" hidden="1">0</definedName>
    <definedName name="solver_rsd" localSheetId="2" hidden="1">0</definedName>
    <definedName name="solver_scl" localSheetId="1" hidden="1">1</definedName>
    <definedName name="solver_scl" localSheetId="0" hidden="1">1</definedName>
    <definedName name="solver_scl" localSheetId="2" hidden="1">1</definedName>
    <definedName name="solver_sho" localSheetId="1" hidden="1">2</definedName>
    <definedName name="solver_sho" localSheetId="0" hidden="1">2</definedName>
    <definedName name="solver_sho" localSheetId="2" hidden="1">2</definedName>
    <definedName name="solver_ssz" localSheetId="1" hidden="1">100</definedName>
    <definedName name="solver_ssz" localSheetId="0" hidden="1">100</definedName>
    <definedName name="solver_ssz" localSheetId="2" hidden="1">100</definedName>
    <definedName name="solver_tim" localSheetId="1" hidden="1">2147483647</definedName>
    <definedName name="solver_tim" localSheetId="0" hidden="1">2147483647</definedName>
    <definedName name="solver_tim" localSheetId="2" hidden="1">2147483647</definedName>
    <definedName name="solver_tol" localSheetId="1" hidden="1">0.01</definedName>
    <definedName name="solver_tol" localSheetId="0" hidden="1">0.01</definedName>
    <definedName name="solver_tol" localSheetId="2" hidden="1">0</definedName>
    <definedName name="solver_typ" localSheetId="1" hidden="1">1</definedName>
    <definedName name="solver_typ" localSheetId="0" hidden="1">1</definedName>
    <definedName name="solver_typ" localSheetId="2" hidden="1">2</definedName>
    <definedName name="solver_val" localSheetId="1" hidden="1">0</definedName>
    <definedName name="solver_val" localSheetId="0" hidden="1">0</definedName>
    <definedName name="solver_val" localSheetId="2" hidden="1">0</definedName>
    <definedName name="solver_ver" localSheetId="1" hidden="1">3</definedName>
    <definedName name="solver_ver" localSheetId="0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3" l="1"/>
  <c r="C27" i="3" s="1"/>
  <c r="D27" i="3" s="1"/>
  <c r="E27" i="3" s="1"/>
  <c r="F27" i="3" s="1"/>
  <c r="G27" i="3" s="1"/>
  <c r="G12" i="3"/>
  <c r="C12" i="3"/>
  <c r="D12" i="3"/>
  <c r="E12" i="3"/>
  <c r="F12" i="3"/>
  <c r="B12" i="3"/>
  <c r="H35" i="3"/>
  <c r="B19" i="3"/>
  <c r="B7" i="3"/>
  <c r="G19" i="3" s="1"/>
  <c r="H34" i="3" l="1"/>
  <c r="F19" i="3"/>
  <c r="D19" i="3"/>
  <c r="C19" i="3"/>
  <c r="E19" i="3"/>
  <c r="H25" i="3" l="1"/>
  <c r="G11" i="3"/>
  <c r="F11" i="3"/>
  <c r="E11" i="3"/>
  <c r="D11" i="3"/>
  <c r="C11" i="3"/>
  <c r="B11" i="3"/>
  <c r="B22" i="2" l="1" a="1"/>
  <c r="B22" i="2" s="1"/>
  <c r="I22" i="2" s="1"/>
  <c r="B17" i="2"/>
  <c r="B14" i="2"/>
  <c r="H7" i="2"/>
  <c r="G7" i="2"/>
  <c r="F7" i="2"/>
  <c r="E7" i="2"/>
  <c r="D7" i="2"/>
  <c r="C7" i="2"/>
  <c r="B7" i="2"/>
  <c r="B29" i="1"/>
  <c r="B28" i="1"/>
  <c r="B27" i="1"/>
  <c r="B24" i="1"/>
  <c r="B23" i="1"/>
  <c r="F17" i="1"/>
  <c r="E17" i="1"/>
  <c r="D17" i="1"/>
  <c r="C17" i="1"/>
  <c r="B17" i="1"/>
  <c r="F2" i="1"/>
  <c r="G17" i="1" s="1"/>
  <c r="I144" i="2" l="1"/>
  <c r="I138" i="2"/>
  <c r="I132" i="2"/>
  <c r="I126" i="2"/>
  <c r="I120" i="2"/>
  <c r="I114" i="2"/>
  <c r="I108" i="2"/>
  <c r="I102" i="2"/>
  <c r="I96" i="2"/>
  <c r="I90" i="2"/>
  <c r="I84" i="2"/>
  <c r="I78" i="2"/>
  <c r="I72" i="2"/>
  <c r="I66" i="2"/>
  <c r="I60" i="2"/>
  <c r="I54" i="2"/>
  <c r="I48" i="2"/>
  <c r="I42" i="2"/>
  <c r="I36" i="2"/>
  <c r="I30" i="2"/>
  <c r="I24" i="2"/>
  <c r="J146" i="2"/>
  <c r="J140" i="2"/>
  <c r="J134" i="2"/>
  <c r="J128" i="2"/>
  <c r="J122" i="2"/>
  <c r="J116" i="2"/>
  <c r="J110" i="2"/>
  <c r="J104" i="2"/>
  <c r="J98" i="2"/>
  <c r="J92" i="2"/>
  <c r="J86" i="2"/>
  <c r="J80" i="2"/>
  <c r="J74" i="2"/>
  <c r="J68" i="2"/>
  <c r="J62" i="2"/>
  <c r="J56" i="2"/>
  <c r="J50" i="2"/>
  <c r="J44" i="2"/>
  <c r="J38" i="2"/>
  <c r="J32" i="2"/>
  <c r="J26" i="2"/>
  <c r="I149" i="2"/>
  <c r="I137" i="2"/>
  <c r="I125" i="2"/>
  <c r="I113" i="2"/>
  <c r="I101" i="2"/>
  <c r="I89" i="2"/>
  <c r="I77" i="2"/>
  <c r="I65" i="2"/>
  <c r="I53" i="2"/>
  <c r="I41" i="2"/>
  <c r="I29" i="2"/>
  <c r="J145" i="2"/>
  <c r="J139" i="2"/>
  <c r="J133" i="2"/>
  <c r="J127" i="2"/>
  <c r="J115" i="2"/>
  <c r="J109" i="2"/>
  <c r="J103" i="2"/>
  <c r="J97" i="2"/>
  <c r="J91" i="2"/>
  <c r="J85" i="2"/>
  <c r="J79" i="2"/>
  <c r="J73" i="2"/>
  <c r="J67" i="2"/>
  <c r="J61" i="2"/>
  <c r="J55" i="2"/>
  <c r="J49" i="2"/>
  <c r="J43" i="2"/>
  <c r="J37" i="2"/>
  <c r="J31" i="2"/>
  <c r="J25" i="2"/>
  <c r="I148" i="2"/>
  <c r="I142" i="2"/>
  <c r="I136" i="2"/>
  <c r="I130" i="2"/>
  <c r="I124" i="2"/>
  <c r="I118" i="2"/>
  <c r="I112" i="2"/>
  <c r="I106" i="2"/>
  <c r="I100" i="2"/>
  <c r="I94" i="2"/>
  <c r="I88" i="2"/>
  <c r="I82" i="2"/>
  <c r="I76" i="2"/>
  <c r="I70" i="2"/>
  <c r="I64" i="2"/>
  <c r="I58" i="2"/>
  <c r="I52" i="2"/>
  <c r="I46" i="2"/>
  <c r="I40" i="2"/>
  <c r="I34" i="2"/>
  <c r="I28" i="2"/>
  <c r="J22" i="2"/>
  <c r="J144" i="2"/>
  <c r="J138" i="2"/>
  <c r="J132" i="2"/>
  <c r="J126" i="2"/>
  <c r="J120" i="2"/>
  <c r="J114" i="2"/>
  <c r="J108" i="2"/>
  <c r="J102" i="2"/>
  <c r="J96" i="2"/>
  <c r="J90" i="2"/>
  <c r="J84" i="2"/>
  <c r="J78" i="2"/>
  <c r="J72" i="2"/>
  <c r="J66" i="2"/>
  <c r="J60" i="2"/>
  <c r="J54" i="2"/>
  <c r="J48" i="2"/>
  <c r="J42" i="2"/>
  <c r="J36" i="2"/>
  <c r="J30" i="2"/>
  <c r="J24" i="2"/>
  <c r="I143" i="2"/>
  <c r="I131" i="2"/>
  <c r="I119" i="2"/>
  <c r="I107" i="2"/>
  <c r="I95" i="2"/>
  <c r="I83" i="2"/>
  <c r="I71" i="2"/>
  <c r="I59" i="2"/>
  <c r="I47" i="2"/>
  <c r="I35" i="2"/>
  <c r="I23" i="2"/>
  <c r="J121" i="2"/>
  <c r="I147" i="2"/>
  <c r="I141" i="2"/>
  <c r="I135" i="2"/>
  <c r="I129" i="2"/>
  <c r="I123" i="2"/>
  <c r="I117" i="2"/>
  <c r="I111" i="2"/>
  <c r="I105" i="2"/>
  <c r="I99" i="2"/>
  <c r="I93" i="2"/>
  <c r="I87" i="2"/>
  <c r="I81" i="2"/>
  <c r="I75" i="2"/>
  <c r="I69" i="2"/>
  <c r="I63" i="2"/>
  <c r="I57" i="2"/>
  <c r="I51" i="2"/>
  <c r="I45" i="2"/>
  <c r="I39" i="2"/>
  <c r="I33" i="2"/>
  <c r="I27" i="2"/>
  <c r="J149" i="2"/>
  <c r="J143" i="2"/>
  <c r="J137" i="2"/>
  <c r="J131" i="2"/>
  <c r="J125" i="2"/>
  <c r="J119" i="2"/>
  <c r="J113" i="2"/>
  <c r="J107" i="2"/>
  <c r="J101" i="2"/>
  <c r="J95" i="2"/>
  <c r="J89" i="2"/>
  <c r="J83" i="2"/>
  <c r="J77" i="2"/>
  <c r="J71" i="2"/>
  <c r="J65" i="2"/>
  <c r="J59" i="2"/>
  <c r="J53" i="2"/>
  <c r="J47" i="2"/>
  <c r="J41" i="2"/>
  <c r="J35" i="2"/>
  <c r="J29" i="2"/>
  <c r="J23" i="2"/>
  <c r="I146" i="2"/>
  <c r="I140" i="2"/>
  <c r="I134" i="2"/>
  <c r="I128" i="2"/>
  <c r="I122" i="2"/>
  <c r="I116" i="2"/>
  <c r="I110" i="2"/>
  <c r="I104" i="2"/>
  <c r="I98" i="2"/>
  <c r="I92" i="2"/>
  <c r="I86" i="2"/>
  <c r="I80" i="2"/>
  <c r="I74" i="2"/>
  <c r="I68" i="2"/>
  <c r="I62" i="2"/>
  <c r="I56" i="2"/>
  <c r="I50" i="2"/>
  <c r="I44" i="2"/>
  <c r="I38" i="2"/>
  <c r="I32" i="2"/>
  <c r="I26" i="2"/>
  <c r="J148" i="2"/>
  <c r="J142" i="2"/>
  <c r="J136" i="2"/>
  <c r="J130" i="2"/>
  <c r="J124" i="2"/>
  <c r="J118" i="2"/>
  <c r="J112" i="2"/>
  <c r="J106" i="2"/>
  <c r="J100" i="2"/>
  <c r="J94" i="2"/>
  <c r="J88" i="2"/>
  <c r="J82" i="2"/>
  <c r="J76" i="2"/>
  <c r="J70" i="2"/>
  <c r="J64" i="2"/>
  <c r="J58" i="2"/>
  <c r="J52" i="2"/>
  <c r="J46" i="2"/>
  <c r="J40" i="2"/>
  <c r="J34" i="2"/>
  <c r="J28" i="2"/>
  <c r="I145" i="2"/>
  <c r="I139" i="2"/>
  <c r="I133" i="2"/>
  <c r="I127" i="2"/>
  <c r="I121" i="2"/>
  <c r="I115" i="2"/>
  <c r="I109" i="2"/>
  <c r="I103" i="2"/>
  <c r="I97" i="2"/>
  <c r="I91" i="2"/>
  <c r="I85" i="2"/>
  <c r="I79" i="2"/>
  <c r="I73" i="2"/>
  <c r="I67" i="2"/>
  <c r="I61" i="2"/>
  <c r="I55" i="2"/>
  <c r="I49" i="2"/>
  <c r="I43" i="2"/>
  <c r="I37" i="2"/>
  <c r="I31" i="2"/>
  <c r="I25" i="2"/>
  <c r="J147" i="2"/>
  <c r="J141" i="2"/>
  <c r="J135" i="2"/>
  <c r="J129" i="2"/>
  <c r="J123" i="2"/>
  <c r="J117" i="2"/>
  <c r="J111" i="2"/>
  <c r="J105" i="2"/>
  <c r="J99" i="2"/>
  <c r="J93" i="2"/>
  <c r="J87" i="2"/>
  <c r="J81" i="2"/>
  <c r="J75" i="2"/>
  <c r="J69" i="2"/>
  <c r="J63" i="2"/>
  <c r="J57" i="2"/>
  <c r="J51" i="2"/>
  <c r="J45" i="2"/>
  <c r="J39" i="2"/>
  <c r="J33" i="2"/>
  <c r="J27" i="2"/>
  <c r="B30" i="1"/>
  <c r="H33" i="3" l="1"/>
  <c r="H36" i="3" s="1"/>
  <c r="K22" i="2" a="1"/>
  <c r="K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10" authorId="0" shapeId="0" xr:uid="{D9FA49C0-978B-4EB7-B7E8-D4CB48639449}">
      <text>
        <r>
          <rPr>
            <b/>
            <sz val="8"/>
            <color indexed="81"/>
            <rFont val="Tahoma"/>
            <family val="2"/>
          </rPr>
          <t>1 if we invest, 0 if not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<sst xmlns="http://schemas.openxmlformats.org/spreadsheetml/2006/main" count="110" uniqueCount="74">
  <si>
    <t>Great Threads fixed cost clothing model</t>
  </si>
  <si>
    <t>Big M</t>
  </si>
  <si>
    <t>Input data on products</t>
  </si>
  <si>
    <t>Shirts</t>
  </si>
  <si>
    <t>Shorts</t>
  </si>
  <si>
    <t>Pants</t>
  </si>
  <si>
    <t>Skirts</t>
  </si>
  <si>
    <t>Jackets</t>
  </si>
  <si>
    <t>Sweatshirts</t>
  </si>
  <si>
    <t>Labor hours/unit</t>
  </si>
  <si>
    <t>Cloth (sq. yd.)/unit</t>
  </si>
  <si>
    <t>Selling price/unit</t>
  </si>
  <si>
    <t>Variable cost/unit</t>
  </si>
  <si>
    <t>Fixed cost for equipment</t>
  </si>
  <si>
    <t>Production plan, constraints on capacity</t>
  </si>
  <si>
    <t>Produce any?</t>
  </si>
  <si>
    <t>Units produced</t>
  </si>
  <si>
    <t>&lt;=</t>
  </si>
  <si>
    <t>cap*binary</t>
  </si>
  <si>
    <t>cap</t>
  </si>
  <si>
    <t>cap from labor</t>
  </si>
  <si>
    <t>cap from cloth</t>
  </si>
  <si>
    <t>Constraints on resources</t>
  </si>
  <si>
    <t>Resource used</t>
  </si>
  <si>
    <t>Available</t>
  </si>
  <si>
    <t>Labor hours</t>
  </si>
  <si>
    <t>Cloth</t>
  </si>
  <si>
    <t>Monetary outputs</t>
  </si>
  <si>
    <t>Revenue</t>
  </si>
  <si>
    <t>Variable cost</t>
  </si>
  <si>
    <t>Profit</t>
  </si>
  <si>
    <t>Tatham capital budgeting model</t>
  </si>
  <si>
    <t>Input data on potential investments</t>
  </si>
  <si>
    <t>Investment</t>
  </si>
  <si>
    <t>Investment cost</t>
  </si>
  <si>
    <t>NPV</t>
  </si>
  <si>
    <t>NPV per investment dollar</t>
  </si>
  <si>
    <t>Decisions: whether to invest</t>
  </si>
  <si>
    <t>Investment levels</t>
  </si>
  <si>
    <t>Budget constraint</t>
  </si>
  <si>
    <t>Amount invested</t>
  </si>
  <si>
    <t>Budget</t>
  </si>
  <si>
    <t>Objective to maximize</t>
  </si>
  <si>
    <t>Total NPV</t>
  </si>
  <si>
    <t>total cash</t>
  </si>
  <si>
    <t>total NPV</t>
  </si>
  <si>
    <t>Multiperiod production model</t>
  </si>
  <si>
    <t>Input data</t>
  </si>
  <si>
    <t>Initial inventory</t>
  </si>
  <si>
    <t>Holding cost as % of prod cost</t>
  </si>
  <si>
    <t>Month</t>
  </si>
  <si>
    <t>Production cost/unit</t>
  </si>
  <si>
    <t>Holding cost/unit</t>
  </si>
  <si>
    <t>Production plan (all quantities are in 100s of footballs)</t>
  </si>
  <si>
    <t>Production capacity</t>
  </si>
  <si>
    <t xml:space="preserve">produce capacity </t>
  </si>
  <si>
    <t>On hand after production</t>
  </si>
  <si>
    <t>Demand</t>
  </si>
  <si>
    <t>Ending inventory</t>
  </si>
  <si>
    <t>&gt;= 0</t>
  </si>
  <si>
    <t xml:space="preserve">for shortage condition </t>
  </si>
  <si>
    <t>Storage capacity</t>
  </si>
  <si>
    <t>inventory condition</t>
  </si>
  <si>
    <t>Summary of costs (all costs are in hundreds of dollars)</t>
  </si>
  <si>
    <t>Totals</t>
  </si>
  <si>
    <t>Holding cost</t>
  </si>
  <si>
    <t xml:space="preserve">Production cost </t>
  </si>
  <si>
    <t>fixed setup cost</t>
  </si>
  <si>
    <t>Produce Any</t>
  </si>
  <si>
    <t>M</t>
  </si>
  <si>
    <t>fixed cost/month</t>
  </si>
  <si>
    <t>W</t>
  </si>
  <si>
    <t>fixed cost</t>
  </si>
  <si>
    <t>M * 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</si>
</sst>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;\-&quot;$&quot;#,##0"/>
    <numFmt numFmtId="165" formatCode="&quot;$&quot;#,##0.0;\-&quot;$&quot;#,##0.0"/>
    <numFmt numFmtId="166" formatCode="0.0%"/>
    <numFmt numFmtId="167" formatCode="&quot;$&quot;#,##0.00;\-&quot;$&quot;#,##0.00"/>
    <numFmt numFmtId="168" formatCode="0.0000"/>
    <numFmt numFmtId="169" formatCode="0.000"/>
    <numFmt numFmtId="170" formatCode="&quot;$&quot;#,##0.000_);\(&quot;$&quot;#,##0.000\)"/>
    <numFmt numFmtId="171" formatCode="_(* #,##0_);_(* \(#,##0\);_(* &quot;-&quot;??_);_(@_)"/>
    <numFmt numFmtId="172" formatCode="&quot;$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indexed="12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8" fontId="2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2" applyFont="1" applyAlignment="1">
      <alignment horizontal="left"/>
    </xf>
    <xf numFmtId="0" fontId="4" fillId="0" borderId="0" xfId="2" applyFont="1"/>
    <xf numFmtId="0" fontId="6" fillId="0" borderId="0" xfId="3" applyFont="1" applyAlignment="1" applyProtection="1"/>
    <xf numFmtId="0" fontId="3" fillId="0" borderId="0" xfId="2" applyFont="1"/>
    <xf numFmtId="0" fontId="4" fillId="0" borderId="0" xfId="2" applyFont="1" applyAlignment="1">
      <alignment horizontal="right"/>
    </xf>
    <xf numFmtId="0" fontId="4" fillId="2" borderId="0" xfId="2" applyFont="1" applyFill="1"/>
    <xf numFmtId="164" fontId="4" fillId="2" borderId="0" xfId="2" applyNumberFormat="1" applyFont="1" applyFill="1"/>
    <xf numFmtId="6" fontId="4" fillId="2" borderId="0" xfId="2" applyNumberFormat="1" applyFont="1" applyFill="1"/>
    <xf numFmtId="1" fontId="4" fillId="3" borderId="0" xfId="2" applyNumberFormat="1" applyFont="1" applyFill="1"/>
    <xf numFmtId="0" fontId="4" fillId="0" borderId="0" xfId="2" applyFont="1" applyAlignment="1">
      <alignment horizontal="center"/>
    </xf>
    <xf numFmtId="0" fontId="4" fillId="0" borderId="0" xfId="2" quotePrefix="1" applyFont="1" applyAlignment="1">
      <alignment horizontal="right"/>
    </xf>
    <xf numFmtId="1" fontId="4" fillId="0" borderId="0" xfId="2" quotePrefix="1" applyNumberFormat="1" applyFont="1" applyAlignment="1">
      <alignment horizontal="right"/>
    </xf>
    <xf numFmtId="2" fontId="4" fillId="0" borderId="0" xfId="2" applyNumberFormat="1" applyFont="1"/>
    <xf numFmtId="0" fontId="4" fillId="0" borderId="0" xfId="2" quotePrefix="1" applyFont="1" applyAlignment="1">
      <alignment horizontal="center"/>
    </xf>
    <xf numFmtId="6" fontId="4" fillId="0" borderId="0" xfId="2" applyNumberFormat="1" applyFont="1"/>
    <xf numFmtId="6" fontId="4" fillId="0" borderId="1" xfId="2" applyNumberFormat="1" applyFont="1" applyBorder="1"/>
    <xf numFmtId="165" fontId="4" fillId="2" borderId="0" xfId="2" applyNumberFormat="1" applyFont="1" applyFill="1"/>
    <xf numFmtId="166" fontId="4" fillId="0" borderId="0" xfId="1" applyNumberFormat="1" applyFont="1"/>
    <xf numFmtId="0" fontId="4" fillId="3" borderId="0" xfId="2" applyFont="1" applyFill="1"/>
    <xf numFmtId="1" fontId="4" fillId="0" borderId="0" xfId="2" applyNumberFormat="1" applyFont="1"/>
    <xf numFmtId="6" fontId="4" fillId="0" borderId="0" xfId="2" applyNumberFormat="1" applyFont="1" applyAlignment="1">
      <alignment horizontal="right"/>
    </xf>
    <xf numFmtId="167" fontId="4" fillId="0" borderId="0" xfId="2" applyNumberFormat="1" applyFont="1" applyAlignment="1">
      <alignment horizontal="right"/>
    </xf>
    <xf numFmtId="164" fontId="4" fillId="0" borderId="0" xfId="2" quotePrefix="1" applyNumberFormat="1" applyFont="1" applyAlignment="1">
      <alignment horizontal="center"/>
    </xf>
    <xf numFmtId="164" fontId="4" fillId="0" borderId="0" xfId="2" applyNumberFormat="1" applyFont="1" applyAlignment="1">
      <alignment horizontal="right"/>
    </xf>
    <xf numFmtId="0" fontId="4" fillId="0" borderId="0" xfId="2" applyFont="1" applyAlignment="1">
      <alignment horizontal="left"/>
    </xf>
    <xf numFmtId="165" fontId="4" fillId="0" borderId="1" xfId="2" applyNumberFormat="1" applyFont="1" applyBorder="1" applyAlignment="1">
      <alignment horizontal="right"/>
    </xf>
    <xf numFmtId="0" fontId="4" fillId="4" borderId="0" xfId="2" applyFont="1" applyFill="1"/>
    <xf numFmtId="0" fontId="4" fillId="0" borderId="2" xfId="2" applyFont="1" applyBorder="1" applyAlignment="1">
      <alignment horizontal="center"/>
    </xf>
    <xf numFmtId="0" fontId="4" fillId="5" borderId="2" xfId="2" applyFont="1" applyFill="1" applyBorder="1" applyAlignment="1">
      <alignment horizontal="center"/>
    </xf>
    <xf numFmtId="0" fontId="3" fillId="0" borderId="0" xfId="2" quotePrefix="1" applyFont="1" applyAlignment="1">
      <alignment horizontal="left"/>
    </xf>
    <xf numFmtId="168" fontId="4" fillId="0" borderId="0" xfId="2" applyNumberFormat="1" applyFont="1"/>
    <xf numFmtId="9" fontId="4" fillId="2" borderId="0" xfId="2" applyNumberFormat="1" applyFont="1" applyFill="1"/>
    <xf numFmtId="1" fontId="4" fillId="0" borderId="0" xfId="2" applyNumberFormat="1" applyFont="1" applyAlignment="1">
      <alignment horizontal="right"/>
    </xf>
    <xf numFmtId="169" fontId="4" fillId="0" borderId="0" xfId="2" applyNumberFormat="1" applyFont="1"/>
    <xf numFmtId="0" fontId="4" fillId="0" borderId="0" xfId="2" quotePrefix="1" applyFont="1" applyAlignment="1">
      <alignment horizontal="left"/>
    </xf>
    <xf numFmtId="8" fontId="4" fillId="2" borderId="0" xfId="5" applyFont="1" applyFill="1" applyBorder="1"/>
    <xf numFmtId="170" fontId="4" fillId="0" borderId="0" xfId="2" applyNumberFormat="1" applyFont="1"/>
    <xf numFmtId="0" fontId="4" fillId="7" borderId="0" xfId="2" applyFont="1" applyFill="1"/>
    <xf numFmtId="0" fontId="4" fillId="7" borderId="0" xfId="2" applyFont="1" applyFill="1" applyAlignment="1">
      <alignment horizontal="right"/>
    </xf>
    <xf numFmtId="0" fontId="4" fillId="7" borderId="0" xfId="2" quotePrefix="1" applyFont="1" applyFill="1" applyAlignment="1">
      <alignment horizontal="right"/>
    </xf>
    <xf numFmtId="171" fontId="4" fillId="2" borderId="0" xfId="4" applyNumberFormat="1" applyFont="1" applyFill="1"/>
    <xf numFmtId="171" fontId="4" fillId="6" borderId="2" xfId="4" applyNumberFormat="1" applyFont="1" applyFill="1" applyBorder="1"/>
    <xf numFmtId="1" fontId="4" fillId="3" borderId="0" xfId="2" applyNumberFormat="1" applyFont="1" applyFill="1" applyAlignment="1">
      <alignment horizontal="right"/>
    </xf>
    <xf numFmtId="171" fontId="4" fillId="2" borderId="0" xfId="4" applyNumberFormat="1" applyFont="1" applyFill="1" applyAlignment="1">
      <alignment horizontal="right"/>
    </xf>
    <xf numFmtId="172" fontId="4" fillId="0" borderId="0" xfId="2" applyNumberFormat="1" applyFont="1" applyAlignment="1">
      <alignment horizontal="right"/>
    </xf>
    <xf numFmtId="0" fontId="4" fillId="8" borderId="0" xfId="2" applyFont="1" applyFill="1"/>
    <xf numFmtId="43" fontId="4" fillId="8" borderId="0" xfId="4" applyFont="1" applyFill="1"/>
    <xf numFmtId="171" fontId="4" fillId="8" borderId="0" xfId="4" applyNumberFormat="1" applyFont="1" applyFill="1"/>
  </cellXfs>
  <cellStyles count="6">
    <cellStyle name="Comma" xfId="4" builtinId="3"/>
    <cellStyle name="Currency 2" xfId="5" xr:uid="{908E50C9-1B4A-4EAE-92C8-D968DCA7E87C}"/>
    <cellStyle name="Hyperlink" xfId="3" builtinId="8"/>
    <cellStyle name="Normal" xfId="0" builtinId="0"/>
    <cellStyle name="Normal 2" xfId="2" xr:uid="{695232CE-3EFA-4DCE-8763-2B9D29797D4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00229/Documents/GitHub/DADS7102/class_excel/data-files-optimiz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una/Documents/GitHub/DADS7102/class_excel/data-files-optim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vertising "/>
      <sheetName val="Advertising _Sensitivity Report"/>
      <sheetName val="monopolist"/>
      <sheetName val="Sensitivity Report 1"/>
      <sheetName val="ProductMix"/>
      <sheetName val="ProductMix_add_on"/>
      <sheetName val="ProductMix2 Sensitivity"/>
      <sheetName val="ProductMix2"/>
      <sheetName val="LM_2"/>
      <sheetName val="Dual"/>
      <sheetName val="ProdPlanning"/>
      <sheetName val="project"/>
      <sheetName val="BlendingOil"/>
      <sheetName val="Transport1"/>
      <sheetName val="AssignmentProblem"/>
      <sheetName val="BinPacking"/>
      <sheetName val="cuttingStock"/>
      <sheetName val="MCNF"/>
      <sheetName val="RedBrandLogistics"/>
      <sheetName val="HW3"/>
      <sheetName val="set_covering_model"/>
      <sheetName val="ShortestPath"/>
      <sheetName val="Aggregate1"/>
      <sheetName val="CapitalBudget"/>
      <sheetName val="FixedCost"/>
      <sheetName val="Hub"/>
      <sheetName val="WorkerScheduling"/>
      <sheetName val="Transport1-2"/>
      <sheetName val="MMULT"/>
      <sheetName val="MDETERM"/>
      <sheetName val="Peakload"/>
      <sheetName val="GameTheory"/>
      <sheetName val="Portfolio"/>
      <sheetName val="EOQ"/>
      <sheetName val="SVM1"/>
      <sheetName val="MLE"/>
      <sheetName val="OLS"/>
      <sheetName val="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>
        <row r="6">
          <cell r="K6">
            <v>2</v>
          </cell>
        </row>
        <row r="7">
          <cell r="K7">
            <v>6</v>
          </cell>
        </row>
        <row r="8">
          <cell r="K8">
            <v>16</v>
          </cell>
        </row>
        <row r="9">
          <cell r="K9">
            <v>22</v>
          </cell>
        </row>
        <row r="10">
          <cell r="K10">
            <v>20</v>
          </cell>
        </row>
        <row r="11">
          <cell r="K11">
            <v>23</v>
          </cell>
        </row>
        <row r="12">
          <cell r="K12">
            <v>29</v>
          </cell>
        </row>
        <row r="13">
          <cell r="K13">
            <v>38</v>
          </cell>
        </row>
        <row r="14">
          <cell r="K14">
            <v>23</v>
          </cell>
        </row>
        <row r="15">
          <cell r="K15">
            <v>29</v>
          </cell>
        </row>
        <row r="16">
          <cell r="K16">
            <v>34</v>
          </cell>
        </row>
        <row r="17">
          <cell r="K17">
            <v>34</v>
          </cell>
        </row>
        <row r="18">
          <cell r="K18">
            <v>40</v>
          </cell>
        </row>
        <row r="19">
          <cell r="K19">
            <v>40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0">
          <cell r="B10">
            <v>0</v>
          </cell>
          <cell r="C10">
            <v>1</v>
          </cell>
          <cell r="D10">
            <v>1</v>
          </cell>
          <cell r="E10">
            <v>1</v>
          </cell>
          <cell r="F10">
            <v>0</v>
          </cell>
          <cell r="G10">
            <v>0</v>
          </cell>
          <cell r="H10">
            <v>1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Report 1"/>
      <sheetName val="ProductMix"/>
      <sheetName val="ProductMix_add_on"/>
      <sheetName val="ProductMix2 Sensitivity"/>
      <sheetName val="ProductMix2"/>
      <sheetName val="LM_2"/>
      <sheetName val="Dual"/>
      <sheetName val="ProdPlanning"/>
      <sheetName val="project"/>
      <sheetName val="BlendingOil"/>
      <sheetName val="Transport1"/>
      <sheetName val="AssignmentProblem"/>
      <sheetName val="BinPacking"/>
      <sheetName val="cuttingStock"/>
      <sheetName val="MCNF"/>
      <sheetName val="RedBrandLogistics"/>
      <sheetName val="HW3"/>
      <sheetName val="set_covering_model"/>
      <sheetName val="ShortestPath"/>
      <sheetName val="Aggregate1"/>
      <sheetName val="CapitalBudget"/>
      <sheetName val="FixedCost"/>
      <sheetName val="Hub"/>
      <sheetName val="WorkerScheduling"/>
      <sheetName val="Transport1-2"/>
      <sheetName val="MMULT"/>
      <sheetName val="MDETERM"/>
      <sheetName val="Peakload"/>
      <sheetName val="Portfolio"/>
      <sheetName val="EOQ"/>
      <sheetName val="SVM1"/>
      <sheetName val="MLE"/>
      <sheetName val="OLS"/>
      <sheetName val="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K6">
            <v>2</v>
          </cell>
        </row>
        <row r="7">
          <cell r="K7">
            <v>6</v>
          </cell>
        </row>
        <row r="8">
          <cell r="K8">
            <v>16</v>
          </cell>
        </row>
        <row r="9">
          <cell r="K9">
            <v>22</v>
          </cell>
        </row>
        <row r="10">
          <cell r="K10">
            <v>20</v>
          </cell>
        </row>
        <row r="11">
          <cell r="K11">
            <v>23</v>
          </cell>
        </row>
        <row r="12">
          <cell r="K12">
            <v>29</v>
          </cell>
        </row>
        <row r="13">
          <cell r="K13">
            <v>38</v>
          </cell>
        </row>
        <row r="14">
          <cell r="K14">
            <v>23</v>
          </cell>
        </row>
        <row r="15">
          <cell r="K15">
            <v>29</v>
          </cell>
        </row>
        <row r="16">
          <cell r="K16">
            <v>34</v>
          </cell>
        </row>
        <row r="17">
          <cell r="K17">
            <v>34</v>
          </cell>
        </row>
        <row r="18">
          <cell r="K18">
            <v>40</v>
          </cell>
        </row>
        <row r="19">
          <cell r="K19">
            <v>40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0">
          <cell r="B10">
            <v>0</v>
          </cell>
          <cell r="C10">
            <v>1</v>
          </cell>
          <cell r="D10">
            <v>1</v>
          </cell>
          <cell r="E10">
            <v>1</v>
          </cell>
          <cell r="F10">
            <v>0</v>
          </cell>
          <cell r="G10">
            <v>0</v>
          </cell>
          <cell r="H10">
            <v>1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84E7-EEC5-4866-8C61-F36BB32EF85B}">
  <dimension ref="A1:I32"/>
  <sheetViews>
    <sheetView zoomScale="80" zoomScaleNormal="80" workbookViewId="0">
      <selection activeCell="F43" sqref="F43"/>
    </sheetView>
  </sheetViews>
  <sheetFormatPr defaultRowHeight="15" x14ac:dyDescent="0.25"/>
  <cols>
    <col min="1" max="1" width="30.140625" style="2" customWidth="1"/>
    <col min="2" max="2" width="13.5703125" style="2" bestFit="1" customWidth="1"/>
    <col min="3" max="3" width="12" style="2" customWidth="1"/>
    <col min="4" max="4" width="11.42578125" style="2" customWidth="1"/>
    <col min="5" max="5" width="9.140625" style="2"/>
    <col min="6" max="6" width="12" style="2" bestFit="1" customWidth="1"/>
    <col min="7" max="7" width="12.7109375" style="2" bestFit="1" customWidth="1"/>
    <col min="8" max="8" width="9.140625" style="2"/>
    <col min="9" max="9" width="17.42578125" style="2" customWidth="1"/>
    <col min="10" max="256" width="9.140625" style="2"/>
    <col min="257" max="257" width="30.140625" style="2" customWidth="1"/>
    <col min="258" max="258" width="13.5703125" style="2" bestFit="1" customWidth="1"/>
    <col min="259" max="259" width="12" style="2" customWidth="1"/>
    <col min="260" max="260" width="11.42578125" style="2" customWidth="1"/>
    <col min="261" max="264" width="9.140625" style="2"/>
    <col min="265" max="265" width="17.42578125" style="2" customWidth="1"/>
    <col min="266" max="512" width="9.140625" style="2"/>
    <col min="513" max="513" width="30.140625" style="2" customWidth="1"/>
    <col min="514" max="514" width="13.5703125" style="2" bestFit="1" customWidth="1"/>
    <col min="515" max="515" width="12" style="2" customWidth="1"/>
    <col min="516" max="516" width="11.42578125" style="2" customWidth="1"/>
    <col min="517" max="520" width="9.140625" style="2"/>
    <col min="521" max="521" width="17.42578125" style="2" customWidth="1"/>
    <col min="522" max="768" width="9.140625" style="2"/>
    <col min="769" max="769" width="30.140625" style="2" customWidth="1"/>
    <col min="770" max="770" width="13.5703125" style="2" bestFit="1" customWidth="1"/>
    <col min="771" max="771" width="12" style="2" customWidth="1"/>
    <col min="772" max="772" width="11.42578125" style="2" customWidth="1"/>
    <col min="773" max="776" width="9.140625" style="2"/>
    <col min="777" max="777" width="17.42578125" style="2" customWidth="1"/>
    <col min="778" max="1024" width="9.140625" style="2"/>
    <col min="1025" max="1025" width="30.140625" style="2" customWidth="1"/>
    <col min="1026" max="1026" width="13.5703125" style="2" bestFit="1" customWidth="1"/>
    <col min="1027" max="1027" width="12" style="2" customWidth="1"/>
    <col min="1028" max="1028" width="11.42578125" style="2" customWidth="1"/>
    <col min="1029" max="1032" width="9.140625" style="2"/>
    <col min="1033" max="1033" width="17.42578125" style="2" customWidth="1"/>
    <col min="1034" max="1280" width="9.140625" style="2"/>
    <col min="1281" max="1281" width="30.140625" style="2" customWidth="1"/>
    <col min="1282" max="1282" width="13.5703125" style="2" bestFit="1" customWidth="1"/>
    <col min="1283" max="1283" width="12" style="2" customWidth="1"/>
    <col min="1284" max="1284" width="11.42578125" style="2" customWidth="1"/>
    <col min="1285" max="1288" width="9.140625" style="2"/>
    <col min="1289" max="1289" width="17.42578125" style="2" customWidth="1"/>
    <col min="1290" max="1536" width="9.140625" style="2"/>
    <col min="1537" max="1537" width="30.140625" style="2" customWidth="1"/>
    <col min="1538" max="1538" width="13.5703125" style="2" bestFit="1" customWidth="1"/>
    <col min="1539" max="1539" width="12" style="2" customWidth="1"/>
    <col min="1540" max="1540" width="11.42578125" style="2" customWidth="1"/>
    <col min="1541" max="1544" width="9.140625" style="2"/>
    <col min="1545" max="1545" width="17.42578125" style="2" customWidth="1"/>
    <col min="1546" max="1792" width="9.140625" style="2"/>
    <col min="1793" max="1793" width="30.140625" style="2" customWidth="1"/>
    <col min="1794" max="1794" width="13.5703125" style="2" bestFit="1" customWidth="1"/>
    <col min="1795" max="1795" width="12" style="2" customWidth="1"/>
    <col min="1796" max="1796" width="11.42578125" style="2" customWidth="1"/>
    <col min="1797" max="1800" width="9.140625" style="2"/>
    <col min="1801" max="1801" width="17.42578125" style="2" customWidth="1"/>
    <col min="1802" max="2048" width="9.140625" style="2"/>
    <col min="2049" max="2049" width="30.140625" style="2" customWidth="1"/>
    <col min="2050" max="2050" width="13.5703125" style="2" bestFit="1" customWidth="1"/>
    <col min="2051" max="2051" width="12" style="2" customWidth="1"/>
    <col min="2052" max="2052" width="11.42578125" style="2" customWidth="1"/>
    <col min="2053" max="2056" width="9.140625" style="2"/>
    <col min="2057" max="2057" width="17.42578125" style="2" customWidth="1"/>
    <col min="2058" max="2304" width="9.140625" style="2"/>
    <col min="2305" max="2305" width="30.140625" style="2" customWidth="1"/>
    <col min="2306" max="2306" width="13.5703125" style="2" bestFit="1" customWidth="1"/>
    <col min="2307" max="2307" width="12" style="2" customWidth="1"/>
    <col min="2308" max="2308" width="11.42578125" style="2" customWidth="1"/>
    <col min="2309" max="2312" width="9.140625" style="2"/>
    <col min="2313" max="2313" width="17.42578125" style="2" customWidth="1"/>
    <col min="2314" max="2560" width="9.140625" style="2"/>
    <col min="2561" max="2561" width="30.140625" style="2" customWidth="1"/>
    <col min="2562" max="2562" width="13.5703125" style="2" bestFit="1" customWidth="1"/>
    <col min="2563" max="2563" width="12" style="2" customWidth="1"/>
    <col min="2564" max="2564" width="11.42578125" style="2" customWidth="1"/>
    <col min="2565" max="2568" width="9.140625" style="2"/>
    <col min="2569" max="2569" width="17.42578125" style="2" customWidth="1"/>
    <col min="2570" max="2816" width="9.140625" style="2"/>
    <col min="2817" max="2817" width="30.140625" style="2" customWidth="1"/>
    <col min="2818" max="2818" width="13.5703125" style="2" bestFit="1" customWidth="1"/>
    <col min="2819" max="2819" width="12" style="2" customWidth="1"/>
    <col min="2820" max="2820" width="11.42578125" style="2" customWidth="1"/>
    <col min="2821" max="2824" width="9.140625" style="2"/>
    <col min="2825" max="2825" width="17.42578125" style="2" customWidth="1"/>
    <col min="2826" max="3072" width="9.140625" style="2"/>
    <col min="3073" max="3073" width="30.140625" style="2" customWidth="1"/>
    <col min="3074" max="3074" width="13.5703125" style="2" bestFit="1" customWidth="1"/>
    <col min="3075" max="3075" width="12" style="2" customWidth="1"/>
    <col min="3076" max="3076" width="11.42578125" style="2" customWidth="1"/>
    <col min="3077" max="3080" width="9.140625" style="2"/>
    <col min="3081" max="3081" width="17.42578125" style="2" customWidth="1"/>
    <col min="3082" max="3328" width="9.140625" style="2"/>
    <col min="3329" max="3329" width="30.140625" style="2" customWidth="1"/>
    <col min="3330" max="3330" width="13.5703125" style="2" bestFit="1" customWidth="1"/>
    <col min="3331" max="3331" width="12" style="2" customWidth="1"/>
    <col min="3332" max="3332" width="11.42578125" style="2" customWidth="1"/>
    <col min="3333" max="3336" width="9.140625" style="2"/>
    <col min="3337" max="3337" width="17.42578125" style="2" customWidth="1"/>
    <col min="3338" max="3584" width="9.140625" style="2"/>
    <col min="3585" max="3585" width="30.140625" style="2" customWidth="1"/>
    <col min="3586" max="3586" width="13.5703125" style="2" bestFit="1" customWidth="1"/>
    <col min="3587" max="3587" width="12" style="2" customWidth="1"/>
    <col min="3588" max="3588" width="11.42578125" style="2" customWidth="1"/>
    <col min="3589" max="3592" width="9.140625" style="2"/>
    <col min="3593" max="3593" width="17.42578125" style="2" customWidth="1"/>
    <col min="3594" max="3840" width="9.140625" style="2"/>
    <col min="3841" max="3841" width="30.140625" style="2" customWidth="1"/>
    <col min="3842" max="3842" width="13.5703125" style="2" bestFit="1" customWidth="1"/>
    <col min="3843" max="3843" width="12" style="2" customWidth="1"/>
    <col min="3844" max="3844" width="11.42578125" style="2" customWidth="1"/>
    <col min="3845" max="3848" width="9.140625" style="2"/>
    <col min="3849" max="3849" width="17.42578125" style="2" customWidth="1"/>
    <col min="3850" max="4096" width="9.140625" style="2"/>
    <col min="4097" max="4097" width="30.140625" style="2" customWidth="1"/>
    <col min="4098" max="4098" width="13.5703125" style="2" bestFit="1" customWidth="1"/>
    <col min="4099" max="4099" width="12" style="2" customWidth="1"/>
    <col min="4100" max="4100" width="11.42578125" style="2" customWidth="1"/>
    <col min="4101" max="4104" width="9.140625" style="2"/>
    <col min="4105" max="4105" width="17.42578125" style="2" customWidth="1"/>
    <col min="4106" max="4352" width="9.140625" style="2"/>
    <col min="4353" max="4353" width="30.140625" style="2" customWidth="1"/>
    <col min="4354" max="4354" width="13.5703125" style="2" bestFit="1" customWidth="1"/>
    <col min="4355" max="4355" width="12" style="2" customWidth="1"/>
    <col min="4356" max="4356" width="11.42578125" style="2" customWidth="1"/>
    <col min="4357" max="4360" width="9.140625" style="2"/>
    <col min="4361" max="4361" width="17.42578125" style="2" customWidth="1"/>
    <col min="4362" max="4608" width="9.140625" style="2"/>
    <col min="4609" max="4609" width="30.140625" style="2" customWidth="1"/>
    <col min="4610" max="4610" width="13.5703125" style="2" bestFit="1" customWidth="1"/>
    <col min="4611" max="4611" width="12" style="2" customWidth="1"/>
    <col min="4612" max="4612" width="11.42578125" style="2" customWidth="1"/>
    <col min="4613" max="4616" width="9.140625" style="2"/>
    <col min="4617" max="4617" width="17.42578125" style="2" customWidth="1"/>
    <col min="4618" max="4864" width="9.140625" style="2"/>
    <col min="4865" max="4865" width="30.140625" style="2" customWidth="1"/>
    <col min="4866" max="4866" width="13.5703125" style="2" bestFit="1" customWidth="1"/>
    <col min="4867" max="4867" width="12" style="2" customWidth="1"/>
    <col min="4868" max="4868" width="11.42578125" style="2" customWidth="1"/>
    <col min="4869" max="4872" width="9.140625" style="2"/>
    <col min="4873" max="4873" width="17.42578125" style="2" customWidth="1"/>
    <col min="4874" max="5120" width="9.140625" style="2"/>
    <col min="5121" max="5121" width="30.140625" style="2" customWidth="1"/>
    <col min="5122" max="5122" width="13.5703125" style="2" bestFit="1" customWidth="1"/>
    <col min="5123" max="5123" width="12" style="2" customWidth="1"/>
    <col min="5124" max="5124" width="11.42578125" style="2" customWidth="1"/>
    <col min="5125" max="5128" width="9.140625" style="2"/>
    <col min="5129" max="5129" width="17.42578125" style="2" customWidth="1"/>
    <col min="5130" max="5376" width="9.140625" style="2"/>
    <col min="5377" max="5377" width="30.140625" style="2" customWidth="1"/>
    <col min="5378" max="5378" width="13.5703125" style="2" bestFit="1" customWidth="1"/>
    <col min="5379" max="5379" width="12" style="2" customWidth="1"/>
    <col min="5380" max="5380" width="11.42578125" style="2" customWidth="1"/>
    <col min="5381" max="5384" width="9.140625" style="2"/>
    <col min="5385" max="5385" width="17.42578125" style="2" customWidth="1"/>
    <col min="5386" max="5632" width="9.140625" style="2"/>
    <col min="5633" max="5633" width="30.140625" style="2" customWidth="1"/>
    <col min="5634" max="5634" width="13.5703125" style="2" bestFit="1" customWidth="1"/>
    <col min="5635" max="5635" width="12" style="2" customWidth="1"/>
    <col min="5636" max="5636" width="11.42578125" style="2" customWidth="1"/>
    <col min="5637" max="5640" width="9.140625" style="2"/>
    <col min="5641" max="5641" width="17.42578125" style="2" customWidth="1"/>
    <col min="5642" max="5888" width="9.140625" style="2"/>
    <col min="5889" max="5889" width="30.140625" style="2" customWidth="1"/>
    <col min="5890" max="5890" width="13.5703125" style="2" bestFit="1" customWidth="1"/>
    <col min="5891" max="5891" width="12" style="2" customWidth="1"/>
    <col min="5892" max="5892" width="11.42578125" style="2" customWidth="1"/>
    <col min="5893" max="5896" width="9.140625" style="2"/>
    <col min="5897" max="5897" width="17.42578125" style="2" customWidth="1"/>
    <col min="5898" max="6144" width="9.140625" style="2"/>
    <col min="6145" max="6145" width="30.140625" style="2" customWidth="1"/>
    <col min="6146" max="6146" width="13.5703125" style="2" bestFit="1" customWidth="1"/>
    <col min="6147" max="6147" width="12" style="2" customWidth="1"/>
    <col min="6148" max="6148" width="11.42578125" style="2" customWidth="1"/>
    <col min="6149" max="6152" width="9.140625" style="2"/>
    <col min="6153" max="6153" width="17.42578125" style="2" customWidth="1"/>
    <col min="6154" max="6400" width="9.140625" style="2"/>
    <col min="6401" max="6401" width="30.140625" style="2" customWidth="1"/>
    <col min="6402" max="6402" width="13.5703125" style="2" bestFit="1" customWidth="1"/>
    <col min="6403" max="6403" width="12" style="2" customWidth="1"/>
    <col min="6404" max="6404" width="11.42578125" style="2" customWidth="1"/>
    <col min="6405" max="6408" width="9.140625" style="2"/>
    <col min="6409" max="6409" width="17.42578125" style="2" customWidth="1"/>
    <col min="6410" max="6656" width="9.140625" style="2"/>
    <col min="6657" max="6657" width="30.140625" style="2" customWidth="1"/>
    <col min="6658" max="6658" width="13.5703125" style="2" bestFit="1" customWidth="1"/>
    <col min="6659" max="6659" width="12" style="2" customWidth="1"/>
    <col min="6660" max="6660" width="11.42578125" style="2" customWidth="1"/>
    <col min="6661" max="6664" width="9.140625" style="2"/>
    <col min="6665" max="6665" width="17.42578125" style="2" customWidth="1"/>
    <col min="6666" max="6912" width="9.140625" style="2"/>
    <col min="6913" max="6913" width="30.140625" style="2" customWidth="1"/>
    <col min="6914" max="6914" width="13.5703125" style="2" bestFit="1" customWidth="1"/>
    <col min="6915" max="6915" width="12" style="2" customWidth="1"/>
    <col min="6916" max="6916" width="11.42578125" style="2" customWidth="1"/>
    <col min="6917" max="6920" width="9.140625" style="2"/>
    <col min="6921" max="6921" width="17.42578125" style="2" customWidth="1"/>
    <col min="6922" max="7168" width="9.140625" style="2"/>
    <col min="7169" max="7169" width="30.140625" style="2" customWidth="1"/>
    <col min="7170" max="7170" width="13.5703125" style="2" bestFit="1" customWidth="1"/>
    <col min="7171" max="7171" width="12" style="2" customWidth="1"/>
    <col min="7172" max="7172" width="11.42578125" style="2" customWidth="1"/>
    <col min="7173" max="7176" width="9.140625" style="2"/>
    <col min="7177" max="7177" width="17.42578125" style="2" customWidth="1"/>
    <col min="7178" max="7424" width="9.140625" style="2"/>
    <col min="7425" max="7425" width="30.140625" style="2" customWidth="1"/>
    <col min="7426" max="7426" width="13.5703125" style="2" bestFit="1" customWidth="1"/>
    <col min="7427" max="7427" width="12" style="2" customWidth="1"/>
    <col min="7428" max="7428" width="11.42578125" style="2" customWidth="1"/>
    <col min="7429" max="7432" width="9.140625" style="2"/>
    <col min="7433" max="7433" width="17.42578125" style="2" customWidth="1"/>
    <col min="7434" max="7680" width="9.140625" style="2"/>
    <col min="7681" max="7681" width="30.140625" style="2" customWidth="1"/>
    <col min="7682" max="7682" width="13.5703125" style="2" bestFit="1" customWidth="1"/>
    <col min="7683" max="7683" width="12" style="2" customWidth="1"/>
    <col min="7684" max="7684" width="11.42578125" style="2" customWidth="1"/>
    <col min="7685" max="7688" width="9.140625" style="2"/>
    <col min="7689" max="7689" width="17.42578125" style="2" customWidth="1"/>
    <col min="7690" max="7936" width="9.140625" style="2"/>
    <col min="7937" max="7937" width="30.140625" style="2" customWidth="1"/>
    <col min="7938" max="7938" width="13.5703125" style="2" bestFit="1" customWidth="1"/>
    <col min="7939" max="7939" width="12" style="2" customWidth="1"/>
    <col min="7940" max="7940" width="11.42578125" style="2" customWidth="1"/>
    <col min="7941" max="7944" width="9.140625" style="2"/>
    <col min="7945" max="7945" width="17.42578125" style="2" customWidth="1"/>
    <col min="7946" max="8192" width="9.140625" style="2"/>
    <col min="8193" max="8193" width="30.140625" style="2" customWidth="1"/>
    <col min="8194" max="8194" width="13.5703125" style="2" bestFit="1" customWidth="1"/>
    <col min="8195" max="8195" width="12" style="2" customWidth="1"/>
    <col min="8196" max="8196" width="11.42578125" style="2" customWidth="1"/>
    <col min="8197" max="8200" width="9.140625" style="2"/>
    <col min="8201" max="8201" width="17.42578125" style="2" customWidth="1"/>
    <col min="8202" max="8448" width="9.140625" style="2"/>
    <col min="8449" max="8449" width="30.140625" style="2" customWidth="1"/>
    <col min="8450" max="8450" width="13.5703125" style="2" bestFit="1" customWidth="1"/>
    <col min="8451" max="8451" width="12" style="2" customWidth="1"/>
    <col min="8452" max="8452" width="11.42578125" style="2" customWidth="1"/>
    <col min="8453" max="8456" width="9.140625" style="2"/>
    <col min="8457" max="8457" width="17.42578125" style="2" customWidth="1"/>
    <col min="8458" max="8704" width="9.140625" style="2"/>
    <col min="8705" max="8705" width="30.140625" style="2" customWidth="1"/>
    <col min="8706" max="8706" width="13.5703125" style="2" bestFit="1" customWidth="1"/>
    <col min="8707" max="8707" width="12" style="2" customWidth="1"/>
    <col min="8708" max="8708" width="11.42578125" style="2" customWidth="1"/>
    <col min="8709" max="8712" width="9.140625" style="2"/>
    <col min="8713" max="8713" width="17.42578125" style="2" customWidth="1"/>
    <col min="8714" max="8960" width="9.140625" style="2"/>
    <col min="8961" max="8961" width="30.140625" style="2" customWidth="1"/>
    <col min="8962" max="8962" width="13.5703125" style="2" bestFit="1" customWidth="1"/>
    <col min="8963" max="8963" width="12" style="2" customWidth="1"/>
    <col min="8964" max="8964" width="11.42578125" style="2" customWidth="1"/>
    <col min="8965" max="8968" width="9.140625" style="2"/>
    <col min="8969" max="8969" width="17.42578125" style="2" customWidth="1"/>
    <col min="8970" max="9216" width="9.140625" style="2"/>
    <col min="9217" max="9217" width="30.140625" style="2" customWidth="1"/>
    <col min="9218" max="9218" width="13.5703125" style="2" bestFit="1" customWidth="1"/>
    <col min="9219" max="9219" width="12" style="2" customWidth="1"/>
    <col min="9220" max="9220" width="11.42578125" style="2" customWidth="1"/>
    <col min="9221" max="9224" width="9.140625" style="2"/>
    <col min="9225" max="9225" width="17.42578125" style="2" customWidth="1"/>
    <col min="9226" max="9472" width="9.140625" style="2"/>
    <col min="9473" max="9473" width="30.140625" style="2" customWidth="1"/>
    <col min="9474" max="9474" width="13.5703125" style="2" bestFit="1" customWidth="1"/>
    <col min="9475" max="9475" width="12" style="2" customWidth="1"/>
    <col min="9476" max="9476" width="11.42578125" style="2" customWidth="1"/>
    <col min="9477" max="9480" width="9.140625" style="2"/>
    <col min="9481" max="9481" width="17.42578125" style="2" customWidth="1"/>
    <col min="9482" max="9728" width="9.140625" style="2"/>
    <col min="9729" max="9729" width="30.140625" style="2" customWidth="1"/>
    <col min="9730" max="9730" width="13.5703125" style="2" bestFit="1" customWidth="1"/>
    <col min="9731" max="9731" width="12" style="2" customWidth="1"/>
    <col min="9732" max="9732" width="11.42578125" style="2" customWidth="1"/>
    <col min="9733" max="9736" width="9.140625" style="2"/>
    <col min="9737" max="9737" width="17.42578125" style="2" customWidth="1"/>
    <col min="9738" max="9984" width="9.140625" style="2"/>
    <col min="9985" max="9985" width="30.140625" style="2" customWidth="1"/>
    <col min="9986" max="9986" width="13.5703125" style="2" bestFit="1" customWidth="1"/>
    <col min="9987" max="9987" width="12" style="2" customWidth="1"/>
    <col min="9988" max="9988" width="11.42578125" style="2" customWidth="1"/>
    <col min="9989" max="9992" width="9.140625" style="2"/>
    <col min="9993" max="9993" width="17.42578125" style="2" customWidth="1"/>
    <col min="9994" max="10240" width="9.140625" style="2"/>
    <col min="10241" max="10241" width="30.140625" style="2" customWidth="1"/>
    <col min="10242" max="10242" width="13.5703125" style="2" bestFit="1" customWidth="1"/>
    <col min="10243" max="10243" width="12" style="2" customWidth="1"/>
    <col min="10244" max="10244" width="11.42578125" style="2" customWidth="1"/>
    <col min="10245" max="10248" width="9.140625" style="2"/>
    <col min="10249" max="10249" width="17.42578125" style="2" customWidth="1"/>
    <col min="10250" max="10496" width="9.140625" style="2"/>
    <col min="10497" max="10497" width="30.140625" style="2" customWidth="1"/>
    <col min="10498" max="10498" width="13.5703125" style="2" bestFit="1" customWidth="1"/>
    <col min="10499" max="10499" width="12" style="2" customWidth="1"/>
    <col min="10500" max="10500" width="11.42578125" style="2" customWidth="1"/>
    <col min="10501" max="10504" width="9.140625" style="2"/>
    <col min="10505" max="10505" width="17.42578125" style="2" customWidth="1"/>
    <col min="10506" max="10752" width="9.140625" style="2"/>
    <col min="10753" max="10753" width="30.140625" style="2" customWidth="1"/>
    <col min="10754" max="10754" width="13.5703125" style="2" bestFit="1" customWidth="1"/>
    <col min="10755" max="10755" width="12" style="2" customWidth="1"/>
    <col min="10756" max="10756" width="11.42578125" style="2" customWidth="1"/>
    <col min="10757" max="10760" width="9.140625" style="2"/>
    <col min="10761" max="10761" width="17.42578125" style="2" customWidth="1"/>
    <col min="10762" max="11008" width="9.140625" style="2"/>
    <col min="11009" max="11009" width="30.140625" style="2" customWidth="1"/>
    <col min="11010" max="11010" width="13.5703125" style="2" bestFit="1" customWidth="1"/>
    <col min="11011" max="11011" width="12" style="2" customWidth="1"/>
    <col min="11012" max="11012" width="11.42578125" style="2" customWidth="1"/>
    <col min="11013" max="11016" width="9.140625" style="2"/>
    <col min="11017" max="11017" width="17.42578125" style="2" customWidth="1"/>
    <col min="11018" max="11264" width="9.140625" style="2"/>
    <col min="11265" max="11265" width="30.140625" style="2" customWidth="1"/>
    <col min="11266" max="11266" width="13.5703125" style="2" bestFit="1" customWidth="1"/>
    <col min="11267" max="11267" width="12" style="2" customWidth="1"/>
    <col min="11268" max="11268" width="11.42578125" style="2" customWidth="1"/>
    <col min="11269" max="11272" width="9.140625" style="2"/>
    <col min="11273" max="11273" width="17.42578125" style="2" customWidth="1"/>
    <col min="11274" max="11520" width="9.140625" style="2"/>
    <col min="11521" max="11521" width="30.140625" style="2" customWidth="1"/>
    <col min="11522" max="11522" width="13.5703125" style="2" bestFit="1" customWidth="1"/>
    <col min="11523" max="11523" width="12" style="2" customWidth="1"/>
    <col min="11524" max="11524" width="11.42578125" style="2" customWidth="1"/>
    <col min="11525" max="11528" width="9.140625" style="2"/>
    <col min="11529" max="11529" width="17.42578125" style="2" customWidth="1"/>
    <col min="11530" max="11776" width="9.140625" style="2"/>
    <col min="11777" max="11777" width="30.140625" style="2" customWidth="1"/>
    <col min="11778" max="11778" width="13.5703125" style="2" bestFit="1" customWidth="1"/>
    <col min="11779" max="11779" width="12" style="2" customWidth="1"/>
    <col min="11780" max="11780" width="11.42578125" style="2" customWidth="1"/>
    <col min="11781" max="11784" width="9.140625" style="2"/>
    <col min="11785" max="11785" width="17.42578125" style="2" customWidth="1"/>
    <col min="11786" max="12032" width="9.140625" style="2"/>
    <col min="12033" max="12033" width="30.140625" style="2" customWidth="1"/>
    <col min="12034" max="12034" width="13.5703125" style="2" bestFit="1" customWidth="1"/>
    <col min="12035" max="12035" width="12" style="2" customWidth="1"/>
    <col min="12036" max="12036" width="11.42578125" style="2" customWidth="1"/>
    <col min="12037" max="12040" width="9.140625" style="2"/>
    <col min="12041" max="12041" width="17.42578125" style="2" customWidth="1"/>
    <col min="12042" max="12288" width="9.140625" style="2"/>
    <col min="12289" max="12289" width="30.140625" style="2" customWidth="1"/>
    <col min="12290" max="12290" width="13.5703125" style="2" bestFit="1" customWidth="1"/>
    <col min="12291" max="12291" width="12" style="2" customWidth="1"/>
    <col min="12292" max="12292" width="11.42578125" style="2" customWidth="1"/>
    <col min="12293" max="12296" width="9.140625" style="2"/>
    <col min="12297" max="12297" width="17.42578125" style="2" customWidth="1"/>
    <col min="12298" max="12544" width="9.140625" style="2"/>
    <col min="12545" max="12545" width="30.140625" style="2" customWidth="1"/>
    <col min="12546" max="12546" width="13.5703125" style="2" bestFit="1" customWidth="1"/>
    <col min="12547" max="12547" width="12" style="2" customWidth="1"/>
    <col min="12548" max="12548" width="11.42578125" style="2" customWidth="1"/>
    <col min="12549" max="12552" width="9.140625" style="2"/>
    <col min="12553" max="12553" width="17.42578125" style="2" customWidth="1"/>
    <col min="12554" max="12800" width="9.140625" style="2"/>
    <col min="12801" max="12801" width="30.140625" style="2" customWidth="1"/>
    <col min="12802" max="12802" width="13.5703125" style="2" bestFit="1" customWidth="1"/>
    <col min="12803" max="12803" width="12" style="2" customWidth="1"/>
    <col min="12804" max="12804" width="11.42578125" style="2" customWidth="1"/>
    <col min="12805" max="12808" width="9.140625" style="2"/>
    <col min="12809" max="12809" width="17.42578125" style="2" customWidth="1"/>
    <col min="12810" max="13056" width="9.140625" style="2"/>
    <col min="13057" max="13057" width="30.140625" style="2" customWidth="1"/>
    <col min="13058" max="13058" width="13.5703125" style="2" bestFit="1" customWidth="1"/>
    <col min="13059" max="13059" width="12" style="2" customWidth="1"/>
    <col min="13060" max="13060" width="11.42578125" style="2" customWidth="1"/>
    <col min="13061" max="13064" width="9.140625" style="2"/>
    <col min="13065" max="13065" width="17.42578125" style="2" customWidth="1"/>
    <col min="13066" max="13312" width="9.140625" style="2"/>
    <col min="13313" max="13313" width="30.140625" style="2" customWidth="1"/>
    <col min="13314" max="13314" width="13.5703125" style="2" bestFit="1" customWidth="1"/>
    <col min="13315" max="13315" width="12" style="2" customWidth="1"/>
    <col min="13316" max="13316" width="11.42578125" style="2" customWidth="1"/>
    <col min="13317" max="13320" width="9.140625" style="2"/>
    <col min="13321" max="13321" width="17.42578125" style="2" customWidth="1"/>
    <col min="13322" max="13568" width="9.140625" style="2"/>
    <col min="13569" max="13569" width="30.140625" style="2" customWidth="1"/>
    <col min="13570" max="13570" width="13.5703125" style="2" bestFit="1" customWidth="1"/>
    <col min="13571" max="13571" width="12" style="2" customWidth="1"/>
    <col min="13572" max="13572" width="11.42578125" style="2" customWidth="1"/>
    <col min="13573" max="13576" width="9.140625" style="2"/>
    <col min="13577" max="13577" width="17.42578125" style="2" customWidth="1"/>
    <col min="13578" max="13824" width="9.140625" style="2"/>
    <col min="13825" max="13825" width="30.140625" style="2" customWidth="1"/>
    <col min="13826" max="13826" width="13.5703125" style="2" bestFit="1" customWidth="1"/>
    <col min="13827" max="13827" width="12" style="2" customWidth="1"/>
    <col min="13828" max="13828" width="11.42578125" style="2" customWidth="1"/>
    <col min="13829" max="13832" width="9.140625" style="2"/>
    <col min="13833" max="13833" width="17.42578125" style="2" customWidth="1"/>
    <col min="13834" max="14080" width="9.140625" style="2"/>
    <col min="14081" max="14081" width="30.140625" style="2" customWidth="1"/>
    <col min="14082" max="14082" width="13.5703125" style="2" bestFit="1" customWidth="1"/>
    <col min="14083" max="14083" width="12" style="2" customWidth="1"/>
    <col min="14084" max="14084" width="11.42578125" style="2" customWidth="1"/>
    <col min="14085" max="14088" width="9.140625" style="2"/>
    <col min="14089" max="14089" width="17.42578125" style="2" customWidth="1"/>
    <col min="14090" max="14336" width="9.140625" style="2"/>
    <col min="14337" max="14337" width="30.140625" style="2" customWidth="1"/>
    <col min="14338" max="14338" width="13.5703125" style="2" bestFit="1" customWidth="1"/>
    <col min="14339" max="14339" width="12" style="2" customWidth="1"/>
    <col min="14340" max="14340" width="11.42578125" style="2" customWidth="1"/>
    <col min="14341" max="14344" width="9.140625" style="2"/>
    <col min="14345" max="14345" width="17.42578125" style="2" customWidth="1"/>
    <col min="14346" max="14592" width="9.140625" style="2"/>
    <col min="14593" max="14593" width="30.140625" style="2" customWidth="1"/>
    <col min="14594" max="14594" width="13.5703125" style="2" bestFit="1" customWidth="1"/>
    <col min="14595" max="14595" width="12" style="2" customWidth="1"/>
    <col min="14596" max="14596" width="11.42578125" style="2" customWidth="1"/>
    <col min="14597" max="14600" width="9.140625" style="2"/>
    <col min="14601" max="14601" width="17.42578125" style="2" customWidth="1"/>
    <col min="14602" max="14848" width="9.140625" style="2"/>
    <col min="14849" max="14849" width="30.140625" style="2" customWidth="1"/>
    <col min="14850" max="14850" width="13.5703125" style="2" bestFit="1" customWidth="1"/>
    <col min="14851" max="14851" width="12" style="2" customWidth="1"/>
    <col min="14852" max="14852" width="11.42578125" style="2" customWidth="1"/>
    <col min="14853" max="14856" width="9.140625" style="2"/>
    <col min="14857" max="14857" width="17.42578125" style="2" customWidth="1"/>
    <col min="14858" max="15104" width="9.140625" style="2"/>
    <col min="15105" max="15105" width="30.140625" style="2" customWidth="1"/>
    <col min="15106" max="15106" width="13.5703125" style="2" bestFit="1" customWidth="1"/>
    <col min="15107" max="15107" width="12" style="2" customWidth="1"/>
    <col min="15108" max="15108" width="11.42578125" style="2" customWidth="1"/>
    <col min="15109" max="15112" width="9.140625" style="2"/>
    <col min="15113" max="15113" width="17.42578125" style="2" customWidth="1"/>
    <col min="15114" max="15360" width="9.140625" style="2"/>
    <col min="15361" max="15361" width="30.140625" style="2" customWidth="1"/>
    <col min="15362" max="15362" width="13.5703125" style="2" bestFit="1" customWidth="1"/>
    <col min="15363" max="15363" width="12" style="2" customWidth="1"/>
    <col min="15364" max="15364" width="11.42578125" style="2" customWidth="1"/>
    <col min="15365" max="15368" width="9.140625" style="2"/>
    <col min="15369" max="15369" width="17.42578125" style="2" customWidth="1"/>
    <col min="15370" max="15616" width="9.140625" style="2"/>
    <col min="15617" max="15617" width="30.140625" style="2" customWidth="1"/>
    <col min="15618" max="15618" width="13.5703125" style="2" bestFit="1" customWidth="1"/>
    <col min="15619" max="15619" width="12" style="2" customWidth="1"/>
    <col min="15620" max="15620" width="11.42578125" style="2" customWidth="1"/>
    <col min="15621" max="15624" width="9.140625" style="2"/>
    <col min="15625" max="15625" width="17.42578125" style="2" customWidth="1"/>
    <col min="15626" max="15872" width="9.140625" style="2"/>
    <col min="15873" max="15873" width="30.140625" style="2" customWidth="1"/>
    <col min="15874" max="15874" width="13.5703125" style="2" bestFit="1" customWidth="1"/>
    <col min="15875" max="15875" width="12" style="2" customWidth="1"/>
    <col min="15876" max="15876" width="11.42578125" style="2" customWidth="1"/>
    <col min="15877" max="15880" width="9.140625" style="2"/>
    <col min="15881" max="15881" width="17.42578125" style="2" customWidth="1"/>
    <col min="15882" max="16128" width="9.140625" style="2"/>
    <col min="16129" max="16129" width="30.140625" style="2" customWidth="1"/>
    <col min="16130" max="16130" width="13.5703125" style="2" bestFit="1" customWidth="1"/>
    <col min="16131" max="16131" width="12" style="2" customWidth="1"/>
    <col min="16132" max="16132" width="11.42578125" style="2" customWidth="1"/>
    <col min="16133" max="16136" width="9.140625" style="2"/>
    <col min="16137" max="16137" width="17.42578125" style="2" customWidth="1"/>
    <col min="16138" max="16384" width="9.140625" style="2"/>
  </cols>
  <sheetData>
    <row r="1" spans="1:9" x14ac:dyDescent="0.25">
      <c r="A1" s="1" t="s">
        <v>0</v>
      </c>
      <c r="H1" s="3"/>
    </row>
    <row r="2" spans="1:9" x14ac:dyDescent="0.25">
      <c r="E2" s="2" t="s">
        <v>1</v>
      </c>
      <c r="F2" s="2">
        <f>9999</f>
        <v>9999</v>
      </c>
      <c r="H2" s="3"/>
    </row>
    <row r="3" spans="1:9" x14ac:dyDescent="0.25">
      <c r="A3" s="4" t="s">
        <v>2</v>
      </c>
      <c r="I3" s="4"/>
    </row>
    <row r="4" spans="1:9" x14ac:dyDescent="0.25"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9" x14ac:dyDescent="0.25">
      <c r="A5" s="2" t="s">
        <v>9</v>
      </c>
      <c r="B5" s="6">
        <v>2</v>
      </c>
      <c r="C5" s="6">
        <v>1</v>
      </c>
      <c r="D5" s="6">
        <v>6</v>
      </c>
      <c r="E5" s="6">
        <v>4</v>
      </c>
      <c r="F5" s="6">
        <v>8</v>
      </c>
      <c r="G5" s="6">
        <v>1</v>
      </c>
    </row>
    <row r="6" spans="1:9" x14ac:dyDescent="0.25">
      <c r="A6" s="2" t="s">
        <v>10</v>
      </c>
      <c r="B6" s="6">
        <v>3</v>
      </c>
      <c r="C6" s="6">
        <v>2.5</v>
      </c>
      <c r="D6" s="6">
        <v>4</v>
      </c>
      <c r="E6" s="6">
        <v>4.5</v>
      </c>
      <c r="F6" s="6">
        <v>5.5</v>
      </c>
      <c r="G6" s="6">
        <v>3.5</v>
      </c>
    </row>
    <row r="8" spans="1:9" x14ac:dyDescent="0.25">
      <c r="A8" s="2" t="s">
        <v>11</v>
      </c>
      <c r="B8" s="7">
        <v>35</v>
      </c>
      <c r="C8" s="7">
        <v>40</v>
      </c>
      <c r="D8" s="7">
        <v>65</v>
      </c>
      <c r="E8" s="8">
        <v>70</v>
      </c>
      <c r="F8" s="8">
        <v>110</v>
      </c>
      <c r="G8" s="8">
        <v>45</v>
      </c>
    </row>
    <row r="9" spans="1:9" x14ac:dyDescent="0.25">
      <c r="A9" s="2" t="s">
        <v>12</v>
      </c>
      <c r="B9" s="7">
        <v>20</v>
      </c>
      <c r="C9" s="7">
        <v>10</v>
      </c>
      <c r="D9" s="7">
        <v>25</v>
      </c>
      <c r="E9" s="8">
        <v>30</v>
      </c>
      <c r="F9" s="8">
        <v>35</v>
      </c>
      <c r="G9" s="8">
        <v>15</v>
      </c>
    </row>
    <row r="10" spans="1:9" x14ac:dyDescent="0.25">
      <c r="A10" s="2" t="s">
        <v>13</v>
      </c>
      <c r="B10" s="7">
        <v>1500</v>
      </c>
      <c r="C10" s="7">
        <v>1200</v>
      </c>
      <c r="D10" s="7">
        <v>1600</v>
      </c>
      <c r="E10" s="7">
        <v>1500</v>
      </c>
      <c r="F10" s="7">
        <v>1600</v>
      </c>
      <c r="G10" s="7">
        <v>1100</v>
      </c>
    </row>
    <row r="11" spans="1:9" x14ac:dyDescent="0.25">
      <c r="D11" s="4"/>
    </row>
    <row r="12" spans="1:9" x14ac:dyDescent="0.25">
      <c r="A12" s="4" t="s">
        <v>14</v>
      </c>
      <c r="D12" s="4"/>
    </row>
    <row r="13" spans="1:9" x14ac:dyDescent="0.25"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5"/>
      <c r="I13" s="5"/>
    </row>
    <row r="14" spans="1:9" x14ac:dyDescent="0.25">
      <c r="A14" s="2" t="s">
        <v>15</v>
      </c>
      <c r="B14" s="9">
        <v>0</v>
      </c>
      <c r="C14" s="9">
        <v>1</v>
      </c>
      <c r="D14" s="9">
        <v>0</v>
      </c>
      <c r="E14" s="9">
        <v>0</v>
      </c>
      <c r="F14" s="9">
        <v>1</v>
      </c>
      <c r="G14" s="9">
        <v>0</v>
      </c>
      <c r="H14" s="10"/>
    </row>
    <row r="15" spans="1:9" x14ac:dyDescent="0.25">
      <c r="A15" s="2" t="s">
        <v>16</v>
      </c>
      <c r="B15" s="9">
        <v>0</v>
      </c>
      <c r="C15" s="9">
        <v>965.51724137931012</v>
      </c>
      <c r="D15" s="9">
        <v>0</v>
      </c>
      <c r="E15" s="9">
        <v>0</v>
      </c>
      <c r="F15" s="9">
        <v>379.31034482758628</v>
      </c>
      <c r="G15" s="9">
        <v>0</v>
      </c>
    </row>
    <row r="16" spans="1:9" x14ac:dyDescent="0.25">
      <c r="B16" s="11" t="s">
        <v>17</v>
      </c>
      <c r="C16" s="11" t="s">
        <v>17</v>
      </c>
      <c r="D16" s="11" t="s">
        <v>17</v>
      </c>
      <c r="E16" s="11" t="s">
        <v>17</v>
      </c>
      <c r="F16" s="11" t="s">
        <v>17</v>
      </c>
      <c r="G16" s="11" t="s">
        <v>17</v>
      </c>
    </row>
    <row r="17" spans="1:7" x14ac:dyDescent="0.25">
      <c r="A17" s="2" t="s">
        <v>18</v>
      </c>
      <c r="B17" s="12">
        <f>$F$2 * B14</f>
        <v>0</v>
      </c>
      <c r="C17" s="12">
        <f t="shared" ref="C17:G17" si="0">$F$2 * C14</f>
        <v>9999</v>
      </c>
      <c r="D17" s="12">
        <f t="shared" si="0"/>
        <v>0</v>
      </c>
      <c r="E17" s="12">
        <f t="shared" si="0"/>
        <v>0</v>
      </c>
      <c r="F17" s="12">
        <f t="shared" si="0"/>
        <v>9999</v>
      </c>
      <c r="G17" s="12">
        <f t="shared" si="0"/>
        <v>0</v>
      </c>
    </row>
    <row r="18" spans="1:7" x14ac:dyDescent="0.25">
      <c r="A18" s="2" t="s">
        <v>19</v>
      </c>
      <c r="B18" s="13"/>
      <c r="C18" s="13"/>
      <c r="D18" s="13"/>
      <c r="E18" s="13"/>
      <c r="F18" s="13"/>
    </row>
    <row r="19" spans="1:7" x14ac:dyDescent="0.25">
      <c r="A19" s="2" t="s">
        <v>20</v>
      </c>
      <c r="B19" s="13"/>
      <c r="C19" s="13"/>
      <c r="D19" s="13"/>
      <c r="E19" s="13"/>
      <c r="F19" s="13"/>
    </row>
    <row r="20" spans="1:7" x14ac:dyDescent="0.25">
      <c r="A20" s="2" t="s">
        <v>21</v>
      </c>
    </row>
    <row r="21" spans="1:7" x14ac:dyDescent="0.25">
      <c r="A21" s="4" t="s">
        <v>22</v>
      </c>
    </row>
    <row r="22" spans="1:7" x14ac:dyDescent="0.25">
      <c r="B22" s="5" t="s">
        <v>23</v>
      </c>
      <c r="C22" s="5"/>
      <c r="D22" s="5" t="s">
        <v>24</v>
      </c>
    </row>
    <row r="23" spans="1:7" x14ac:dyDescent="0.25">
      <c r="A23" s="2" t="s">
        <v>25</v>
      </c>
      <c r="B23" s="13">
        <f>SUMPRODUCT(B5:G5,B15:G15)</f>
        <v>4000.0000000000005</v>
      </c>
      <c r="C23" s="14" t="s">
        <v>17</v>
      </c>
      <c r="D23" s="6">
        <v>4000</v>
      </c>
    </row>
    <row r="24" spans="1:7" x14ac:dyDescent="0.25">
      <c r="A24" s="2" t="s">
        <v>26</v>
      </c>
      <c r="B24" s="13">
        <f>SUMPRODUCT(B6:G6,B15:G15)</f>
        <v>4500</v>
      </c>
      <c r="C24" s="14" t="s">
        <v>17</v>
      </c>
      <c r="D24" s="6">
        <v>4500</v>
      </c>
    </row>
    <row r="26" spans="1:7" x14ac:dyDescent="0.25">
      <c r="A26" s="4" t="s">
        <v>27</v>
      </c>
    </row>
    <row r="27" spans="1:7" x14ac:dyDescent="0.25">
      <c r="A27" s="2" t="s">
        <v>28</v>
      </c>
      <c r="B27" s="15">
        <f>SUMPRODUCT(B8:G8,B15:G15)</f>
        <v>80344.827586206899</v>
      </c>
    </row>
    <row r="28" spans="1:7" x14ac:dyDescent="0.25">
      <c r="A28" s="2" t="s">
        <v>29</v>
      </c>
      <c r="B28" s="15">
        <f>SUMPRODUCT(B15:G15, B9:G9)</f>
        <v>22931.034482758623</v>
      </c>
    </row>
    <row r="29" spans="1:7" ht="15.75" thickBot="1" x14ac:dyDescent="0.3">
      <c r="A29" s="2" t="s">
        <v>13</v>
      </c>
      <c r="B29" s="15">
        <f>SUMPRODUCT(B10:G10, B14:G14)</f>
        <v>2800</v>
      </c>
    </row>
    <row r="30" spans="1:7" ht="15.75" thickBot="1" x14ac:dyDescent="0.3">
      <c r="A30" s="2" t="s">
        <v>30</v>
      </c>
      <c r="B30" s="16">
        <f>B27 - (B28+B29)</f>
        <v>54613.793103448275</v>
      </c>
      <c r="D30" s="4"/>
    </row>
    <row r="32" spans="1:7" x14ac:dyDescent="0.25">
      <c r="A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16E5-030A-4FF3-A9EC-131C21E5C6FB}">
  <sheetPr filterMode="1"/>
  <dimension ref="A1:K149"/>
  <sheetViews>
    <sheetView zoomScaleNormal="100" workbookViewId="0">
      <selection activeCell="C163" sqref="C163"/>
    </sheetView>
  </sheetViews>
  <sheetFormatPr defaultRowHeight="15" x14ac:dyDescent="0.25"/>
  <cols>
    <col min="1" max="1" width="26.5703125" style="2" customWidth="1"/>
    <col min="2" max="2" width="16.42578125" style="2" bestFit="1" customWidth="1"/>
    <col min="3" max="3" width="13.28515625" style="2" bestFit="1" customWidth="1"/>
    <col min="4" max="4" width="10.140625" style="2" customWidth="1"/>
    <col min="5" max="5" width="10" style="2" customWidth="1"/>
    <col min="6" max="6" width="12.42578125" style="2" bestFit="1" customWidth="1"/>
    <col min="7" max="8" width="9.140625" style="2"/>
    <col min="9" max="9" width="13.7109375" style="2" customWidth="1"/>
    <col min="10" max="10" width="14" style="2" customWidth="1"/>
    <col min="11" max="11" width="9.140625" style="2"/>
    <col min="12" max="12" width="9" style="2" customWidth="1"/>
    <col min="13" max="13" width="11.85546875" style="2" bestFit="1" customWidth="1"/>
    <col min="14" max="255" width="9.140625" style="2"/>
    <col min="256" max="256" width="24.140625" style="2" customWidth="1"/>
    <col min="257" max="257" width="15" style="2" bestFit="1" customWidth="1"/>
    <col min="258" max="258" width="11.140625" style="2" customWidth="1"/>
    <col min="259" max="259" width="10.140625" style="2" customWidth="1"/>
    <col min="260" max="260" width="10" style="2" customWidth="1"/>
    <col min="261" max="261" width="12.42578125" style="2" bestFit="1" customWidth="1"/>
    <col min="262" max="263" width="9.140625" style="2"/>
    <col min="264" max="264" width="11.5703125" style="2" customWidth="1"/>
    <col min="265" max="265" width="9.140625" style="2"/>
    <col min="266" max="266" width="15.5703125" style="2" customWidth="1"/>
    <col min="267" max="267" width="9.140625" style="2"/>
    <col min="268" max="268" width="9" style="2" customWidth="1"/>
    <col min="269" max="269" width="11.85546875" style="2" bestFit="1" customWidth="1"/>
    <col min="270" max="511" width="9.140625" style="2"/>
    <col min="512" max="512" width="24.140625" style="2" customWidth="1"/>
    <col min="513" max="513" width="15" style="2" bestFit="1" customWidth="1"/>
    <col min="514" max="514" width="11.140625" style="2" customWidth="1"/>
    <col min="515" max="515" width="10.140625" style="2" customWidth="1"/>
    <col min="516" max="516" width="10" style="2" customWidth="1"/>
    <col min="517" max="517" width="12.42578125" style="2" bestFit="1" customWidth="1"/>
    <col min="518" max="519" width="9.140625" style="2"/>
    <col min="520" max="520" width="11.5703125" style="2" customWidth="1"/>
    <col min="521" max="521" width="9.140625" style="2"/>
    <col min="522" max="522" width="15.5703125" style="2" customWidth="1"/>
    <col min="523" max="523" width="9.140625" style="2"/>
    <col min="524" max="524" width="9" style="2" customWidth="1"/>
    <col min="525" max="525" width="11.85546875" style="2" bestFit="1" customWidth="1"/>
    <col min="526" max="767" width="9.140625" style="2"/>
    <col min="768" max="768" width="24.140625" style="2" customWidth="1"/>
    <col min="769" max="769" width="15" style="2" bestFit="1" customWidth="1"/>
    <col min="770" max="770" width="11.140625" style="2" customWidth="1"/>
    <col min="771" max="771" width="10.140625" style="2" customWidth="1"/>
    <col min="772" max="772" width="10" style="2" customWidth="1"/>
    <col min="773" max="773" width="12.42578125" style="2" bestFit="1" customWidth="1"/>
    <col min="774" max="775" width="9.140625" style="2"/>
    <col min="776" max="776" width="11.5703125" style="2" customWidth="1"/>
    <col min="777" max="777" width="9.140625" style="2"/>
    <col min="778" max="778" width="15.5703125" style="2" customWidth="1"/>
    <col min="779" max="779" width="9.140625" style="2"/>
    <col min="780" max="780" width="9" style="2" customWidth="1"/>
    <col min="781" max="781" width="11.85546875" style="2" bestFit="1" customWidth="1"/>
    <col min="782" max="1023" width="9.140625" style="2"/>
    <col min="1024" max="1024" width="24.140625" style="2" customWidth="1"/>
    <col min="1025" max="1025" width="15" style="2" bestFit="1" customWidth="1"/>
    <col min="1026" max="1026" width="11.140625" style="2" customWidth="1"/>
    <col min="1027" max="1027" width="10.140625" style="2" customWidth="1"/>
    <col min="1028" max="1028" width="10" style="2" customWidth="1"/>
    <col min="1029" max="1029" width="12.42578125" style="2" bestFit="1" customWidth="1"/>
    <col min="1030" max="1031" width="9.140625" style="2"/>
    <col min="1032" max="1032" width="11.5703125" style="2" customWidth="1"/>
    <col min="1033" max="1033" width="9.140625" style="2"/>
    <col min="1034" max="1034" width="15.5703125" style="2" customWidth="1"/>
    <col min="1035" max="1035" width="9.140625" style="2"/>
    <col min="1036" max="1036" width="9" style="2" customWidth="1"/>
    <col min="1037" max="1037" width="11.85546875" style="2" bestFit="1" customWidth="1"/>
    <col min="1038" max="1279" width="9.140625" style="2"/>
    <col min="1280" max="1280" width="24.140625" style="2" customWidth="1"/>
    <col min="1281" max="1281" width="15" style="2" bestFit="1" customWidth="1"/>
    <col min="1282" max="1282" width="11.140625" style="2" customWidth="1"/>
    <col min="1283" max="1283" width="10.140625" style="2" customWidth="1"/>
    <col min="1284" max="1284" width="10" style="2" customWidth="1"/>
    <col min="1285" max="1285" width="12.42578125" style="2" bestFit="1" customWidth="1"/>
    <col min="1286" max="1287" width="9.140625" style="2"/>
    <col min="1288" max="1288" width="11.5703125" style="2" customWidth="1"/>
    <col min="1289" max="1289" width="9.140625" style="2"/>
    <col min="1290" max="1290" width="15.5703125" style="2" customWidth="1"/>
    <col min="1291" max="1291" width="9.140625" style="2"/>
    <col min="1292" max="1292" width="9" style="2" customWidth="1"/>
    <col min="1293" max="1293" width="11.85546875" style="2" bestFit="1" customWidth="1"/>
    <col min="1294" max="1535" width="9.140625" style="2"/>
    <col min="1536" max="1536" width="24.140625" style="2" customWidth="1"/>
    <col min="1537" max="1537" width="15" style="2" bestFit="1" customWidth="1"/>
    <col min="1538" max="1538" width="11.140625" style="2" customWidth="1"/>
    <col min="1539" max="1539" width="10.140625" style="2" customWidth="1"/>
    <col min="1540" max="1540" width="10" style="2" customWidth="1"/>
    <col min="1541" max="1541" width="12.42578125" style="2" bestFit="1" customWidth="1"/>
    <col min="1542" max="1543" width="9.140625" style="2"/>
    <col min="1544" max="1544" width="11.5703125" style="2" customWidth="1"/>
    <col min="1545" max="1545" width="9.140625" style="2"/>
    <col min="1546" max="1546" width="15.5703125" style="2" customWidth="1"/>
    <col min="1547" max="1547" width="9.140625" style="2"/>
    <col min="1548" max="1548" width="9" style="2" customWidth="1"/>
    <col min="1549" max="1549" width="11.85546875" style="2" bestFit="1" customWidth="1"/>
    <col min="1550" max="1791" width="9.140625" style="2"/>
    <col min="1792" max="1792" width="24.140625" style="2" customWidth="1"/>
    <col min="1793" max="1793" width="15" style="2" bestFit="1" customWidth="1"/>
    <col min="1794" max="1794" width="11.140625" style="2" customWidth="1"/>
    <col min="1795" max="1795" width="10.140625" style="2" customWidth="1"/>
    <col min="1796" max="1796" width="10" style="2" customWidth="1"/>
    <col min="1797" max="1797" width="12.42578125" style="2" bestFit="1" customWidth="1"/>
    <col min="1798" max="1799" width="9.140625" style="2"/>
    <col min="1800" max="1800" width="11.5703125" style="2" customWidth="1"/>
    <col min="1801" max="1801" width="9.140625" style="2"/>
    <col min="1802" max="1802" width="15.5703125" style="2" customWidth="1"/>
    <col min="1803" max="1803" width="9.140625" style="2"/>
    <col min="1804" max="1804" width="9" style="2" customWidth="1"/>
    <col min="1805" max="1805" width="11.85546875" style="2" bestFit="1" customWidth="1"/>
    <col min="1806" max="2047" width="9.140625" style="2"/>
    <col min="2048" max="2048" width="24.140625" style="2" customWidth="1"/>
    <col min="2049" max="2049" width="15" style="2" bestFit="1" customWidth="1"/>
    <col min="2050" max="2050" width="11.140625" style="2" customWidth="1"/>
    <col min="2051" max="2051" width="10.140625" style="2" customWidth="1"/>
    <col min="2052" max="2052" width="10" style="2" customWidth="1"/>
    <col min="2053" max="2053" width="12.42578125" style="2" bestFit="1" customWidth="1"/>
    <col min="2054" max="2055" width="9.140625" style="2"/>
    <col min="2056" max="2056" width="11.5703125" style="2" customWidth="1"/>
    <col min="2057" max="2057" width="9.140625" style="2"/>
    <col min="2058" max="2058" width="15.5703125" style="2" customWidth="1"/>
    <col min="2059" max="2059" width="9.140625" style="2"/>
    <col min="2060" max="2060" width="9" style="2" customWidth="1"/>
    <col min="2061" max="2061" width="11.85546875" style="2" bestFit="1" customWidth="1"/>
    <col min="2062" max="2303" width="9.140625" style="2"/>
    <col min="2304" max="2304" width="24.140625" style="2" customWidth="1"/>
    <col min="2305" max="2305" width="15" style="2" bestFit="1" customWidth="1"/>
    <col min="2306" max="2306" width="11.140625" style="2" customWidth="1"/>
    <col min="2307" max="2307" width="10.140625" style="2" customWidth="1"/>
    <col min="2308" max="2308" width="10" style="2" customWidth="1"/>
    <col min="2309" max="2309" width="12.42578125" style="2" bestFit="1" customWidth="1"/>
    <col min="2310" max="2311" width="9.140625" style="2"/>
    <col min="2312" max="2312" width="11.5703125" style="2" customWidth="1"/>
    <col min="2313" max="2313" width="9.140625" style="2"/>
    <col min="2314" max="2314" width="15.5703125" style="2" customWidth="1"/>
    <col min="2315" max="2315" width="9.140625" style="2"/>
    <col min="2316" max="2316" width="9" style="2" customWidth="1"/>
    <col min="2317" max="2317" width="11.85546875" style="2" bestFit="1" customWidth="1"/>
    <col min="2318" max="2559" width="9.140625" style="2"/>
    <col min="2560" max="2560" width="24.140625" style="2" customWidth="1"/>
    <col min="2561" max="2561" width="15" style="2" bestFit="1" customWidth="1"/>
    <col min="2562" max="2562" width="11.140625" style="2" customWidth="1"/>
    <col min="2563" max="2563" width="10.140625" style="2" customWidth="1"/>
    <col min="2564" max="2564" width="10" style="2" customWidth="1"/>
    <col min="2565" max="2565" width="12.42578125" style="2" bestFit="1" customWidth="1"/>
    <col min="2566" max="2567" width="9.140625" style="2"/>
    <col min="2568" max="2568" width="11.5703125" style="2" customWidth="1"/>
    <col min="2569" max="2569" width="9.140625" style="2"/>
    <col min="2570" max="2570" width="15.5703125" style="2" customWidth="1"/>
    <col min="2571" max="2571" width="9.140625" style="2"/>
    <col min="2572" max="2572" width="9" style="2" customWidth="1"/>
    <col min="2573" max="2573" width="11.85546875" style="2" bestFit="1" customWidth="1"/>
    <col min="2574" max="2815" width="9.140625" style="2"/>
    <col min="2816" max="2816" width="24.140625" style="2" customWidth="1"/>
    <col min="2817" max="2817" width="15" style="2" bestFit="1" customWidth="1"/>
    <col min="2818" max="2818" width="11.140625" style="2" customWidth="1"/>
    <col min="2819" max="2819" width="10.140625" style="2" customWidth="1"/>
    <col min="2820" max="2820" width="10" style="2" customWidth="1"/>
    <col min="2821" max="2821" width="12.42578125" style="2" bestFit="1" customWidth="1"/>
    <col min="2822" max="2823" width="9.140625" style="2"/>
    <col min="2824" max="2824" width="11.5703125" style="2" customWidth="1"/>
    <col min="2825" max="2825" width="9.140625" style="2"/>
    <col min="2826" max="2826" width="15.5703125" style="2" customWidth="1"/>
    <col min="2827" max="2827" width="9.140625" style="2"/>
    <col min="2828" max="2828" width="9" style="2" customWidth="1"/>
    <col min="2829" max="2829" width="11.85546875" style="2" bestFit="1" customWidth="1"/>
    <col min="2830" max="3071" width="9.140625" style="2"/>
    <col min="3072" max="3072" width="24.140625" style="2" customWidth="1"/>
    <col min="3073" max="3073" width="15" style="2" bestFit="1" customWidth="1"/>
    <col min="3074" max="3074" width="11.140625" style="2" customWidth="1"/>
    <col min="3075" max="3075" width="10.140625" style="2" customWidth="1"/>
    <col min="3076" max="3076" width="10" style="2" customWidth="1"/>
    <col min="3077" max="3077" width="12.42578125" style="2" bestFit="1" customWidth="1"/>
    <col min="3078" max="3079" width="9.140625" style="2"/>
    <col min="3080" max="3080" width="11.5703125" style="2" customWidth="1"/>
    <col min="3081" max="3081" width="9.140625" style="2"/>
    <col min="3082" max="3082" width="15.5703125" style="2" customWidth="1"/>
    <col min="3083" max="3083" width="9.140625" style="2"/>
    <col min="3084" max="3084" width="9" style="2" customWidth="1"/>
    <col min="3085" max="3085" width="11.85546875" style="2" bestFit="1" customWidth="1"/>
    <col min="3086" max="3327" width="9.140625" style="2"/>
    <col min="3328" max="3328" width="24.140625" style="2" customWidth="1"/>
    <col min="3329" max="3329" width="15" style="2" bestFit="1" customWidth="1"/>
    <col min="3330" max="3330" width="11.140625" style="2" customWidth="1"/>
    <col min="3331" max="3331" width="10.140625" style="2" customWidth="1"/>
    <col min="3332" max="3332" width="10" style="2" customWidth="1"/>
    <col min="3333" max="3333" width="12.42578125" style="2" bestFit="1" customWidth="1"/>
    <col min="3334" max="3335" width="9.140625" style="2"/>
    <col min="3336" max="3336" width="11.5703125" style="2" customWidth="1"/>
    <col min="3337" max="3337" width="9.140625" style="2"/>
    <col min="3338" max="3338" width="15.5703125" style="2" customWidth="1"/>
    <col min="3339" max="3339" width="9.140625" style="2"/>
    <col min="3340" max="3340" width="9" style="2" customWidth="1"/>
    <col min="3341" max="3341" width="11.85546875" style="2" bestFit="1" customWidth="1"/>
    <col min="3342" max="3583" width="9.140625" style="2"/>
    <col min="3584" max="3584" width="24.140625" style="2" customWidth="1"/>
    <col min="3585" max="3585" width="15" style="2" bestFit="1" customWidth="1"/>
    <col min="3586" max="3586" width="11.140625" style="2" customWidth="1"/>
    <col min="3587" max="3587" width="10.140625" style="2" customWidth="1"/>
    <col min="3588" max="3588" width="10" style="2" customWidth="1"/>
    <col min="3589" max="3589" width="12.42578125" style="2" bestFit="1" customWidth="1"/>
    <col min="3590" max="3591" width="9.140625" style="2"/>
    <col min="3592" max="3592" width="11.5703125" style="2" customWidth="1"/>
    <col min="3593" max="3593" width="9.140625" style="2"/>
    <col min="3594" max="3594" width="15.5703125" style="2" customWidth="1"/>
    <col min="3595" max="3595" width="9.140625" style="2"/>
    <col min="3596" max="3596" width="9" style="2" customWidth="1"/>
    <col min="3597" max="3597" width="11.85546875" style="2" bestFit="1" customWidth="1"/>
    <col min="3598" max="3839" width="9.140625" style="2"/>
    <col min="3840" max="3840" width="24.140625" style="2" customWidth="1"/>
    <col min="3841" max="3841" width="15" style="2" bestFit="1" customWidth="1"/>
    <col min="3842" max="3842" width="11.140625" style="2" customWidth="1"/>
    <col min="3843" max="3843" width="10.140625" style="2" customWidth="1"/>
    <col min="3844" max="3844" width="10" style="2" customWidth="1"/>
    <col min="3845" max="3845" width="12.42578125" style="2" bestFit="1" customWidth="1"/>
    <col min="3846" max="3847" width="9.140625" style="2"/>
    <col min="3848" max="3848" width="11.5703125" style="2" customWidth="1"/>
    <col min="3849" max="3849" width="9.140625" style="2"/>
    <col min="3850" max="3850" width="15.5703125" style="2" customWidth="1"/>
    <col min="3851" max="3851" width="9.140625" style="2"/>
    <col min="3852" max="3852" width="9" style="2" customWidth="1"/>
    <col min="3853" max="3853" width="11.85546875" style="2" bestFit="1" customWidth="1"/>
    <col min="3854" max="4095" width="9.140625" style="2"/>
    <col min="4096" max="4096" width="24.140625" style="2" customWidth="1"/>
    <col min="4097" max="4097" width="15" style="2" bestFit="1" customWidth="1"/>
    <col min="4098" max="4098" width="11.140625" style="2" customWidth="1"/>
    <col min="4099" max="4099" width="10.140625" style="2" customWidth="1"/>
    <col min="4100" max="4100" width="10" style="2" customWidth="1"/>
    <col min="4101" max="4101" width="12.42578125" style="2" bestFit="1" customWidth="1"/>
    <col min="4102" max="4103" width="9.140625" style="2"/>
    <col min="4104" max="4104" width="11.5703125" style="2" customWidth="1"/>
    <col min="4105" max="4105" width="9.140625" style="2"/>
    <col min="4106" max="4106" width="15.5703125" style="2" customWidth="1"/>
    <col min="4107" max="4107" width="9.140625" style="2"/>
    <col min="4108" max="4108" width="9" style="2" customWidth="1"/>
    <col min="4109" max="4109" width="11.85546875" style="2" bestFit="1" customWidth="1"/>
    <col min="4110" max="4351" width="9.140625" style="2"/>
    <col min="4352" max="4352" width="24.140625" style="2" customWidth="1"/>
    <col min="4353" max="4353" width="15" style="2" bestFit="1" customWidth="1"/>
    <col min="4354" max="4354" width="11.140625" style="2" customWidth="1"/>
    <col min="4355" max="4355" width="10.140625" style="2" customWidth="1"/>
    <col min="4356" max="4356" width="10" style="2" customWidth="1"/>
    <col min="4357" max="4357" width="12.42578125" style="2" bestFit="1" customWidth="1"/>
    <col min="4358" max="4359" width="9.140625" style="2"/>
    <col min="4360" max="4360" width="11.5703125" style="2" customWidth="1"/>
    <col min="4361" max="4361" width="9.140625" style="2"/>
    <col min="4362" max="4362" width="15.5703125" style="2" customWidth="1"/>
    <col min="4363" max="4363" width="9.140625" style="2"/>
    <col min="4364" max="4364" width="9" style="2" customWidth="1"/>
    <col min="4365" max="4365" width="11.85546875" style="2" bestFit="1" customWidth="1"/>
    <col min="4366" max="4607" width="9.140625" style="2"/>
    <col min="4608" max="4608" width="24.140625" style="2" customWidth="1"/>
    <col min="4609" max="4609" width="15" style="2" bestFit="1" customWidth="1"/>
    <col min="4610" max="4610" width="11.140625" style="2" customWidth="1"/>
    <col min="4611" max="4611" width="10.140625" style="2" customWidth="1"/>
    <col min="4612" max="4612" width="10" style="2" customWidth="1"/>
    <col min="4613" max="4613" width="12.42578125" style="2" bestFit="1" customWidth="1"/>
    <col min="4614" max="4615" width="9.140625" style="2"/>
    <col min="4616" max="4616" width="11.5703125" style="2" customWidth="1"/>
    <col min="4617" max="4617" width="9.140625" style="2"/>
    <col min="4618" max="4618" width="15.5703125" style="2" customWidth="1"/>
    <col min="4619" max="4619" width="9.140625" style="2"/>
    <col min="4620" max="4620" width="9" style="2" customWidth="1"/>
    <col min="4621" max="4621" width="11.85546875" style="2" bestFit="1" customWidth="1"/>
    <col min="4622" max="4863" width="9.140625" style="2"/>
    <col min="4864" max="4864" width="24.140625" style="2" customWidth="1"/>
    <col min="4865" max="4865" width="15" style="2" bestFit="1" customWidth="1"/>
    <col min="4866" max="4866" width="11.140625" style="2" customWidth="1"/>
    <col min="4867" max="4867" width="10.140625" style="2" customWidth="1"/>
    <col min="4868" max="4868" width="10" style="2" customWidth="1"/>
    <col min="4869" max="4869" width="12.42578125" style="2" bestFit="1" customWidth="1"/>
    <col min="4870" max="4871" width="9.140625" style="2"/>
    <col min="4872" max="4872" width="11.5703125" style="2" customWidth="1"/>
    <col min="4873" max="4873" width="9.140625" style="2"/>
    <col min="4874" max="4874" width="15.5703125" style="2" customWidth="1"/>
    <col min="4875" max="4875" width="9.140625" style="2"/>
    <col min="4876" max="4876" width="9" style="2" customWidth="1"/>
    <col min="4877" max="4877" width="11.85546875" style="2" bestFit="1" customWidth="1"/>
    <col min="4878" max="5119" width="9.140625" style="2"/>
    <col min="5120" max="5120" width="24.140625" style="2" customWidth="1"/>
    <col min="5121" max="5121" width="15" style="2" bestFit="1" customWidth="1"/>
    <col min="5122" max="5122" width="11.140625" style="2" customWidth="1"/>
    <col min="5123" max="5123" width="10.140625" style="2" customWidth="1"/>
    <col min="5124" max="5124" width="10" style="2" customWidth="1"/>
    <col min="5125" max="5125" width="12.42578125" style="2" bestFit="1" customWidth="1"/>
    <col min="5126" max="5127" width="9.140625" style="2"/>
    <col min="5128" max="5128" width="11.5703125" style="2" customWidth="1"/>
    <col min="5129" max="5129" width="9.140625" style="2"/>
    <col min="5130" max="5130" width="15.5703125" style="2" customWidth="1"/>
    <col min="5131" max="5131" width="9.140625" style="2"/>
    <col min="5132" max="5132" width="9" style="2" customWidth="1"/>
    <col min="5133" max="5133" width="11.85546875" style="2" bestFit="1" customWidth="1"/>
    <col min="5134" max="5375" width="9.140625" style="2"/>
    <col min="5376" max="5376" width="24.140625" style="2" customWidth="1"/>
    <col min="5377" max="5377" width="15" style="2" bestFit="1" customWidth="1"/>
    <col min="5378" max="5378" width="11.140625" style="2" customWidth="1"/>
    <col min="5379" max="5379" width="10.140625" style="2" customWidth="1"/>
    <col min="5380" max="5380" width="10" style="2" customWidth="1"/>
    <col min="5381" max="5381" width="12.42578125" style="2" bestFit="1" customWidth="1"/>
    <col min="5382" max="5383" width="9.140625" style="2"/>
    <col min="5384" max="5384" width="11.5703125" style="2" customWidth="1"/>
    <col min="5385" max="5385" width="9.140625" style="2"/>
    <col min="5386" max="5386" width="15.5703125" style="2" customWidth="1"/>
    <col min="5387" max="5387" width="9.140625" style="2"/>
    <col min="5388" max="5388" width="9" style="2" customWidth="1"/>
    <col min="5389" max="5389" width="11.85546875" style="2" bestFit="1" customWidth="1"/>
    <col min="5390" max="5631" width="9.140625" style="2"/>
    <col min="5632" max="5632" width="24.140625" style="2" customWidth="1"/>
    <col min="5633" max="5633" width="15" style="2" bestFit="1" customWidth="1"/>
    <col min="5634" max="5634" width="11.140625" style="2" customWidth="1"/>
    <col min="5635" max="5635" width="10.140625" style="2" customWidth="1"/>
    <col min="5636" max="5636" width="10" style="2" customWidth="1"/>
    <col min="5637" max="5637" width="12.42578125" style="2" bestFit="1" customWidth="1"/>
    <col min="5638" max="5639" width="9.140625" style="2"/>
    <col min="5640" max="5640" width="11.5703125" style="2" customWidth="1"/>
    <col min="5641" max="5641" width="9.140625" style="2"/>
    <col min="5642" max="5642" width="15.5703125" style="2" customWidth="1"/>
    <col min="5643" max="5643" width="9.140625" style="2"/>
    <col min="5644" max="5644" width="9" style="2" customWidth="1"/>
    <col min="5645" max="5645" width="11.85546875" style="2" bestFit="1" customWidth="1"/>
    <col min="5646" max="5887" width="9.140625" style="2"/>
    <col min="5888" max="5888" width="24.140625" style="2" customWidth="1"/>
    <col min="5889" max="5889" width="15" style="2" bestFit="1" customWidth="1"/>
    <col min="5890" max="5890" width="11.140625" style="2" customWidth="1"/>
    <col min="5891" max="5891" width="10.140625" style="2" customWidth="1"/>
    <col min="5892" max="5892" width="10" style="2" customWidth="1"/>
    <col min="5893" max="5893" width="12.42578125" style="2" bestFit="1" customWidth="1"/>
    <col min="5894" max="5895" width="9.140625" style="2"/>
    <col min="5896" max="5896" width="11.5703125" style="2" customWidth="1"/>
    <col min="5897" max="5897" width="9.140625" style="2"/>
    <col min="5898" max="5898" width="15.5703125" style="2" customWidth="1"/>
    <col min="5899" max="5899" width="9.140625" style="2"/>
    <col min="5900" max="5900" width="9" style="2" customWidth="1"/>
    <col min="5901" max="5901" width="11.85546875" style="2" bestFit="1" customWidth="1"/>
    <col min="5902" max="6143" width="9.140625" style="2"/>
    <col min="6144" max="6144" width="24.140625" style="2" customWidth="1"/>
    <col min="6145" max="6145" width="15" style="2" bestFit="1" customWidth="1"/>
    <col min="6146" max="6146" width="11.140625" style="2" customWidth="1"/>
    <col min="6147" max="6147" width="10.140625" style="2" customWidth="1"/>
    <col min="6148" max="6148" width="10" style="2" customWidth="1"/>
    <col min="6149" max="6149" width="12.42578125" style="2" bestFit="1" customWidth="1"/>
    <col min="6150" max="6151" width="9.140625" style="2"/>
    <col min="6152" max="6152" width="11.5703125" style="2" customWidth="1"/>
    <col min="6153" max="6153" width="9.140625" style="2"/>
    <col min="6154" max="6154" width="15.5703125" style="2" customWidth="1"/>
    <col min="6155" max="6155" width="9.140625" style="2"/>
    <col min="6156" max="6156" width="9" style="2" customWidth="1"/>
    <col min="6157" max="6157" width="11.85546875" style="2" bestFit="1" customWidth="1"/>
    <col min="6158" max="6399" width="9.140625" style="2"/>
    <col min="6400" max="6400" width="24.140625" style="2" customWidth="1"/>
    <col min="6401" max="6401" width="15" style="2" bestFit="1" customWidth="1"/>
    <col min="6402" max="6402" width="11.140625" style="2" customWidth="1"/>
    <col min="6403" max="6403" width="10.140625" style="2" customWidth="1"/>
    <col min="6404" max="6404" width="10" style="2" customWidth="1"/>
    <col min="6405" max="6405" width="12.42578125" style="2" bestFit="1" customWidth="1"/>
    <col min="6406" max="6407" width="9.140625" style="2"/>
    <col min="6408" max="6408" width="11.5703125" style="2" customWidth="1"/>
    <col min="6409" max="6409" width="9.140625" style="2"/>
    <col min="6410" max="6410" width="15.5703125" style="2" customWidth="1"/>
    <col min="6411" max="6411" width="9.140625" style="2"/>
    <col min="6412" max="6412" width="9" style="2" customWidth="1"/>
    <col min="6413" max="6413" width="11.85546875" style="2" bestFit="1" customWidth="1"/>
    <col min="6414" max="6655" width="9.140625" style="2"/>
    <col min="6656" max="6656" width="24.140625" style="2" customWidth="1"/>
    <col min="6657" max="6657" width="15" style="2" bestFit="1" customWidth="1"/>
    <col min="6658" max="6658" width="11.140625" style="2" customWidth="1"/>
    <col min="6659" max="6659" width="10.140625" style="2" customWidth="1"/>
    <col min="6660" max="6660" width="10" style="2" customWidth="1"/>
    <col min="6661" max="6661" width="12.42578125" style="2" bestFit="1" customWidth="1"/>
    <col min="6662" max="6663" width="9.140625" style="2"/>
    <col min="6664" max="6664" width="11.5703125" style="2" customWidth="1"/>
    <col min="6665" max="6665" width="9.140625" style="2"/>
    <col min="6666" max="6666" width="15.5703125" style="2" customWidth="1"/>
    <col min="6667" max="6667" width="9.140625" style="2"/>
    <col min="6668" max="6668" width="9" style="2" customWidth="1"/>
    <col min="6669" max="6669" width="11.85546875" style="2" bestFit="1" customWidth="1"/>
    <col min="6670" max="6911" width="9.140625" style="2"/>
    <col min="6912" max="6912" width="24.140625" style="2" customWidth="1"/>
    <col min="6913" max="6913" width="15" style="2" bestFit="1" customWidth="1"/>
    <col min="6914" max="6914" width="11.140625" style="2" customWidth="1"/>
    <col min="6915" max="6915" width="10.140625" style="2" customWidth="1"/>
    <col min="6916" max="6916" width="10" style="2" customWidth="1"/>
    <col min="6917" max="6917" width="12.42578125" style="2" bestFit="1" customWidth="1"/>
    <col min="6918" max="6919" width="9.140625" style="2"/>
    <col min="6920" max="6920" width="11.5703125" style="2" customWidth="1"/>
    <col min="6921" max="6921" width="9.140625" style="2"/>
    <col min="6922" max="6922" width="15.5703125" style="2" customWidth="1"/>
    <col min="6923" max="6923" width="9.140625" style="2"/>
    <col min="6924" max="6924" width="9" style="2" customWidth="1"/>
    <col min="6925" max="6925" width="11.85546875" style="2" bestFit="1" customWidth="1"/>
    <col min="6926" max="7167" width="9.140625" style="2"/>
    <col min="7168" max="7168" width="24.140625" style="2" customWidth="1"/>
    <col min="7169" max="7169" width="15" style="2" bestFit="1" customWidth="1"/>
    <col min="7170" max="7170" width="11.140625" style="2" customWidth="1"/>
    <col min="7171" max="7171" width="10.140625" style="2" customWidth="1"/>
    <col min="7172" max="7172" width="10" style="2" customWidth="1"/>
    <col min="7173" max="7173" width="12.42578125" style="2" bestFit="1" customWidth="1"/>
    <col min="7174" max="7175" width="9.140625" style="2"/>
    <col min="7176" max="7176" width="11.5703125" style="2" customWidth="1"/>
    <col min="7177" max="7177" width="9.140625" style="2"/>
    <col min="7178" max="7178" width="15.5703125" style="2" customWidth="1"/>
    <col min="7179" max="7179" width="9.140625" style="2"/>
    <col min="7180" max="7180" width="9" style="2" customWidth="1"/>
    <col min="7181" max="7181" width="11.85546875" style="2" bestFit="1" customWidth="1"/>
    <col min="7182" max="7423" width="9.140625" style="2"/>
    <col min="7424" max="7424" width="24.140625" style="2" customWidth="1"/>
    <col min="7425" max="7425" width="15" style="2" bestFit="1" customWidth="1"/>
    <col min="7426" max="7426" width="11.140625" style="2" customWidth="1"/>
    <col min="7427" max="7427" width="10.140625" style="2" customWidth="1"/>
    <col min="7428" max="7428" width="10" style="2" customWidth="1"/>
    <col min="7429" max="7429" width="12.42578125" style="2" bestFit="1" customWidth="1"/>
    <col min="7430" max="7431" width="9.140625" style="2"/>
    <col min="7432" max="7432" width="11.5703125" style="2" customWidth="1"/>
    <col min="7433" max="7433" width="9.140625" style="2"/>
    <col min="7434" max="7434" width="15.5703125" style="2" customWidth="1"/>
    <col min="7435" max="7435" width="9.140625" style="2"/>
    <col min="7436" max="7436" width="9" style="2" customWidth="1"/>
    <col min="7437" max="7437" width="11.85546875" style="2" bestFit="1" customWidth="1"/>
    <col min="7438" max="7679" width="9.140625" style="2"/>
    <col min="7680" max="7680" width="24.140625" style="2" customWidth="1"/>
    <col min="7681" max="7681" width="15" style="2" bestFit="1" customWidth="1"/>
    <col min="7682" max="7682" width="11.140625" style="2" customWidth="1"/>
    <col min="7683" max="7683" width="10.140625" style="2" customWidth="1"/>
    <col min="7684" max="7684" width="10" style="2" customWidth="1"/>
    <col min="7685" max="7685" width="12.42578125" style="2" bestFit="1" customWidth="1"/>
    <col min="7686" max="7687" width="9.140625" style="2"/>
    <col min="7688" max="7688" width="11.5703125" style="2" customWidth="1"/>
    <col min="7689" max="7689" width="9.140625" style="2"/>
    <col min="7690" max="7690" width="15.5703125" style="2" customWidth="1"/>
    <col min="7691" max="7691" width="9.140625" style="2"/>
    <col min="7692" max="7692" width="9" style="2" customWidth="1"/>
    <col min="7693" max="7693" width="11.85546875" style="2" bestFit="1" customWidth="1"/>
    <col min="7694" max="7935" width="9.140625" style="2"/>
    <col min="7936" max="7936" width="24.140625" style="2" customWidth="1"/>
    <col min="7937" max="7937" width="15" style="2" bestFit="1" customWidth="1"/>
    <col min="7938" max="7938" width="11.140625" style="2" customWidth="1"/>
    <col min="7939" max="7939" width="10.140625" style="2" customWidth="1"/>
    <col min="7940" max="7940" width="10" style="2" customWidth="1"/>
    <col min="7941" max="7941" width="12.42578125" style="2" bestFit="1" customWidth="1"/>
    <col min="7942" max="7943" width="9.140625" style="2"/>
    <col min="7944" max="7944" width="11.5703125" style="2" customWidth="1"/>
    <col min="7945" max="7945" width="9.140625" style="2"/>
    <col min="7946" max="7946" width="15.5703125" style="2" customWidth="1"/>
    <col min="7947" max="7947" width="9.140625" style="2"/>
    <col min="7948" max="7948" width="9" style="2" customWidth="1"/>
    <col min="7949" max="7949" width="11.85546875" style="2" bestFit="1" customWidth="1"/>
    <col min="7950" max="8191" width="9.140625" style="2"/>
    <col min="8192" max="8192" width="24.140625" style="2" customWidth="1"/>
    <col min="8193" max="8193" width="15" style="2" bestFit="1" customWidth="1"/>
    <col min="8194" max="8194" width="11.140625" style="2" customWidth="1"/>
    <col min="8195" max="8195" width="10.140625" style="2" customWidth="1"/>
    <col min="8196" max="8196" width="10" style="2" customWidth="1"/>
    <col min="8197" max="8197" width="12.42578125" style="2" bestFit="1" customWidth="1"/>
    <col min="8198" max="8199" width="9.140625" style="2"/>
    <col min="8200" max="8200" width="11.5703125" style="2" customWidth="1"/>
    <col min="8201" max="8201" width="9.140625" style="2"/>
    <col min="8202" max="8202" width="15.5703125" style="2" customWidth="1"/>
    <col min="8203" max="8203" width="9.140625" style="2"/>
    <col min="8204" max="8204" width="9" style="2" customWidth="1"/>
    <col min="8205" max="8205" width="11.85546875" style="2" bestFit="1" customWidth="1"/>
    <col min="8206" max="8447" width="9.140625" style="2"/>
    <col min="8448" max="8448" width="24.140625" style="2" customWidth="1"/>
    <col min="8449" max="8449" width="15" style="2" bestFit="1" customWidth="1"/>
    <col min="8450" max="8450" width="11.140625" style="2" customWidth="1"/>
    <col min="8451" max="8451" width="10.140625" style="2" customWidth="1"/>
    <col min="8452" max="8452" width="10" style="2" customWidth="1"/>
    <col min="8453" max="8453" width="12.42578125" style="2" bestFit="1" customWidth="1"/>
    <col min="8454" max="8455" width="9.140625" style="2"/>
    <col min="8456" max="8456" width="11.5703125" style="2" customWidth="1"/>
    <col min="8457" max="8457" width="9.140625" style="2"/>
    <col min="8458" max="8458" width="15.5703125" style="2" customWidth="1"/>
    <col min="8459" max="8459" width="9.140625" style="2"/>
    <col min="8460" max="8460" width="9" style="2" customWidth="1"/>
    <col min="8461" max="8461" width="11.85546875" style="2" bestFit="1" customWidth="1"/>
    <col min="8462" max="8703" width="9.140625" style="2"/>
    <col min="8704" max="8704" width="24.140625" style="2" customWidth="1"/>
    <col min="8705" max="8705" width="15" style="2" bestFit="1" customWidth="1"/>
    <col min="8706" max="8706" width="11.140625" style="2" customWidth="1"/>
    <col min="8707" max="8707" width="10.140625" style="2" customWidth="1"/>
    <col min="8708" max="8708" width="10" style="2" customWidth="1"/>
    <col min="8709" max="8709" width="12.42578125" style="2" bestFit="1" customWidth="1"/>
    <col min="8710" max="8711" width="9.140625" style="2"/>
    <col min="8712" max="8712" width="11.5703125" style="2" customWidth="1"/>
    <col min="8713" max="8713" width="9.140625" style="2"/>
    <col min="8714" max="8714" width="15.5703125" style="2" customWidth="1"/>
    <col min="8715" max="8715" width="9.140625" style="2"/>
    <col min="8716" max="8716" width="9" style="2" customWidth="1"/>
    <col min="8717" max="8717" width="11.85546875" style="2" bestFit="1" customWidth="1"/>
    <col min="8718" max="8959" width="9.140625" style="2"/>
    <col min="8960" max="8960" width="24.140625" style="2" customWidth="1"/>
    <col min="8961" max="8961" width="15" style="2" bestFit="1" customWidth="1"/>
    <col min="8962" max="8962" width="11.140625" style="2" customWidth="1"/>
    <col min="8963" max="8963" width="10.140625" style="2" customWidth="1"/>
    <col min="8964" max="8964" width="10" style="2" customWidth="1"/>
    <col min="8965" max="8965" width="12.42578125" style="2" bestFit="1" customWidth="1"/>
    <col min="8966" max="8967" width="9.140625" style="2"/>
    <col min="8968" max="8968" width="11.5703125" style="2" customWidth="1"/>
    <col min="8969" max="8969" width="9.140625" style="2"/>
    <col min="8970" max="8970" width="15.5703125" style="2" customWidth="1"/>
    <col min="8971" max="8971" width="9.140625" style="2"/>
    <col min="8972" max="8972" width="9" style="2" customWidth="1"/>
    <col min="8973" max="8973" width="11.85546875" style="2" bestFit="1" customWidth="1"/>
    <col min="8974" max="9215" width="9.140625" style="2"/>
    <col min="9216" max="9216" width="24.140625" style="2" customWidth="1"/>
    <col min="9217" max="9217" width="15" style="2" bestFit="1" customWidth="1"/>
    <col min="9218" max="9218" width="11.140625" style="2" customWidth="1"/>
    <col min="9219" max="9219" width="10.140625" style="2" customWidth="1"/>
    <col min="9220" max="9220" width="10" style="2" customWidth="1"/>
    <col min="9221" max="9221" width="12.42578125" style="2" bestFit="1" customWidth="1"/>
    <col min="9222" max="9223" width="9.140625" style="2"/>
    <col min="9224" max="9224" width="11.5703125" style="2" customWidth="1"/>
    <col min="9225" max="9225" width="9.140625" style="2"/>
    <col min="9226" max="9226" width="15.5703125" style="2" customWidth="1"/>
    <col min="9227" max="9227" width="9.140625" style="2"/>
    <col min="9228" max="9228" width="9" style="2" customWidth="1"/>
    <col min="9229" max="9229" width="11.85546875" style="2" bestFit="1" customWidth="1"/>
    <col min="9230" max="9471" width="9.140625" style="2"/>
    <col min="9472" max="9472" width="24.140625" style="2" customWidth="1"/>
    <col min="9473" max="9473" width="15" style="2" bestFit="1" customWidth="1"/>
    <col min="9474" max="9474" width="11.140625" style="2" customWidth="1"/>
    <col min="9475" max="9475" width="10.140625" style="2" customWidth="1"/>
    <col min="9476" max="9476" width="10" style="2" customWidth="1"/>
    <col min="9477" max="9477" width="12.42578125" style="2" bestFit="1" customWidth="1"/>
    <col min="9478" max="9479" width="9.140625" style="2"/>
    <col min="9480" max="9480" width="11.5703125" style="2" customWidth="1"/>
    <col min="9481" max="9481" width="9.140625" style="2"/>
    <col min="9482" max="9482" width="15.5703125" style="2" customWidth="1"/>
    <col min="9483" max="9483" width="9.140625" style="2"/>
    <col min="9484" max="9484" width="9" style="2" customWidth="1"/>
    <col min="9485" max="9485" width="11.85546875" style="2" bestFit="1" customWidth="1"/>
    <col min="9486" max="9727" width="9.140625" style="2"/>
    <col min="9728" max="9728" width="24.140625" style="2" customWidth="1"/>
    <col min="9729" max="9729" width="15" style="2" bestFit="1" customWidth="1"/>
    <col min="9730" max="9730" width="11.140625" style="2" customWidth="1"/>
    <col min="9731" max="9731" width="10.140625" style="2" customWidth="1"/>
    <col min="9732" max="9732" width="10" style="2" customWidth="1"/>
    <col min="9733" max="9733" width="12.42578125" style="2" bestFit="1" customWidth="1"/>
    <col min="9734" max="9735" width="9.140625" style="2"/>
    <col min="9736" max="9736" width="11.5703125" style="2" customWidth="1"/>
    <col min="9737" max="9737" width="9.140625" style="2"/>
    <col min="9738" max="9738" width="15.5703125" style="2" customWidth="1"/>
    <col min="9739" max="9739" width="9.140625" style="2"/>
    <col min="9740" max="9740" width="9" style="2" customWidth="1"/>
    <col min="9741" max="9741" width="11.85546875" style="2" bestFit="1" customWidth="1"/>
    <col min="9742" max="9983" width="9.140625" style="2"/>
    <col min="9984" max="9984" width="24.140625" style="2" customWidth="1"/>
    <col min="9985" max="9985" width="15" style="2" bestFit="1" customWidth="1"/>
    <col min="9986" max="9986" width="11.140625" style="2" customWidth="1"/>
    <col min="9987" max="9987" width="10.140625" style="2" customWidth="1"/>
    <col min="9988" max="9988" width="10" style="2" customWidth="1"/>
    <col min="9989" max="9989" width="12.42578125" style="2" bestFit="1" customWidth="1"/>
    <col min="9990" max="9991" width="9.140625" style="2"/>
    <col min="9992" max="9992" width="11.5703125" style="2" customWidth="1"/>
    <col min="9993" max="9993" width="9.140625" style="2"/>
    <col min="9994" max="9994" width="15.5703125" style="2" customWidth="1"/>
    <col min="9995" max="9995" width="9.140625" style="2"/>
    <col min="9996" max="9996" width="9" style="2" customWidth="1"/>
    <col min="9997" max="9997" width="11.85546875" style="2" bestFit="1" customWidth="1"/>
    <col min="9998" max="10239" width="9.140625" style="2"/>
    <col min="10240" max="10240" width="24.140625" style="2" customWidth="1"/>
    <col min="10241" max="10241" width="15" style="2" bestFit="1" customWidth="1"/>
    <col min="10242" max="10242" width="11.140625" style="2" customWidth="1"/>
    <col min="10243" max="10243" width="10.140625" style="2" customWidth="1"/>
    <col min="10244" max="10244" width="10" style="2" customWidth="1"/>
    <col min="10245" max="10245" width="12.42578125" style="2" bestFit="1" customWidth="1"/>
    <col min="10246" max="10247" width="9.140625" style="2"/>
    <col min="10248" max="10248" width="11.5703125" style="2" customWidth="1"/>
    <col min="10249" max="10249" width="9.140625" style="2"/>
    <col min="10250" max="10250" width="15.5703125" style="2" customWidth="1"/>
    <col min="10251" max="10251" width="9.140625" style="2"/>
    <col min="10252" max="10252" width="9" style="2" customWidth="1"/>
    <col min="10253" max="10253" width="11.85546875" style="2" bestFit="1" customWidth="1"/>
    <col min="10254" max="10495" width="9.140625" style="2"/>
    <col min="10496" max="10496" width="24.140625" style="2" customWidth="1"/>
    <col min="10497" max="10497" width="15" style="2" bestFit="1" customWidth="1"/>
    <col min="10498" max="10498" width="11.140625" style="2" customWidth="1"/>
    <col min="10499" max="10499" width="10.140625" style="2" customWidth="1"/>
    <col min="10500" max="10500" width="10" style="2" customWidth="1"/>
    <col min="10501" max="10501" width="12.42578125" style="2" bestFit="1" customWidth="1"/>
    <col min="10502" max="10503" width="9.140625" style="2"/>
    <col min="10504" max="10504" width="11.5703125" style="2" customWidth="1"/>
    <col min="10505" max="10505" width="9.140625" style="2"/>
    <col min="10506" max="10506" width="15.5703125" style="2" customWidth="1"/>
    <col min="10507" max="10507" width="9.140625" style="2"/>
    <col min="10508" max="10508" width="9" style="2" customWidth="1"/>
    <col min="10509" max="10509" width="11.85546875" style="2" bestFit="1" customWidth="1"/>
    <col min="10510" max="10751" width="9.140625" style="2"/>
    <col min="10752" max="10752" width="24.140625" style="2" customWidth="1"/>
    <col min="10753" max="10753" width="15" style="2" bestFit="1" customWidth="1"/>
    <col min="10754" max="10754" width="11.140625" style="2" customWidth="1"/>
    <col min="10755" max="10755" width="10.140625" style="2" customWidth="1"/>
    <col min="10756" max="10756" width="10" style="2" customWidth="1"/>
    <col min="10757" max="10757" width="12.42578125" style="2" bestFit="1" customWidth="1"/>
    <col min="10758" max="10759" width="9.140625" style="2"/>
    <col min="10760" max="10760" width="11.5703125" style="2" customWidth="1"/>
    <col min="10761" max="10761" width="9.140625" style="2"/>
    <col min="10762" max="10762" width="15.5703125" style="2" customWidth="1"/>
    <col min="10763" max="10763" width="9.140625" style="2"/>
    <col min="10764" max="10764" width="9" style="2" customWidth="1"/>
    <col min="10765" max="10765" width="11.85546875" style="2" bestFit="1" customWidth="1"/>
    <col min="10766" max="11007" width="9.140625" style="2"/>
    <col min="11008" max="11008" width="24.140625" style="2" customWidth="1"/>
    <col min="11009" max="11009" width="15" style="2" bestFit="1" customWidth="1"/>
    <col min="11010" max="11010" width="11.140625" style="2" customWidth="1"/>
    <col min="11011" max="11011" width="10.140625" style="2" customWidth="1"/>
    <col min="11012" max="11012" width="10" style="2" customWidth="1"/>
    <col min="11013" max="11013" width="12.42578125" style="2" bestFit="1" customWidth="1"/>
    <col min="11014" max="11015" width="9.140625" style="2"/>
    <col min="11016" max="11016" width="11.5703125" style="2" customWidth="1"/>
    <col min="11017" max="11017" width="9.140625" style="2"/>
    <col min="11018" max="11018" width="15.5703125" style="2" customWidth="1"/>
    <col min="11019" max="11019" width="9.140625" style="2"/>
    <col min="11020" max="11020" width="9" style="2" customWidth="1"/>
    <col min="11021" max="11021" width="11.85546875" style="2" bestFit="1" customWidth="1"/>
    <col min="11022" max="11263" width="9.140625" style="2"/>
    <col min="11264" max="11264" width="24.140625" style="2" customWidth="1"/>
    <col min="11265" max="11265" width="15" style="2" bestFit="1" customWidth="1"/>
    <col min="11266" max="11266" width="11.140625" style="2" customWidth="1"/>
    <col min="11267" max="11267" width="10.140625" style="2" customWidth="1"/>
    <col min="11268" max="11268" width="10" style="2" customWidth="1"/>
    <col min="11269" max="11269" width="12.42578125" style="2" bestFit="1" customWidth="1"/>
    <col min="11270" max="11271" width="9.140625" style="2"/>
    <col min="11272" max="11272" width="11.5703125" style="2" customWidth="1"/>
    <col min="11273" max="11273" width="9.140625" style="2"/>
    <col min="11274" max="11274" width="15.5703125" style="2" customWidth="1"/>
    <col min="11275" max="11275" width="9.140625" style="2"/>
    <col min="11276" max="11276" width="9" style="2" customWidth="1"/>
    <col min="11277" max="11277" width="11.85546875" style="2" bestFit="1" customWidth="1"/>
    <col min="11278" max="11519" width="9.140625" style="2"/>
    <col min="11520" max="11520" width="24.140625" style="2" customWidth="1"/>
    <col min="11521" max="11521" width="15" style="2" bestFit="1" customWidth="1"/>
    <col min="11522" max="11522" width="11.140625" style="2" customWidth="1"/>
    <col min="11523" max="11523" width="10.140625" style="2" customWidth="1"/>
    <col min="11524" max="11524" width="10" style="2" customWidth="1"/>
    <col min="11525" max="11525" width="12.42578125" style="2" bestFit="1" customWidth="1"/>
    <col min="11526" max="11527" width="9.140625" style="2"/>
    <col min="11528" max="11528" width="11.5703125" style="2" customWidth="1"/>
    <col min="11529" max="11529" width="9.140625" style="2"/>
    <col min="11530" max="11530" width="15.5703125" style="2" customWidth="1"/>
    <col min="11531" max="11531" width="9.140625" style="2"/>
    <col min="11532" max="11532" width="9" style="2" customWidth="1"/>
    <col min="11533" max="11533" width="11.85546875" style="2" bestFit="1" customWidth="1"/>
    <col min="11534" max="11775" width="9.140625" style="2"/>
    <col min="11776" max="11776" width="24.140625" style="2" customWidth="1"/>
    <col min="11777" max="11777" width="15" style="2" bestFit="1" customWidth="1"/>
    <col min="11778" max="11778" width="11.140625" style="2" customWidth="1"/>
    <col min="11779" max="11779" width="10.140625" style="2" customWidth="1"/>
    <col min="11780" max="11780" width="10" style="2" customWidth="1"/>
    <col min="11781" max="11781" width="12.42578125" style="2" bestFit="1" customWidth="1"/>
    <col min="11782" max="11783" width="9.140625" style="2"/>
    <col min="11784" max="11784" width="11.5703125" style="2" customWidth="1"/>
    <col min="11785" max="11785" width="9.140625" style="2"/>
    <col min="11786" max="11786" width="15.5703125" style="2" customWidth="1"/>
    <col min="11787" max="11787" width="9.140625" style="2"/>
    <col min="11788" max="11788" width="9" style="2" customWidth="1"/>
    <col min="11789" max="11789" width="11.85546875" style="2" bestFit="1" customWidth="1"/>
    <col min="11790" max="12031" width="9.140625" style="2"/>
    <col min="12032" max="12032" width="24.140625" style="2" customWidth="1"/>
    <col min="12033" max="12033" width="15" style="2" bestFit="1" customWidth="1"/>
    <col min="12034" max="12034" width="11.140625" style="2" customWidth="1"/>
    <col min="12035" max="12035" width="10.140625" style="2" customWidth="1"/>
    <col min="12036" max="12036" width="10" style="2" customWidth="1"/>
    <col min="12037" max="12037" width="12.42578125" style="2" bestFit="1" customWidth="1"/>
    <col min="12038" max="12039" width="9.140625" style="2"/>
    <col min="12040" max="12040" width="11.5703125" style="2" customWidth="1"/>
    <col min="12041" max="12041" width="9.140625" style="2"/>
    <col min="12042" max="12042" width="15.5703125" style="2" customWidth="1"/>
    <col min="12043" max="12043" width="9.140625" style="2"/>
    <col min="12044" max="12044" width="9" style="2" customWidth="1"/>
    <col min="12045" max="12045" width="11.85546875" style="2" bestFit="1" customWidth="1"/>
    <col min="12046" max="12287" width="9.140625" style="2"/>
    <col min="12288" max="12288" width="24.140625" style="2" customWidth="1"/>
    <col min="12289" max="12289" width="15" style="2" bestFit="1" customWidth="1"/>
    <col min="12290" max="12290" width="11.140625" style="2" customWidth="1"/>
    <col min="12291" max="12291" width="10.140625" style="2" customWidth="1"/>
    <col min="12292" max="12292" width="10" style="2" customWidth="1"/>
    <col min="12293" max="12293" width="12.42578125" style="2" bestFit="1" customWidth="1"/>
    <col min="12294" max="12295" width="9.140625" style="2"/>
    <col min="12296" max="12296" width="11.5703125" style="2" customWidth="1"/>
    <col min="12297" max="12297" width="9.140625" style="2"/>
    <col min="12298" max="12298" width="15.5703125" style="2" customWidth="1"/>
    <col min="12299" max="12299" width="9.140625" style="2"/>
    <col min="12300" max="12300" width="9" style="2" customWidth="1"/>
    <col min="12301" max="12301" width="11.85546875" style="2" bestFit="1" customWidth="1"/>
    <col min="12302" max="12543" width="9.140625" style="2"/>
    <col min="12544" max="12544" width="24.140625" style="2" customWidth="1"/>
    <col min="12545" max="12545" width="15" style="2" bestFit="1" customWidth="1"/>
    <col min="12546" max="12546" width="11.140625" style="2" customWidth="1"/>
    <col min="12547" max="12547" width="10.140625" style="2" customWidth="1"/>
    <col min="12548" max="12548" width="10" style="2" customWidth="1"/>
    <col min="12549" max="12549" width="12.42578125" style="2" bestFit="1" customWidth="1"/>
    <col min="12550" max="12551" width="9.140625" style="2"/>
    <col min="12552" max="12552" width="11.5703125" style="2" customWidth="1"/>
    <col min="12553" max="12553" width="9.140625" style="2"/>
    <col min="12554" max="12554" width="15.5703125" style="2" customWidth="1"/>
    <col min="12555" max="12555" width="9.140625" style="2"/>
    <col min="12556" max="12556" width="9" style="2" customWidth="1"/>
    <col min="12557" max="12557" width="11.85546875" style="2" bestFit="1" customWidth="1"/>
    <col min="12558" max="12799" width="9.140625" style="2"/>
    <col min="12800" max="12800" width="24.140625" style="2" customWidth="1"/>
    <col min="12801" max="12801" width="15" style="2" bestFit="1" customWidth="1"/>
    <col min="12802" max="12802" width="11.140625" style="2" customWidth="1"/>
    <col min="12803" max="12803" width="10.140625" style="2" customWidth="1"/>
    <col min="12804" max="12804" width="10" style="2" customWidth="1"/>
    <col min="12805" max="12805" width="12.42578125" style="2" bestFit="1" customWidth="1"/>
    <col min="12806" max="12807" width="9.140625" style="2"/>
    <col min="12808" max="12808" width="11.5703125" style="2" customWidth="1"/>
    <col min="12809" max="12809" width="9.140625" style="2"/>
    <col min="12810" max="12810" width="15.5703125" style="2" customWidth="1"/>
    <col min="12811" max="12811" width="9.140625" style="2"/>
    <col min="12812" max="12812" width="9" style="2" customWidth="1"/>
    <col min="12813" max="12813" width="11.85546875" style="2" bestFit="1" customWidth="1"/>
    <col min="12814" max="13055" width="9.140625" style="2"/>
    <col min="13056" max="13056" width="24.140625" style="2" customWidth="1"/>
    <col min="13057" max="13057" width="15" style="2" bestFit="1" customWidth="1"/>
    <col min="13058" max="13058" width="11.140625" style="2" customWidth="1"/>
    <col min="13059" max="13059" width="10.140625" style="2" customWidth="1"/>
    <col min="13060" max="13060" width="10" style="2" customWidth="1"/>
    <col min="13061" max="13061" width="12.42578125" style="2" bestFit="1" customWidth="1"/>
    <col min="13062" max="13063" width="9.140625" style="2"/>
    <col min="13064" max="13064" width="11.5703125" style="2" customWidth="1"/>
    <col min="13065" max="13065" width="9.140625" style="2"/>
    <col min="13066" max="13066" width="15.5703125" style="2" customWidth="1"/>
    <col min="13067" max="13067" width="9.140625" style="2"/>
    <col min="13068" max="13068" width="9" style="2" customWidth="1"/>
    <col min="13069" max="13069" width="11.85546875" style="2" bestFit="1" customWidth="1"/>
    <col min="13070" max="13311" width="9.140625" style="2"/>
    <col min="13312" max="13312" width="24.140625" style="2" customWidth="1"/>
    <col min="13313" max="13313" width="15" style="2" bestFit="1" customWidth="1"/>
    <col min="13314" max="13314" width="11.140625" style="2" customWidth="1"/>
    <col min="13315" max="13315" width="10.140625" style="2" customWidth="1"/>
    <col min="13316" max="13316" width="10" style="2" customWidth="1"/>
    <col min="13317" max="13317" width="12.42578125" style="2" bestFit="1" customWidth="1"/>
    <col min="13318" max="13319" width="9.140625" style="2"/>
    <col min="13320" max="13320" width="11.5703125" style="2" customWidth="1"/>
    <col min="13321" max="13321" width="9.140625" style="2"/>
    <col min="13322" max="13322" width="15.5703125" style="2" customWidth="1"/>
    <col min="13323" max="13323" width="9.140625" style="2"/>
    <col min="13324" max="13324" width="9" style="2" customWidth="1"/>
    <col min="13325" max="13325" width="11.85546875" style="2" bestFit="1" customWidth="1"/>
    <col min="13326" max="13567" width="9.140625" style="2"/>
    <col min="13568" max="13568" width="24.140625" style="2" customWidth="1"/>
    <col min="13569" max="13569" width="15" style="2" bestFit="1" customWidth="1"/>
    <col min="13570" max="13570" width="11.140625" style="2" customWidth="1"/>
    <col min="13571" max="13571" width="10.140625" style="2" customWidth="1"/>
    <col min="13572" max="13572" width="10" style="2" customWidth="1"/>
    <col min="13573" max="13573" width="12.42578125" style="2" bestFit="1" customWidth="1"/>
    <col min="13574" max="13575" width="9.140625" style="2"/>
    <col min="13576" max="13576" width="11.5703125" style="2" customWidth="1"/>
    <col min="13577" max="13577" width="9.140625" style="2"/>
    <col min="13578" max="13578" width="15.5703125" style="2" customWidth="1"/>
    <col min="13579" max="13579" width="9.140625" style="2"/>
    <col min="13580" max="13580" width="9" style="2" customWidth="1"/>
    <col min="13581" max="13581" width="11.85546875" style="2" bestFit="1" customWidth="1"/>
    <col min="13582" max="13823" width="9.140625" style="2"/>
    <col min="13824" max="13824" width="24.140625" style="2" customWidth="1"/>
    <col min="13825" max="13825" width="15" style="2" bestFit="1" customWidth="1"/>
    <col min="13826" max="13826" width="11.140625" style="2" customWidth="1"/>
    <col min="13827" max="13827" width="10.140625" style="2" customWidth="1"/>
    <col min="13828" max="13828" width="10" style="2" customWidth="1"/>
    <col min="13829" max="13829" width="12.42578125" style="2" bestFit="1" customWidth="1"/>
    <col min="13830" max="13831" width="9.140625" style="2"/>
    <col min="13832" max="13832" width="11.5703125" style="2" customWidth="1"/>
    <col min="13833" max="13833" width="9.140625" style="2"/>
    <col min="13834" max="13834" width="15.5703125" style="2" customWidth="1"/>
    <col min="13835" max="13835" width="9.140625" style="2"/>
    <col min="13836" max="13836" width="9" style="2" customWidth="1"/>
    <col min="13837" max="13837" width="11.85546875" style="2" bestFit="1" customWidth="1"/>
    <col min="13838" max="14079" width="9.140625" style="2"/>
    <col min="14080" max="14080" width="24.140625" style="2" customWidth="1"/>
    <col min="14081" max="14081" width="15" style="2" bestFit="1" customWidth="1"/>
    <col min="14082" max="14082" width="11.140625" style="2" customWidth="1"/>
    <col min="14083" max="14083" width="10.140625" style="2" customWidth="1"/>
    <col min="14084" max="14084" width="10" style="2" customWidth="1"/>
    <col min="14085" max="14085" width="12.42578125" style="2" bestFit="1" customWidth="1"/>
    <col min="14086" max="14087" width="9.140625" style="2"/>
    <col min="14088" max="14088" width="11.5703125" style="2" customWidth="1"/>
    <col min="14089" max="14089" width="9.140625" style="2"/>
    <col min="14090" max="14090" width="15.5703125" style="2" customWidth="1"/>
    <col min="14091" max="14091" width="9.140625" style="2"/>
    <col min="14092" max="14092" width="9" style="2" customWidth="1"/>
    <col min="14093" max="14093" width="11.85546875" style="2" bestFit="1" customWidth="1"/>
    <col min="14094" max="14335" width="9.140625" style="2"/>
    <col min="14336" max="14336" width="24.140625" style="2" customWidth="1"/>
    <col min="14337" max="14337" width="15" style="2" bestFit="1" customWidth="1"/>
    <col min="14338" max="14338" width="11.140625" style="2" customWidth="1"/>
    <col min="14339" max="14339" width="10.140625" style="2" customWidth="1"/>
    <col min="14340" max="14340" width="10" style="2" customWidth="1"/>
    <col min="14341" max="14341" width="12.42578125" style="2" bestFit="1" customWidth="1"/>
    <col min="14342" max="14343" width="9.140625" style="2"/>
    <col min="14344" max="14344" width="11.5703125" style="2" customWidth="1"/>
    <col min="14345" max="14345" width="9.140625" style="2"/>
    <col min="14346" max="14346" width="15.5703125" style="2" customWidth="1"/>
    <col min="14347" max="14347" width="9.140625" style="2"/>
    <col min="14348" max="14348" width="9" style="2" customWidth="1"/>
    <col min="14349" max="14349" width="11.85546875" style="2" bestFit="1" customWidth="1"/>
    <col min="14350" max="14591" width="9.140625" style="2"/>
    <col min="14592" max="14592" width="24.140625" style="2" customWidth="1"/>
    <col min="14593" max="14593" width="15" style="2" bestFit="1" customWidth="1"/>
    <col min="14594" max="14594" width="11.140625" style="2" customWidth="1"/>
    <col min="14595" max="14595" width="10.140625" style="2" customWidth="1"/>
    <col min="14596" max="14596" width="10" style="2" customWidth="1"/>
    <col min="14597" max="14597" width="12.42578125" style="2" bestFit="1" customWidth="1"/>
    <col min="14598" max="14599" width="9.140625" style="2"/>
    <col min="14600" max="14600" width="11.5703125" style="2" customWidth="1"/>
    <col min="14601" max="14601" width="9.140625" style="2"/>
    <col min="14602" max="14602" width="15.5703125" style="2" customWidth="1"/>
    <col min="14603" max="14603" width="9.140625" style="2"/>
    <col min="14604" max="14604" width="9" style="2" customWidth="1"/>
    <col min="14605" max="14605" width="11.85546875" style="2" bestFit="1" customWidth="1"/>
    <col min="14606" max="14847" width="9.140625" style="2"/>
    <col min="14848" max="14848" width="24.140625" style="2" customWidth="1"/>
    <col min="14849" max="14849" width="15" style="2" bestFit="1" customWidth="1"/>
    <col min="14850" max="14850" width="11.140625" style="2" customWidth="1"/>
    <col min="14851" max="14851" width="10.140625" style="2" customWidth="1"/>
    <col min="14852" max="14852" width="10" style="2" customWidth="1"/>
    <col min="14853" max="14853" width="12.42578125" style="2" bestFit="1" customWidth="1"/>
    <col min="14854" max="14855" width="9.140625" style="2"/>
    <col min="14856" max="14856" width="11.5703125" style="2" customWidth="1"/>
    <col min="14857" max="14857" width="9.140625" style="2"/>
    <col min="14858" max="14858" width="15.5703125" style="2" customWidth="1"/>
    <col min="14859" max="14859" width="9.140625" style="2"/>
    <col min="14860" max="14860" width="9" style="2" customWidth="1"/>
    <col min="14861" max="14861" width="11.85546875" style="2" bestFit="1" customWidth="1"/>
    <col min="14862" max="15103" width="9.140625" style="2"/>
    <col min="15104" max="15104" width="24.140625" style="2" customWidth="1"/>
    <col min="15105" max="15105" width="15" style="2" bestFit="1" customWidth="1"/>
    <col min="15106" max="15106" width="11.140625" style="2" customWidth="1"/>
    <col min="15107" max="15107" width="10.140625" style="2" customWidth="1"/>
    <col min="15108" max="15108" width="10" style="2" customWidth="1"/>
    <col min="15109" max="15109" width="12.42578125" style="2" bestFit="1" customWidth="1"/>
    <col min="15110" max="15111" width="9.140625" style="2"/>
    <col min="15112" max="15112" width="11.5703125" style="2" customWidth="1"/>
    <col min="15113" max="15113" width="9.140625" style="2"/>
    <col min="15114" max="15114" width="15.5703125" style="2" customWidth="1"/>
    <col min="15115" max="15115" width="9.140625" style="2"/>
    <col min="15116" max="15116" width="9" style="2" customWidth="1"/>
    <col min="15117" max="15117" width="11.85546875" style="2" bestFit="1" customWidth="1"/>
    <col min="15118" max="15359" width="9.140625" style="2"/>
    <col min="15360" max="15360" width="24.140625" style="2" customWidth="1"/>
    <col min="15361" max="15361" width="15" style="2" bestFit="1" customWidth="1"/>
    <col min="15362" max="15362" width="11.140625" style="2" customWidth="1"/>
    <col min="15363" max="15363" width="10.140625" style="2" customWidth="1"/>
    <col min="15364" max="15364" width="10" style="2" customWidth="1"/>
    <col min="15365" max="15365" width="12.42578125" style="2" bestFit="1" customWidth="1"/>
    <col min="15366" max="15367" width="9.140625" style="2"/>
    <col min="15368" max="15368" width="11.5703125" style="2" customWidth="1"/>
    <col min="15369" max="15369" width="9.140625" style="2"/>
    <col min="15370" max="15370" width="15.5703125" style="2" customWidth="1"/>
    <col min="15371" max="15371" width="9.140625" style="2"/>
    <col min="15372" max="15372" width="9" style="2" customWidth="1"/>
    <col min="15373" max="15373" width="11.85546875" style="2" bestFit="1" customWidth="1"/>
    <col min="15374" max="15615" width="9.140625" style="2"/>
    <col min="15616" max="15616" width="24.140625" style="2" customWidth="1"/>
    <col min="15617" max="15617" width="15" style="2" bestFit="1" customWidth="1"/>
    <col min="15618" max="15618" width="11.140625" style="2" customWidth="1"/>
    <col min="15619" max="15619" width="10.140625" style="2" customWidth="1"/>
    <col min="15620" max="15620" width="10" style="2" customWidth="1"/>
    <col min="15621" max="15621" width="12.42578125" style="2" bestFit="1" customWidth="1"/>
    <col min="15622" max="15623" width="9.140625" style="2"/>
    <col min="15624" max="15624" width="11.5703125" style="2" customWidth="1"/>
    <col min="15625" max="15625" width="9.140625" style="2"/>
    <col min="15626" max="15626" width="15.5703125" style="2" customWidth="1"/>
    <col min="15627" max="15627" width="9.140625" style="2"/>
    <col min="15628" max="15628" width="9" style="2" customWidth="1"/>
    <col min="15629" max="15629" width="11.85546875" style="2" bestFit="1" customWidth="1"/>
    <col min="15630" max="15871" width="9.140625" style="2"/>
    <col min="15872" max="15872" width="24.140625" style="2" customWidth="1"/>
    <col min="15873" max="15873" width="15" style="2" bestFit="1" customWidth="1"/>
    <col min="15874" max="15874" width="11.140625" style="2" customWidth="1"/>
    <col min="15875" max="15875" width="10.140625" style="2" customWidth="1"/>
    <col min="15876" max="15876" width="10" style="2" customWidth="1"/>
    <col min="15877" max="15877" width="12.42578125" style="2" bestFit="1" customWidth="1"/>
    <col min="15878" max="15879" width="9.140625" style="2"/>
    <col min="15880" max="15880" width="11.5703125" style="2" customWidth="1"/>
    <col min="15881" max="15881" width="9.140625" style="2"/>
    <col min="15882" max="15882" width="15.5703125" style="2" customWidth="1"/>
    <col min="15883" max="15883" width="9.140625" style="2"/>
    <col min="15884" max="15884" width="9" style="2" customWidth="1"/>
    <col min="15885" max="15885" width="11.85546875" style="2" bestFit="1" customWidth="1"/>
    <col min="15886" max="16127" width="9.140625" style="2"/>
    <col min="16128" max="16128" width="24.140625" style="2" customWidth="1"/>
    <col min="16129" max="16129" width="15" style="2" bestFit="1" customWidth="1"/>
    <col min="16130" max="16130" width="11.140625" style="2" customWidth="1"/>
    <col min="16131" max="16131" width="10.140625" style="2" customWidth="1"/>
    <col min="16132" max="16132" width="10" style="2" customWidth="1"/>
    <col min="16133" max="16133" width="12.42578125" style="2" bestFit="1" customWidth="1"/>
    <col min="16134" max="16135" width="9.140625" style="2"/>
    <col min="16136" max="16136" width="11.5703125" style="2" customWidth="1"/>
    <col min="16137" max="16137" width="9.140625" style="2"/>
    <col min="16138" max="16138" width="15.5703125" style="2" customWidth="1"/>
    <col min="16139" max="16139" width="9.140625" style="2"/>
    <col min="16140" max="16140" width="9" style="2" customWidth="1"/>
    <col min="16141" max="16141" width="11.85546875" style="2" bestFit="1" customWidth="1"/>
    <col min="16142" max="16384" width="9.140625" style="2"/>
  </cols>
  <sheetData>
    <row r="1" spans="1:10" x14ac:dyDescent="0.25">
      <c r="A1" s="4" t="s">
        <v>31</v>
      </c>
      <c r="H1" s="3"/>
    </row>
    <row r="2" spans="1:10" x14ac:dyDescent="0.25">
      <c r="H2" s="3"/>
    </row>
    <row r="3" spans="1:10" x14ac:dyDescent="0.25">
      <c r="A3" s="4" t="s">
        <v>32</v>
      </c>
    </row>
    <row r="4" spans="1:10" x14ac:dyDescent="0.25">
      <c r="A4" s="2" t="s">
        <v>33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</row>
    <row r="5" spans="1:10" x14ac:dyDescent="0.25">
      <c r="A5" s="2" t="s">
        <v>34</v>
      </c>
      <c r="B5" s="7">
        <v>5</v>
      </c>
      <c r="C5" s="17">
        <v>2.4</v>
      </c>
      <c r="D5" s="17">
        <v>3.5</v>
      </c>
      <c r="E5" s="17">
        <v>5.9</v>
      </c>
      <c r="F5" s="17">
        <v>6.9</v>
      </c>
      <c r="G5" s="17">
        <v>4.5</v>
      </c>
      <c r="H5" s="17">
        <v>3</v>
      </c>
    </row>
    <row r="6" spans="1:10" x14ac:dyDescent="0.25">
      <c r="A6" s="2" t="s">
        <v>35</v>
      </c>
      <c r="B6" s="17">
        <v>5.6</v>
      </c>
      <c r="C6" s="17">
        <v>2.7</v>
      </c>
      <c r="D6" s="17">
        <v>3.9</v>
      </c>
      <c r="E6" s="17">
        <v>6.8</v>
      </c>
      <c r="F6" s="17">
        <v>7.7</v>
      </c>
      <c r="G6" s="17">
        <v>5.0999999999999996</v>
      </c>
      <c r="H6" s="17">
        <v>3.3</v>
      </c>
    </row>
    <row r="7" spans="1:10" x14ac:dyDescent="0.25">
      <c r="A7" s="2" t="s">
        <v>36</v>
      </c>
      <c r="B7" s="18">
        <f>(B6-B5)/B5</f>
        <v>0.11999999999999993</v>
      </c>
      <c r="C7" s="18">
        <f t="shared" ref="C7:H7" si="0">(C6-C5)/C5</f>
        <v>0.12500000000000011</v>
      </c>
      <c r="D7" s="18">
        <f t="shared" si="0"/>
        <v>0.11428571428571425</v>
      </c>
      <c r="E7" s="18">
        <f t="shared" si="0"/>
        <v>0.15254237288135583</v>
      </c>
      <c r="F7" s="18">
        <f t="shared" si="0"/>
        <v>0.11594202898550722</v>
      </c>
      <c r="G7" s="18">
        <f t="shared" si="0"/>
        <v>0.13333333333333325</v>
      </c>
      <c r="H7" s="18">
        <f t="shared" si="0"/>
        <v>9.9999999999999936E-2</v>
      </c>
    </row>
    <row r="9" spans="1:10" x14ac:dyDescent="0.25">
      <c r="A9" s="4" t="s">
        <v>37</v>
      </c>
    </row>
    <row r="10" spans="1:10" x14ac:dyDescent="0.25">
      <c r="A10" s="2" t="s">
        <v>38</v>
      </c>
      <c r="B10" s="19">
        <v>0</v>
      </c>
      <c r="C10" s="19">
        <v>1</v>
      </c>
      <c r="D10" s="19">
        <v>1</v>
      </c>
      <c r="E10" s="19">
        <v>1</v>
      </c>
      <c r="F10" s="19">
        <v>0</v>
      </c>
      <c r="G10" s="19">
        <v>0</v>
      </c>
      <c r="H10" s="19">
        <v>1</v>
      </c>
    </row>
    <row r="11" spans="1:10" x14ac:dyDescent="0.25">
      <c r="B11" s="20"/>
      <c r="C11" s="15"/>
      <c r="D11" s="15"/>
      <c r="E11" s="15"/>
      <c r="F11" s="15"/>
      <c r="G11" s="15"/>
      <c r="H11" s="15"/>
      <c r="I11" s="5"/>
      <c r="J11" s="5"/>
    </row>
    <row r="12" spans="1:10" x14ac:dyDescent="0.25">
      <c r="A12" s="4" t="s">
        <v>39</v>
      </c>
      <c r="B12" s="15"/>
      <c r="C12" s="15"/>
      <c r="D12" s="15"/>
      <c r="E12" s="15"/>
      <c r="F12" s="15"/>
      <c r="G12" s="15"/>
      <c r="H12" s="15"/>
      <c r="I12" s="5"/>
      <c r="J12" s="5"/>
    </row>
    <row r="13" spans="1:10" x14ac:dyDescent="0.25">
      <c r="B13" s="21" t="s">
        <v>40</v>
      </c>
      <c r="C13" s="21"/>
      <c r="D13" s="21" t="s">
        <v>41</v>
      </c>
      <c r="E13" s="21"/>
      <c r="H13" s="15"/>
      <c r="I13" s="5"/>
      <c r="J13" s="5"/>
    </row>
    <row r="14" spans="1:10" x14ac:dyDescent="0.25">
      <c r="B14" s="22">
        <f>SUMPRODUCT(B5:H5,invLevels)</f>
        <v>14.8</v>
      </c>
      <c r="C14" s="23" t="s">
        <v>17</v>
      </c>
      <c r="D14" s="7">
        <v>15</v>
      </c>
      <c r="E14" s="24"/>
    </row>
    <row r="16" spans="1:10" ht="15.75" thickBot="1" x14ac:dyDescent="0.3">
      <c r="A16" s="4" t="s">
        <v>42</v>
      </c>
    </row>
    <row r="17" spans="1:11" ht="15.75" thickBot="1" x14ac:dyDescent="0.3">
      <c r="A17" s="25" t="s">
        <v>43</v>
      </c>
      <c r="B17" s="26">
        <f>SUMPRODUCT(B6:H6,invLevels)</f>
        <v>16.7</v>
      </c>
      <c r="C17" s="24"/>
      <c r="D17" s="24"/>
      <c r="E17" s="24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</row>
    <row r="21" spans="1:11" x14ac:dyDescent="0.25">
      <c r="A21" s="28" t="s">
        <v>33</v>
      </c>
      <c r="B21" s="29">
        <v>1</v>
      </c>
      <c r="C21" s="29">
        <v>2</v>
      </c>
      <c r="D21" s="29">
        <v>3</v>
      </c>
      <c r="E21" s="29">
        <v>4</v>
      </c>
      <c r="F21" s="29">
        <v>5</v>
      </c>
      <c r="G21" s="29">
        <v>6</v>
      </c>
      <c r="H21" s="29">
        <v>7</v>
      </c>
      <c r="I21" s="29" t="s">
        <v>44</v>
      </c>
      <c r="J21" s="29" t="s">
        <v>45</v>
      </c>
    </row>
    <row r="22" spans="1:11" hidden="1" x14ac:dyDescent="0.25">
      <c r="A22" s="2">
        <v>1</v>
      </c>
      <c r="B22" s="2" cm="1">
        <f t="array" ref="B22:H149">--MID(DEC2BIN(_xlfn.SEQUENCE(128,,0),7),_xlfn.SEQUENCE(,7),1)</f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13">
        <f>SUMPRODUCT(B22:H22,$B$5:$H$5)</f>
        <v>0</v>
      </c>
      <c r="J22" s="13">
        <f>SUMPRODUCT(B22:H22,$B$6:$H$6)</f>
        <v>0</v>
      </c>
      <c r="K22" s="2" cm="1">
        <f t="array" ref="K22:K24">_xlfn._xlws.FILTER(A22:A149,(I22:I149&lt;=$D$14)*(J22:J149&gt;=$B$17))</f>
        <v>23</v>
      </c>
    </row>
    <row r="23" spans="1:11" hidden="1" x14ac:dyDescent="0.25">
      <c r="A23" s="2">
        <v>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13">
        <f t="shared" ref="I23:I86" si="1">SUMPRODUCT(B23:H23,$B$5:$H$5)</f>
        <v>3</v>
      </c>
      <c r="J23" s="13">
        <f t="shared" ref="J23:J86" si="2">SUMPRODUCT(B23:H23,$B$6:$H$6)</f>
        <v>3.3</v>
      </c>
      <c r="K23" s="2">
        <v>58</v>
      </c>
    </row>
    <row r="24" spans="1:11" hidden="1" x14ac:dyDescent="0.25">
      <c r="A24" s="2">
        <v>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13">
        <f t="shared" si="1"/>
        <v>4.5</v>
      </c>
      <c r="J24" s="13">
        <f t="shared" si="2"/>
        <v>5.0999999999999996</v>
      </c>
      <c r="K24" s="2">
        <v>100</v>
      </c>
    </row>
    <row r="25" spans="1:11" hidden="1" x14ac:dyDescent="0.25">
      <c r="A25" s="2">
        <v>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13">
        <f t="shared" si="1"/>
        <v>7.5</v>
      </c>
      <c r="J25" s="13">
        <f t="shared" si="2"/>
        <v>8.3999999999999986</v>
      </c>
    </row>
    <row r="26" spans="1:11" hidden="1" x14ac:dyDescent="0.25">
      <c r="A26" s="2">
        <v>5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13">
        <f t="shared" si="1"/>
        <v>6.9</v>
      </c>
      <c r="J26" s="13">
        <f t="shared" si="2"/>
        <v>7.7</v>
      </c>
    </row>
    <row r="27" spans="1:11" hidden="1" x14ac:dyDescent="0.25">
      <c r="A27" s="2">
        <v>6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13">
        <f t="shared" si="1"/>
        <v>9.9</v>
      </c>
      <c r="J27" s="13">
        <f t="shared" si="2"/>
        <v>11</v>
      </c>
    </row>
    <row r="28" spans="1:11" hidden="1" x14ac:dyDescent="0.25">
      <c r="A28" s="2">
        <v>7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1</v>
      </c>
      <c r="H28" s="2">
        <v>0</v>
      </c>
      <c r="I28" s="13">
        <f t="shared" si="1"/>
        <v>11.4</v>
      </c>
      <c r="J28" s="13">
        <f t="shared" si="2"/>
        <v>12.8</v>
      </c>
    </row>
    <row r="29" spans="1:11" hidden="1" x14ac:dyDescent="0.25">
      <c r="A29" s="2">
        <v>8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1</v>
      </c>
      <c r="H29" s="2">
        <v>1</v>
      </c>
      <c r="I29" s="13">
        <f t="shared" si="1"/>
        <v>14.4</v>
      </c>
      <c r="J29" s="13">
        <f t="shared" si="2"/>
        <v>16.100000000000001</v>
      </c>
    </row>
    <row r="30" spans="1:11" hidden="1" x14ac:dyDescent="0.25">
      <c r="A30" s="2">
        <v>9</v>
      </c>
      <c r="B30" s="2">
        <v>0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13">
        <f t="shared" si="1"/>
        <v>5.9</v>
      </c>
      <c r="J30" s="13">
        <f t="shared" si="2"/>
        <v>6.8</v>
      </c>
    </row>
    <row r="31" spans="1:11" hidden="1" x14ac:dyDescent="0.25">
      <c r="A31" s="2">
        <v>10</v>
      </c>
      <c r="B31" s="2">
        <v>0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1</v>
      </c>
      <c r="I31" s="13">
        <f t="shared" si="1"/>
        <v>8.9</v>
      </c>
      <c r="J31" s="13">
        <f t="shared" si="2"/>
        <v>10.1</v>
      </c>
    </row>
    <row r="32" spans="1:11" hidden="1" x14ac:dyDescent="0.25">
      <c r="A32" s="2">
        <v>11</v>
      </c>
      <c r="B32" s="2">
        <v>0</v>
      </c>
      <c r="C32" s="2">
        <v>0</v>
      </c>
      <c r="D32" s="2">
        <v>0</v>
      </c>
      <c r="E32" s="2">
        <v>1</v>
      </c>
      <c r="F32" s="2">
        <v>0</v>
      </c>
      <c r="G32" s="2">
        <v>1</v>
      </c>
      <c r="H32" s="2">
        <v>0</v>
      </c>
      <c r="I32" s="13">
        <f t="shared" si="1"/>
        <v>10.4</v>
      </c>
      <c r="J32" s="13">
        <f t="shared" si="2"/>
        <v>11.899999999999999</v>
      </c>
    </row>
    <row r="33" spans="1:10" hidden="1" x14ac:dyDescent="0.25">
      <c r="A33" s="2">
        <v>12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1</v>
      </c>
      <c r="H33" s="2">
        <v>1</v>
      </c>
      <c r="I33" s="13">
        <f t="shared" si="1"/>
        <v>13.4</v>
      </c>
      <c r="J33" s="13">
        <f t="shared" si="2"/>
        <v>15.2</v>
      </c>
    </row>
    <row r="34" spans="1:10" hidden="1" x14ac:dyDescent="0.25">
      <c r="A34" s="2">
        <v>13</v>
      </c>
      <c r="B34" s="2">
        <v>0</v>
      </c>
      <c r="C34" s="2">
        <v>0</v>
      </c>
      <c r="D34" s="2">
        <v>0</v>
      </c>
      <c r="E34" s="2">
        <v>1</v>
      </c>
      <c r="F34" s="2">
        <v>1</v>
      </c>
      <c r="G34" s="2">
        <v>0</v>
      </c>
      <c r="H34" s="2">
        <v>0</v>
      </c>
      <c r="I34" s="13">
        <f t="shared" si="1"/>
        <v>12.8</v>
      </c>
      <c r="J34" s="13">
        <f t="shared" si="2"/>
        <v>14.5</v>
      </c>
    </row>
    <row r="35" spans="1:10" hidden="1" x14ac:dyDescent="0.25">
      <c r="A35" s="2">
        <v>14</v>
      </c>
      <c r="B35" s="2">
        <v>0</v>
      </c>
      <c r="C35" s="2">
        <v>0</v>
      </c>
      <c r="D35" s="2">
        <v>0</v>
      </c>
      <c r="E35" s="2">
        <v>1</v>
      </c>
      <c r="F35" s="2">
        <v>1</v>
      </c>
      <c r="G35" s="2">
        <v>0</v>
      </c>
      <c r="H35" s="2">
        <v>1</v>
      </c>
      <c r="I35" s="13">
        <f t="shared" si="1"/>
        <v>15.8</v>
      </c>
      <c r="J35" s="13">
        <f t="shared" si="2"/>
        <v>17.8</v>
      </c>
    </row>
    <row r="36" spans="1:10" hidden="1" x14ac:dyDescent="0.25">
      <c r="A36" s="2">
        <v>15</v>
      </c>
      <c r="B36" s="2">
        <v>0</v>
      </c>
      <c r="C36" s="2">
        <v>0</v>
      </c>
      <c r="D36" s="2">
        <v>0</v>
      </c>
      <c r="E36" s="2">
        <v>1</v>
      </c>
      <c r="F36" s="2">
        <v>1</v>
      </c>
      <c r="G36" s="2">
        <v>1</v>
      </c>
      <c r="H36" s="2">
        <v>0</v>
      </c>
      <c r="I36" s="13">
        <f t="shared" si="1"/>
        <v>17.3</v>
      </c>
      <c r="J36" s="13">
        <f t="shared" si="2"/>
        <v>19.600000000000001</v>
      </c>
    </row>
    <row r="37" spans="1:10" hidden="1" x14ac:dyDescent="0.25">
      <c r="A37" s="2">
        <v>16</v>
      </c>
      <c r="B37" s="2">
        <v>0</v>
      </c>
      <c r="C37" s="2">
        <v>0</v>
      </c>
      <c r="D37" s="2">
        <v>0</v>
      </c>
      <c r="E37" s="2">
        <v>1</v>
      </c>
      <c r="F37" s="2">
        <v>1</v>
      </c>
      <c r="G37" s="2">
        <v>1</v>
      </c>
      <c r="H37" s="2">
        <v>1</v>
      </c>
      <c r="I37" s="13">
        <f t="shared" si="1"/>
        <v>20.3</v>
      </c>
      <c r="J37" s="13">
        <f t="shared" si="2"/>
        <v>22.900000000000002</v>
      </c>
    </row>
    <row r="38" spans="1:10" hidden="1" x14ac:dyDescent="0.25">
      <c r="A38" s="2">
        <v>17</v>
      </c>
      <c r="B38" s="2">
        <v>0</v>
      </c>
      <c r="C38" s="2">
        <v>0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13">
        <f t="shared" si="1"/>
        <v>3.5</v>
      </c>
      <c r="J38" s="13">
        <f t="shared" si="2"/>
        <v>3.9</v>
      </c>
    </row>
    <row r="39" spans="1:10" hidden="1" x14ac:dyDescent="0.25">
      <c r="A39" s="2">
        <v>18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1</v>
      </c>
      <c r="I39" s="13">
        <f t="shared" si="1"/>
        <v>6.5</v>
      </c>
      <c r="J39" s="13">
        <f t="shared" si="2"/>
        <v>7.1999999999999993</v>
      </c>
    </row>
    <row r="40" spans="1:10" hidden="1" x14ac:dyDescent="0.25">
      <c r="A40" s="2">
        <v>19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1</v>
      </c>
      <c r="H40" s="2">
        <v>0</v>
      </c>
      <c r="I40" s="13">
        <f t="shared" si="1"/>
        <v>8</v>
      </c>
      <c r="J40" s="13">
        <f t="shared" si="2"/>
        <v>9</v>
      </c>
    </row>
    <row r="41" spans="1:10" hidden="1" x14ac:dyDescent="0.25">
      <c r="A41" s="2">
        <v>20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1</v>
      </c>
      <c r="H41" s="2">
        <v>1</v>
      </c>
      <c r="I41" s="13">
        <f t="shared" si="1"/>
        <v>11</v>
      </c>
      <c r="J41" s="13">
        <f t="shared" si="2"/>
        <v>12.3</v>
      </c>
    </row>
    <row r="42" spans="1:10" hidden="1" x14ac:dyDescent="0.25">
      <c r="A42" s="2">
        <v>21</v>
      </c>
      <c r="B42" s="2">
        <v>0</v>
      </c>
      <c r="C42" s="2">
        <v>0</v>
      </c>
      <c r="D42" s="2">
        <v>1</v>
      </c>
      <c r="E42" s="2">
        <v>0</v>
      </c>
      <c r="F42" s="2">
        <v>1</v>
      </c>
      <c r="G42" s="2">
        <v>0</v>
      </c>
      <c r="H42" s="2">
        <v>0</v>
      </c>
      <c r="I42" s="13">
        <f t="shared" si="1"/>
        <v>10.4</v>
      </c>
      <c r="J42" s="13">
        <f t="shared" si="2"/>
        <v>11.6</v>
      </c>
    </row>
    <row r="43" spans="1:10" hidden="1" x14ac:dyDescent="0.25">
      <c r="A43" s="2">
        <v>22</v>
      </c>
      <c r="B43" s="2">
        <v>0</v>
      </c>
      <c r="C43" s="2">
        <v>0</v>
      </c>
      <c r="D43" s="2">
        <v>1</v>
      </c>
      <c r="E43" s="2">
        <v>0</v>
      </c>
      <c r="F43" s="2">
        <v>1</v>
      </c>
      <c r="G43" s="2">
        <v>0</v>
      </c>
      <c r="H43" s="2">
        <v>1</v>
      </c>
      <c r="I43" s="13">
        <f t="shared" si="1"/>
        <v>13.4</v>
      </c>
      <c r="J43" s="13">
        <f t="shared" si="2"/>
        <v>14.899999999999999</v>
      </c>
    </row>
    <row r="44" spans="1:10" x14ac:dyDescent="0.25">
      <c r="A44" s="2">
        <v>23</v>
      </c>
      <c r="B44" s="2">
        <v>0</v>
      </c>
      <c r="C44" s="2">
        <v>0</v>
      </c>
      <c r="D44" s="2">
        <v>1</v>
      </c>
      <c r="E44" s="2">
        <v>0</v>
      </c>
      <c r="F44" s="2">
        <v>1</v>
      </c>
      <c r="G44" s="2">
        <v>1</v>
      </c>
      <c r="H44" s="2">
        <v>0</v>
      </c>
      <c r="I44" s="13">
        <f t="shared" si="1"/>
        <v>14.9</v>
      </c>
      <c r="J44" s="13">
        <f t="shared" si="2"/>
        <v>16.7</v>
      </c>
    </row>
    <row r="45" spans="1:10" hidden="1" x14ac:dyDescent="0.25">
      <c r="A45" s="2">
        <v>24</v>
      </c>
      <c r="B45" s="2">
        <v>0</v>
      </c>
      <c r="C45" s="2">
        <v>0</v>
      </c>
      <c r="D45" s="2">
        <v>1</v>
      </c>
      <c r="E45" s="2">
        <v>0</v>
      </c>
      <c r="F45" s="2">
        <v>1</v>
      </c>
      <c r="G45" s="2">
        <v>1</v>
      </c>
      <c r="H45" s="2">
        <v>1</v>
      </c>
      <c r="I45" s="13">
        <f t="shared" si="1"/>
        <v>17.899999999999999</v>
      </c>
      <c r="J45" s="13">
        <f t="shared" si="2"/>
        <v>20</v>
      </c>
    </row>
    <row r="46" spans="1:10" hidden="1" x14ac:dyDescent="0.25">
      <c r="A46" s="2">
        <v>25</v>
      </c>
      <c r="B46" s="2">
        <v>0</v>
      </c>
      <c r="C46" s="2">
        <v>0</v>
      </c>
      <c r="D46" s="2">
        <v>1</v>
      </c>
      <c r="E46" s="2">
        <v>1</v>
      </c>
      <c r="F46" s="2">
        <v>0</v>
      </c>
      <c r="G46" s="2">
        <v>0</v>
      </c>
      <c r="H46" s="2">
        <v>0</v>
      </c>
      <c r="I46" s="13">
        <f t="shared" si="1"/>
        <v>9.4</v>
      </c>
      <c r="J46" s="13">
        <f t="shared" si="2"/>
        <v>10.7</v>
      </c>
    </row>
    <row r="47" spans="1:10" hidden="1" x14ac:dyDescent="0.25">
      <c r="A47" s="2">
        <v>26</v>
      </c>
      <c r="B47" s="2">
        <v>0</v>
      </c>
      <c r="C47" s="2">
        <v>0</v>
      </c>
      <c r="D47" s="2">
        <v>1</v>
      </c>
      <c r="E47" s="2">
        <v>1</v>
      </c>
      <c r="F47" s="2">
        <v>0</v>
      </c>
      <c r="G47" s="2">
        <v>0</v>
      </c>
      <c r="H47" s="2">
        <v>1</v>
      </c>
      <c r="I47" s="13">
        <f t="shared" si="1"/>
        <v>12.4</v>
      </c>
      <c r="J47" s="13">
        <f t="shared" si="2"/>
        <v>14</v>
      </c>
    </row>
    <row r="48" spans="1:10" hidden="1" x14ac:dyDescent="0.25">
      <c r="A48" s="2">
        <v>27</v>
      </c>
      <c r="B48" s="2">
        <v>0</v>
      </c>
      <c r="C48" s="2">
        <v>0</v>
      </c>
      <c r="D48" s="2">
        <v>1</v>
      </c>
      <c r="E48" s="2">
        <v>1</v>
      </c>
      <c r="F48" s="2">
        <v>0</v>
      </c>
      <c r="G48" s="2">
        <v>1</v>
      </c>
      <c r="H48" s="2">
        <v>0</v>
      </c>
      <c r="I48" s="13">
        <f t="shared" si="1"/>
        <v>13.9</v>
      </c>
      <c r="J48" s="13">
        <f t="shared" si="2"/>
        <v>15.799999999999999</v>
      </c>
    </row>
    <row r="49" spans="1:10" hidden="1" x14ac:dyDescent="0.25">
      <c r="A49" s="2">
        <v>28</v>
      </c>
      <c r="B49" s="2">
        <v>0</v>
      </c>
      <c r="C49" s="2">
        <v>0</v>
      </c>
      <c r="D49" s="2">
        <v>1</v>
      </c>
      <c r="E49" s="2">
        <v>1</v>
      </c>
      <c r="F49" s="2">
        <v>0</v>
      </c>
      <c r="G49" s="2">
        <v>1</v>
      </c>
      <c r="H49" s="2">
        <v>1</v>
      </c>
      <c r="I49" s="13">
        <f t="shared" si="1"/>
        <v>16.899999999999999</v>
      </c>
      <c r="J49" s="13">
        <f t="shared" si="2"/>
        <v>19.099999999999998</v>
      </c>
    </row>
    <row r="50" spans="1:10" hidden="1" x14ac:dyDescent="0.25">
      <c r="A50" s="2">
        <v>29</v>
      </c>
      <c r="B50" s="2">
        <v>0</v>
      </c>
      <c r="C50" s="2">
        <v>0</v>
      </c>
      <c r="D50" s="2">
        <v>1</v>
      </c>
      <c r="E50" s="2">
        <v>1</v>
      </c>
      <c r="F50" s="2">
        <v>1</v>
      </c>
      <c r="G50" s="2">
        <v>0</v>
      </c>
      <c r="H50" s="2">
        <v>0</v>
      </c>
      <c r="I50" s="13">
        <f t="shared" si="1"/>
        <v>16.3</v>
      </c>
      <c r="J50" s="13">
        <f t="shared" si="2"/>
        <v>18.399999999999999</v>
      </c>
    </row>
    <row r="51" spans="1:10" hidden="1" x14ac:dyDescent="0.25">
      <c r="A51" s="2">
        <v>30</v>
      </c>
      <c r="B51" s="2">
        <v>0</v>
      </c>
      <c r="C51" s="2">
        <v>0</v>
      </c>
      <c r="D51" s="2">
        <v>1</v>
      </c>
      <c r="E51" s="2">
        <v>1</v>
      </c>
      <c r="F51" s="2">
        <v>1</v>
      </c>
      <c r="G51" s="2">
        <v>0</v>
      </c>
      <c r="H51" s="2">
        <v>1</v>
      </c>
      <c r="I51" s="13">
        <f t="shared" si="1"/>
        <v>19.3</v>
      </c>
      <c r="J51" s="13">
        <f t="shared" si="2"/>
        <v>21.7</v>
      </c>
    </row>
    <row r="52" spans="1:10" hidden="1" x14ac:dyDescent="0.25">
      <c r="A52" s="2">
        <v>31</v>
      </c>
      <c r="B52" s="2">
        <v>0</v>
      </c>
      <c r="C52" s="2">
        <v>0</v>
      </c>
      <c r="D52" s="2">
        <v>1</v>
      </c>
      <c r="E52" s="2">
        <v>1</v>
      </c>
      <c r="F52" s="2">
        <v>1</v>
      </c>
      <c r="G52" s="2">
        <v>1</v>
      </c>
      <c r="H52" s="2">
        <v>0</v>
      </c>
      <c r="I52" s="13">
        <f t="shared" si="1"/>
        <v>20.8</v>
      </c>
      <c r="J52" s="13">
        <f t="shared" si="2"/>
        <v>23.5</v>
      </c>
    </row>
    <row r="53" spans="1:10" hidden="1" x14ac:dyDescent="0.25">
      <c r="A53" s="2">
        <v>32</v>
      </c>
      <c r="B53" s="2">
        <v>0</v>
      </c>
      <c r="C53" s="2">
        <v>0</v>
      </c>
      <c r="D53" s="2">
        <v>1</v>
      </c>
      <c r="E53" s="2">
        <v>1</v>
      </c>
      <c r="F53" s="2">
        <v>1</v>
      </c>
      <c r="G53" s="2">
        <v>1</v>
      </c>
      <c r="H53" s="2">
        <v>1</v>
      </c>
      <c r="I53" s="13">
        <f t="shared" si="1"/>
        <v>23.8</v>
      </c>
      <c r="J53" s="13">
        <f t="shared" si="2"/>
        <v>26.8</v>
      </c>
    </row>
    <row r="54" spans="1:10" hidden="1" x14ac:dyDescent="0.25">
      <c r="A54" s="2">
        <v>33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13">
        <f t="shared" si="1"/>
        <v>2.4</v>
      </c>
      <c r="J54" s="13">
        <f t="shared" si="2"/>
        <v>2.7</v>
      </c>
    </row>
    <row r="55" spans="1:10" hidden="1" x14ac:dyDescent="0.25">
      <c r="A55" s="2">
        <v>34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13">
        <f t="shared" si="1"/>
        <v>5.4</v>
      </c>
      <c r="J55" s="13">
        <f t="shared" si="2"/>
        <v>6</v>
      </c>
    </row>
    <row r="56" spans="1:10" hidden="1" x14ac:dyDescent="0.25">
      <c r="A56" s="2">
        <v>35</v>
      </c>
      <c r="B56" s="2">
        <v>0</v>
      </c>
      <c r="C56" s="2">
        <v>1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13">
        <f t="shared" si="1"/>
        <v>6.9</v>
      </c>
      <c r="J56" s="13">
        <f t="shared" si="2"/>
        <v>7.8</v>
      </c>
    </row>
    <row r="57" spans="1:10" hidden="1" x14ac:dyDescent="0.25">
      <c r="A57" s="2">
        <v>36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1</v>
      </c>
      <c r="H57" s="2">
        <v>1</v>
      </c>
      <c r="I57" s="13">
        <f t="shared" si="1"/>
        <v>9.9</v>
      </c>
      <c r="J57" s="13">
        <f t="shared" si="2"/>
        <v>11.1</v>
      </c>
    </row>
    <row r="58" spans="1:10" hidden="1" x14ac:dyDescent="0.25">
      <c r="A58" s="2">
        <v>37</v>
      </c>
      <c r="B58" s="2">
        <v>0</v>
      </c>
      <c r="C58" s="2">
        <v>1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13">
        <f t="shared" si="1"/>
        <v>9.3000000000000007</v>
      </c>
      <c r="J58" s="13">
        <f t="shared" si="2"/>
        <v>10.4</v>
      </c>
    </row>
    <row r="59" spans="1:10" hidden="1" x14ac:dyDescent="0.25">
      <c r="A59" s="2">
        <v>38</v>
      </c>
      <c r="B59" s="2">
        <v>0</v>
      </c>
      <c r="C59" s="2">
        <v>1</v>
      </c>
      <c r="D59" s="2">
        <v>0</v>
      </c>
      <c r="E59" s="2">
        <v>0</v>
      </c>
      <c r="F59" s="2">
        <v>1</v>
      </c>
      <c r="G59" s="2">
        <v>0</v>
      </c>
      <c r="H59" s="2">
        <v>1</v>
      </c>
      <c r="I59" s="13">
        <f t="shared" si="1"/>
        <v>12.3</v>
      </c>
      <c r="J59" s="13">
        <f t="shared" si="2"/>
        <v>13.7</v>
      </c>
    </row>
    <row r="60" spans="1:10" hidden="1" x14ac:dyDescent="0.25">
      <c r="A60" s="2">
        <v>39</v>
      </c>
      <c r="B60" s="2">
        <v>0</v>
      </c>
      <c r="C60" s="2">
        <v>1</v>
      </c>
      <c r="D60" s="2">
        <v>0</v>
      </c>
      <c r="E60" s="2">
        <v>0</v>
      </c>
      <c r="F60" s="2">
        <v>1</v>
      </c>
      <c r="G60" s="2">
        <v>1</v>
      </c>
      <c r="H60" s="2">
        <v>0</v>
      </c>
      <c r="I60" s="13">
        <f t="shared" si="1"/>
        <v>13.8</v>
      </c>
      <c r="J60" s="13">
        <f t="shared" si="2"/>
        <v>15.5</v>
      </c>
    </row>
    <row r="61" spans="1:10" hidden="1" x14ac:dyDescent="0.25">
      <c r="A61" s="2">
        <v>40</v>
      </c>
      <c r="B61" s="2">
        <v>0</v>
      </c>
      <c r="C61" s="2">
        <v>1</v>
      </c>
      <c r="D61" s="2">
        <v>0</v>
      </c>
      <c r="E61" s="2">
        <v>0</v>
      </c>
      <c r="F61" s="2">
        <v>1</v>
      </c>
      <c r="G61" s="2">
        <v>1</v>
      </c>
      <c r="H61" s="2">
        <v>1</v>
      </c>
      <c r="I61" s="13">
        <f t="shared" si="1"/>
        <v>16.8</v>
      </c>
      <c r="J61" s="13">
        <f t="shared" si="2"/>
        <v>18.8</v>
      </c>
    </row>
    <row r="62" spans="1:10" hidden="1" x14ac:dyDescent="0.25">
      <c r="A62" s="2">
        <v>41</v>
      </c>
      <c r="B62" s="2">
        <v>0</v>
      </c>
      <c r="C62" s="2">
        <v>1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13">
        <f t="shared" si="1"/>
        <v>8.3000000000000007</v>
      </c>
      <c r="J62" s="13">
        <f t="shared" si="2"/>
        <v>9.5</v>
      </c>
    </row>
    <row r="63" spans="1:10" hidden="1" x14ac:dyDescent="0.25">
      <c r="A63" s="2">
        <v>42</v>
      </c>
      <c r="B63" s="2">
        <v>0</v>
      </c>
      <c r="C63" s="2">
        <v>1</v>
      </c>
      <c r="D63" s="2">
        <v>0</v>
      </c>
      <c r="E63" s="2">
        <v>1</v>
      </c>
      <c r="F63" s="2">
        <v>0</v>
      </c>
      <c r="G63" s="2">
        <v>0</v>
      </c>
      <c r="H63" s="2">
        <v>1</v>
      </c>
      <c r="I63" s="13">
        <f t="shared" si="1"/>
        <v>11.3</v>
      </c>
      <c r="J63" s="13">
        <f t="shared" si="2"/>
        <v>12.8</v>
      </c>
    </row>
    <row r="64" spans="1:10" hidden="1" x14ac:dyDescent="0.25">
      <c r="A64" s="2">
        <v>43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1</v>
      </c>
      <c r="H64" s="2">
        <v>0</v>
      </c>
      <c r="I64" s="13">
        <f t="shared" si="1"/>
        <v>12.8</v>
      </c>
      <c r="J64" s="13">
        <f t="shared" si="2"/>
        <v>14.6</v>
      </c>
    </row>
    <row r="65" spans="1:10" hidden="1" x14ac:dyDescent="0.25">
      <c r="A65" s="2">
        <v>44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1</v>
      </c>
      <c r="H65" s="2">
        <v>1</v>
      </c>
      <c r="I65" s="13">
        <f t="shared" si="1"/>
        <v>15.8</v>
      </c>
      <c r="J65" s="13">
        <f t="shared" si="2"/>
        <v>17.899999999999999</v>
      </c>
    </row>
    <row r="66" spans="1:10" hidden="1" x14ac:dyDescent="0.25">
      <c r="A66" s="2">
        <v>45</v>
      </c>
      <c r="B66" s="2">
        <v>0</v>
      </c>
      <c r="C66" s="2">
        <v>1</v>
      </c>
      <c r="D66" s="2">
        <v>0</v>
      </c>
      <c r="E66" s="2">
        <v>1</v>
      </c>
      <c r="F66" s="2">
        <v>1</v>
      </c>
      <c r="G66" s="2">
        <v>0</v>
      </c>
      <c r="H66" s="2">
        <v>0</v>
      </c>
      <c r="I66" s="13">
        <f t="shared" si="1"/>
        <v>15.200000000000001</v>
      </c>
      <c r="J66" s="13">
        <f t="shared" si="2"/>
        <v>17.2</v>
      </c>
    </row>
    <row r="67" spans="1:10" hidden="1" x14ac:dyDescent="0.25">
      <c r="A67" s="2">
        <v>46</v>
      </c>
      <c r="B67" s="2">
        <v>0</v>
      </c>
      <c r="C67" s="2">
        <v>1</v>
      </c>
      <c r="D67" s="2">
        <v>0</v>
      </c>
      <c r="E67" s="2">
        <v>1</v>
      </c>
      <c r="F67" s="2">
        <v>1</v>
      </c>
      <c r="G67" s="2">
        <v>0</v>
      </c>
      <c r="H67" s="2">
        <v>1</v>
      </c>
      <c r="I67" s="13">
        <f t="shared" si="1"/>
        <v>18.200000000000003</v>
      </c>
      <c r="J67" s="13">
        <f t="shared" si="2"/>
        <v>20.5</v>
      </c>
    </row>
    <row r="68" spans="1:10" hidden="1" x14ac:dyDescent="0.25">
      <c r="A68" s="2">
        <v>47</v>
      </c>
      <c r="B68" s="2">
        <v>0</v>
      </c>
      <c r="C68" s="2">
        <v>1</v>
      </c>
      <c r="D68" s="2">
        <v>0</v>
      </c>
      <c r="E68" s="2">
        <v>1</v>
      </c>
      <c r="F68" s="2">
        <v>1</v>
      </c>
      <c r="G68" s="2">
        <v>1</v>
      </c>
      <c r="H68" s="2">
        <v>0</v>
      </c>
      <c r="I68" s="13">
        <f t="shared" si="1"/>
        <v>19.700000000000003</v>
      </c>
      <c r="J68" s="13">
        <f t="shared" si="2"/>
        <v>22.299999999999997</v>
      </c>
    </row>
    <row r="69" spans="1:10" hidden="1" x14ac:dyDescent="0.25">
      <c r="A69" s="2">
        <v>48</v>
      </c>
      <c r="B69" s="2">
        <v>0</v>
      </c>
      <c r="C69" s="2">
        <v>1</v>
      </c>
      <c r="D69" s="2">
        <v>0</v>
      </c>
      <c r="E69" s="2">
        <v>1</v>
      </c>
      <c r="F69" s="2">
        <v>1</v>
      </c>
      <c r="G69" s="2">
        <v>1</v>
      </c>
      <c r="H69" s="2">
        <v>1</v>
      </c>
      <c r="I69" s="13">
        <f t="shared" si="1"/>
        <v>22.700000000000003</v>
      </c>
      <c r="J69" s="13">
        <f t="shared" si="2"/>
        <v>25.599999999999998</v>
      </c>
    </row>
    <row r="70" spans="1:10" hidden="1" x14ac:dyDescent="0.25">
      <c r="A70" s="2">
        <v>49</v>
      </c>
      <c r="B70" s="2">
        <v>0</v>
      </c>
      <c r="C70" s="2">
        <v>1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13">
        <f t="shared" si="1"/>
        <v>5.9</v>
      </c>
      <c r="J70" s="13">
        <f t="shared" si="2"/>
        <v>6.6</v>
      </c>
    </row>
    <row r="71" spans="1:10" hidden="1" x14ac:dyDescent="0.25">
      <c r="A71" s="2">
        <v>50</v>
      </c>
      <c r="B71" s="2">
        <v>0</v>
      </c>
      <c r="C71" s="2">
        <v>1</v>
      </c>
      <c r="D71" s="2">
        <v>1</v>
      </c>
      <c r="E71" s="2">
        <v>0</v>
      </c>
      <c r="F71" s="2">
        <v>0</v>
      </c>
      <c r="G71" s="2">
        <v>0</v>
      </c>
      <c r="H71" s="2">
        <v>1</v>
      </c>
      <c r="I71" s="13">
        <f t="shared" si="1"/>
        <v>8.9</v>
      </c>
      <c r="J71" s="13">
        <f t="shared" si="2"/>
        <v>9.8999999999999986</v>
      </c>
    </row>
    <row r="72" spans="1:10" hidden="1" x14ac:dyDescent="0.25">
      <c r="A72" s="2">
        <v>51</v>
      </c>
      <c r="B72" s="2">
        <v>0</v>
      </c>
      <c r="C72" s="2">
        <v>1</v>
      </c>
      <c r="D72" s="2">
        <v>1</v>
      </c>
      <c r="E72" s="2">
        <v>0</v>
      </c>
      <c r="F72" s="2">
        <v>0</v>
      </c>
      <c r="G72" s="2">
        <v>1</v>
      </c>
      <c r="H72" s="2">
        <v>0</v>
      </c>
      <c r="I72" s="13">
        <f t="shared" si="1"/>
        <v>10.4</v>
      </c>
      <c r="J72" s="13">
        <f t="shared" si="2"/>
        <v>11.7</v>
      </c>
    </row>
    <row r="73" spans="1:10" hidden="1" x14ac:dyDescent="0.25">
      <c r="A73" s="2">
        <v>52</v>
      </c>
      <c r="B73" s="2">
        <v>0</v>
      </c>
      <c r="C73" s="2">
        <v>1</v>
      </c>
      <c r="D73" s="2">
        <v>1</v>
      </c>
      <c r="E73" s="2">
        <v>0</v>
      </c>
      <c r="F73" s="2">
        <v>0</v>
      </c>
      <c r="G73" s="2">
        <v>1</v>
      </c>
      <c r="H73" s="2">
        <v>1</v>
      </c>
      <c r="I73" s="13">
        <f t="shared" si="1"/>
        <v>13.4</v>
      </c>
      <c r="J73" s="13">
        <f t="shared" si="2"/>
        <v>15</v>
      </c>
    </row>
    <row r="74" spans="1:10" hidden="1" x14ac:dyDescent="0.25">
      <c r="A74" s="2">
        <v>53</v>
      </c>
      <c r="B74" s="2">
        <v>0</v>
      </c>
      <c r="C74" s="2">
        <v>1</v>
      </c>
      <c r="D74" s="2">
        <v>1</v>
      </c>
      <c r="E74" s="2">
        <v>0</v>
      </c>
      <c r="F74" s="2">
        <v>1</v>
      </c>
      <c r="G74" s="2">
        <v>0</v>
      </c>
      <c r="H74" s="2">
        <v>0</v>
      </c>
      <c r="I74" s="13">
        <f t="shared" si="1"/>
        <v>12.8</v>
      </c>
      <c r="J74" s="13">
        <f t="shared" si="2"/>
        <v>14.3</v>
      </c>
    </row>
    <row r="75" spans="1:10" hidden="1" x14ac:dyDescent="0.25">
      <c r="A75" s="2">
        <v>54</v>
      </c>
      <c r="B75" s="2">
        <v>0</v>
      </c>
      <c r="C75" s="2">
        <v>1</v>
      </c>
      <c r="D75" s="2">
        <v>1</v>
      </c>
      <c r="E75" s="2">
        <v>0</v>
      </c>
      <c r="F75" s="2">
        <v>1</v>
      </c>
      <c r="G75" s="2">
        <v>0</v>
      </c>
      <c r="H75" s="2">
        <v>1</v>
      </c>
      <c r="I75" s="13">
        <f t="shared" si="1"/>
        <v>15.8</v>
      </c>
      <c r="J75" s="13">
        <f t="shared" si="2"/>
        <v>17.600000000000001</v>
      </c>
    </row>
    <row r="76" spans="1:10" hidden="1" x14ac:dyDescent="0.25">
      <c r="A76" s="2">
        <v>55</v>
      </c>
      <c r="B76" s="2">
        <v>0</v>
      </c>
      <c r="C76" s="2">
        <v>1</v>
      </c>
      <c r="D76" s="2">
        <v>1</v>
      </c>
      <c r="E76" s="2">
        <v>0</v>
      </c>
      <c r="F76" s="2">
        <v>1</v>
      </c>
      <c r="G76" s="2">
        <v>1</v>
      </c>
      <c r="H76" s="2">
        <v>0</v>
      </c>
      <c r="I76" s="13">
        <f t="shared" si="1"/>
        <v>17.3</v>
      </c>
      <c r="J76" s="13">
        <f t="shared" si="2"/>
        <v>19.399999999999999</v>
      </c>
    </row>
    <row r="77" spans="1:10" hidden="1" x14ac:dyDescent="0.25">
      <c r="A77" s="2">
        <v>56</v>
      </c>
      <c r="B77" s="2">
        <v>0</v>
      </c>
      <c r="C77" s="2">
        <v>1</v>
      </c>
      <c r="D77" s="2">
        <v>1</v>
      </c>
      <c r="E77" s="2">
        <v>0</v>
      </c>
      <c r="F77" s="2">
        <v>1</v>
      </c>
      <c r="G77" s="2">
        <v>1</v>
      </c>
      <c r="H77" s="2">
        <v>1</v>
      </c>
      <c r="I77" s="13">
        <f t="shared" si="1"/>
        <v>20.3</v>
      </c>
      <c r="J77" s="13">
        <f t="shared" si="2"/>
        <v>22.7</v>
      </c>
    </row>
    <row r="78" spans="1:10" hidden="1" x14ac:dyDescent="0.25">
      <c r="A78" s="2">
        <v>57</v>
      </c>
      <c r="B78" s="2">
        <v>0</v>
      </c>
      <c r="C78" s="2">
        <v>1</v>
      </c>
      <c r="D78" s="2">
        <v>1</v>
      </c>
      <c r="E78" s="2">
        <v>1</v>
      </c>
      <c r="F78" s="2">
        <v>0</v>
      </c>
      <c r="G78" s="2">
        <v>0</v>
      </c>
      <c r="H78" s="2">
        <v>0</v>
      </c>
      <c r="I78" s="13">
        <f t="shared" si="1"/>
        <v>11.8</v>
      </c>
      <c r="J78" s="13">
        <f t="shared" si="2"/>
        <v>13.399999999999999</v>
      </c>
    </row>
    <row r="79" spans="1:10" x14ac:dyDescent="0.25">
      <c r="A79" s="2">
        <v>58</v>
      </c>
      <c r="B79" s="2">
        <v>0</v>
      </c>
      <c r="C79" s="2">
        <v>1</v>
      </c>
      <c r="D79" s="2">
        <v>1</v>
      </c>
      <c r="E79" s="2">
        <v>1</v>
      </c>
      <c r="F79" s="2">
        <v>0</v>
      </c>
      <c r="G79" s="2">
        <v>0</v>
      </c>
      <c r="H79" s="2">
        <v>1</v>
      </c>
      <c r="I79" s="13">
        <f t="shared" si="1"/>
        <v>14.8</v>
      </c>
      <c r="J79" s="13">
        <f t="shared" si="2"/>
        <v>16.7</v>
      </c>
    </row>
    <row r="80" spans="1:10" hidden="1" x14ac:dyDescent="0.25">
      <c r="A80" s="2">
        <v>59</v>
      </c>
      <c r="B80" s="2">
        <v>0</v>
      </c>
      <c r="C80" s="2">
        <v>1</v>
      </c>
      <c r="D80" s="2">
        <v>1</v>
      </c>
      <c r="E80" s="2">
        <v>1</v>
      </c>
      <c r="F80" s="2">
        <v>0</v>
      </c>
      <c r="G80" s="2">
        <v>1</v>
      </c>
      <c r="H80" s="2">
        <v>0</v>
      </c>
      <c r="I80" s="13">
        <f t="shared" si="1"/>
        <v>16.3</v>
      </c>
      <c r="J80" s="13">
        <f t="shared" si="2"/>
        <v>18.5</v>
      </c>
    </row>
    <row r="81" spans="1:10" hidden="1" x14ac:dyDescent="0.25">
      <c r="A81" s="2">
        <v>60</v>
      </c>
      <c r="B81" s="2">
        <v>0</v>
      </c>
      <c r="C81" s="2">
        <v>1</v>
      </c>
      <c r="D81" s="2">
        <v>1</v>
      </c>
      <c r="E81" s="2">
        <v>1</v>
      </c>
      <c r="F81" s="2">
        <v>0</v>
      </c>
      <c r="G81" s="2">
        <v>1</v>
      </c>
      <c r="H81" s="2">
        <v>1</v>
      </c>
      <c r="I81" s="13">
        <f t="shared" si="1"/>
        <v>19.3</v>
      </c>
      <c r="J81" s="13">
        <f t="shared" si="2"/>
        <v>21.8</v>
      </c>
    </row>
    <row r="82" spans="1:10" hidden="1" x14ac:dyDescent="0.25">
      <c r="A82" s="2">
        <v>61</v>
      </c>
      <c r="B82" s="2">
        <v>0</v>
      </c>
      <c r="C82" s="2">
        <v>1</v>
      </c>
      <c r="D82" s="2">
        <v>1</v>
      </c>
      <c r="E82" s="2">
        <v>1</v>
      </c>
      <c r="F82" s="2">
        <v>1</v>
      </c>
      <c r="G82" s="2">
        <v>0</v>
      </c>
      <c r="H82" s="2">
        <v>0</v>
      </c>
      <c r="I82" s="13">
        <f t="shared" si="1"/>
        <v>18.700000000000003</v>
      </c>
      <c r="J82" s="13">
        <f t="shared" si="2"/>
        <v>21.099999999999998</v>
      </c>
    </row>
    <row r="83" spans="1:10" hidden="1" x14ac:dyDescent="0.25">
      <c r="A83" s="2">
        <v>62</v>
      </c>
      <c r="B83" s="2">
        <v>0</v>
      </c>
      <c r="C83" s="2">
        <v>1</v>
      </c>
      <c r="D83" s="2">
        <v>1</v>
      </c>
      <c r="E83" s="2">
        <v>1</v>
      </c>
      <c r="F83" s="2">
        <v>1</v>
      </c>
      <c r="G83" s="2">
        <v>0</v>
      </c>
      <c r="H83" s="2">
        <v>1</v>
      </c>
      <c r="I83" s="13">
        <f t="shared" si="1"/>
        <v>21.700000000000003</v>
      </c>
      <c r="J83" s="13">
        <f t="shared" si="2"/>
        <v>24.4</v>
      </c>
    </row>
    <row r="84" spans="1:10" hidden="1" x14ac:dyDescent="0.25">
      <c r="A84" s="2">
        <v>63</v>
      </c>
      <c r="B84" s="2">
        <v>0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0</v>
      </c>
      <c r="I84" s="13">
        <f t="shared" si="1"/>
        <v>23.200000000000003</v>
      </c>
      <c r="J84" s="13">
        <f t="shared" si="2"/>
        <v>26.199999999999996</v>
      </c>
    </row>
    <row r="85" spans="1:10" hidden="1" x14ac:dyDescent="0.25">
      <c r="A85" s="2">
        <v>64</v>
      </c>
      <c r="B85" s="2">
        <v>0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13">
        <f t="shared" si="1"/>
        <v>26.200000000000003</v>
      </c>
      <c r="J85" s="13">
        <f t="shared" si="2"/>
        <v>29.499999999999996</v>
      </c>
    </row>
    <row r="86" spans="1:10" hidden="1" x14ac:dyDescent="0.25">
      <c r="A86" s="2">
        <v>65</v>
      </c>
      <c r="B86" s="2">
        <v>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13">
        <f t="shared" si="1"/>
        <v>5</v>
      </c>
      <c r="J86" s="13">
        <f t="shared" si="2"/>
        <v>5.6</v>
      </c>
    </row>
    <row r="87" spans="1:10" hidden="1" x14ac:dyDescent="0.25">
      <c r="A87" s="2">
        <v>66</v>
      </c>
      <c r="B87" s="2">
        <v>1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</v>
      </c>
      <c r="I87" s="13">
        <f t="shared" ref="I87:I149" si="3">SUMPRODUCT(B87:H87,$B$5:$H$5)</f>
        <v>8</v>
      </c>
      <c r="J87" s="13">
        <f t="shared" ref="J87:J149" si="4">SUMPRODUCT(B87:H87,$B$6:$H$6)</f>
        <v>8.8999999999999986</v>
      </c>
    </row>
    <row r="88" spans="1:10" hidden="1" x14ac:dyDescent="0.25">
      <c r="A88" s="2">
        <v>67</v>
      </c>
      <c r="B88" s="2">
        <v>1</v>
      </c>
      <c r="C88" s="2">
        <v>0</v>
      </c>
      <c r="D88" s="2">
        <v>0</v>
      </c>
      <c r="E88" s="2">
        <v>0</v>
      </c>
      <c r="F88" s="2">
        <v>0</v>
      </c>
      <c r="G88" s="2">
        <v>1</v>
      </c>
      <c r="H88" s="2">
        <v>0</v>
      </c>
      <c r="I88" s="13">
        <f t="shared" si="3"/>
        <v>9.5</v>
      </c>
      <c r="J88" s="13">
        <f t="shared" si="4"/>
        <v>10.7</v>
      </c>
    </row>
    <row r="89" spans="1:10" hidden="1" x14ac:dyDescent="0.25">
      <c r="A89" s="2">
        <v>68</v>
      </c>
      <c r="B89" s="2">
        <v>1</v>
      </c>
      <c r="C89" s="2">
        <v>0</v>
      </c>
      <c r="D89" s="2">
        <v>0</v>
      </c>
      <c r="E89" s="2">
        <v>0</v>
      </c>
      <c r="F89" s="2">
        <v>0</v>
      </c>
      <c r="G89" s="2">
        <v>1</v>
      </c>
      <c r="H89" s="2">
        <v>1</v>
      </c>
      <c r="I89" s="13">
        <f t="shared" si="3"/>
        <v>12.5</v>
      </c>
      <c r="J89" s="13">
        <f t="shared" si="4"/>
        <v>14</v>
      </c>
    </row>
    <row r="90" spans="1:10" hidden="1" x14ac:dyDescent="0.25">
      <c r="A90" s="2">
        <v>69</v>
      </c>
      <c r="B90" s="2">
        <v>1</v>
      </c>
      <c r="C90" s="2">
        <v>0</v>
      </c>
      <c r="D90" s="2">
        <v>0</v>
      </c>
      <c r="E90" s="2">
        <v>0</v>
      </c>
      <c r="F90" s="2">
        <v>1</v>
      </c>
      <c r="G90" s="2">
        <v>0</v>
      </c>
      <c r="H90" s="2">
        <v>0</v>
      </c>
      <c r="I90" s="13">
        <f t="shared" si="3"/>
        <v>11.9</v>
      </c>
      <c r="J90" s="13">
        <f t="shared" si="4"/>
        <v>13.3</v>
      </c>
    </row>
    <row r="91" spans="1:10" hidden="1" x14ac:dyDescent="0.25">
      <c r="A91" s="2">
        <v>70</v>
      </c>
      <c r="B91" s="2">
        <v>1</v>
      </c>
      <c r="C91" s="2">
        <v>0</v>
      </c>
      <c r="D91" s="2">
        <v>0</v>
      </c>
      <c r="E91" s="2">
        <v>0</v>
      </c>
      <c r="F91" s="2">
        <v>1</v>
      </c>
      <c r="G91" s="2">
        <v>0</v>
      </c>
      <c r="H91" s="2">
        <v>1</v>
      </c>
      <c r="I91" s="13">
        <f t="shared" si="3"/>
        <v>14.9</v>
      </c>
      <c r="J91" s="13">
        <f t="shared" si="4"/>
        <v>16.600000000000001</v>
      </c>
    </row>
    <row r="92" spans="1:10" hidden="1" x14ac:dyDescent="0.25">
      <c r="A92" s="2">
        <v>71</v>
      </c>
      <c r="B92" s="2">
        <v>1</v>
      </c>
      <c r="C92" s="2">
        <v>0</v>
      </c>
      <c r="D92" s="2">
        <v>0</v>
      </c>
      <c r="E92" s="2">
        <v>0</v>
      </c>
      <c r="F92" s="2">
        <v>1</v>
      </c>
      <c r="G92" s="2">
        <v>1</v>
      </c>
      <c r="H92" s="2">
        <v>0</v>
      </c>
      <c r="I92" s="13">
        <f t="shared" si="3"/>
        <v>16.399999999999999</v>
      </c>
      <c r="J92" s="13">
        <f t="shared" si="4"/>
        <v>18.399999999999999</v>
      </c>
    </row>
    <row r="93" spans="1:10" hidden="1" x14ac:dyDescent="0.25">
      <c r="A93" s="2">
        <v>72</v>
      </c>
      <c r="B93" s="2">
        <v>1</v>
      </c>
      <c r="C93" s="2">
        <v>0</v>
      </c>
      <c r="D93" s="2">
        <v>0</v>
      </c>
      <c r="E93" s="2">
        <v>0</v>
      </c>
      <c r="F93" s="2">
        <v>1</v>
      </c>
      <c r="G93" s="2">
        <v>1</v>
      </c>
      <c r="H93" s="2">
        <v>1</v>
      </c>
      <c r="I93" s="13">
        <f t="shared" si="3"/>
        <v>19.399999999999999</v>
      </c>
      <c r="J93" s="13">
        <f t="shared" si="4"/>
        <v>21.7</v>
      </c>
    </row>
    <row r="94" spans="1:10" hidden="1" x14ac:dyDescent="0.25">
      <c r="A94" s="2">
        <v>73</v>
      </c>
      <c r="B94" s="2">
        <v>1</v>
      </c>
      <c r="C94" s="2">
        <v>0</v>
      </c>
      <c r="D94" s="2">
        <v>0</v>
      </c>
      <c r="E94" s="2">
        <v>1</v>
      </c>
      <c r="F94" s="2">
        <v>0</v>
      </c>
      <c r="G94" s="2">
        <v>0</v>
      </c>
      <c r="H94" s="2">
        <v>0</v>
      </c>
      <c r="I94" s="13">
        <f t="shared" si="3"/>
        <v>10.9</v>
      </c>
      <c r="J94" s="13">
        <f t="shared" si="4"/>
        <v>12.399999999999999</v>
      </c>
    </row>
    <row r="95" spans="1:10" hidden="1" x14ac:dyDescent="0.25">
      <c r="A95" s="2">
        <v>74</v>
      </c>
      <c r="B95" s="2">
        <v>1</v>
      </c>
      <c r="C95" s="2">
        <v>0</v>
      </c>
      <c r="D95" s="2">
        <v>0</v>
      </c>
      <c r="E95" s="2">
        <v>1</v>
      </c>
      <c r="F95" s="2">
        <v>0</v>
      </c>
      <c r="G95" s="2">
        <v>0</v>
      </c>
      <c r="H95" s="2">
        <v>1</v>
      </c>
      <c r="I95" s="13">
        <f t="shared" si="3"/>
        <v>13.9</v>
      </c>
      <c r="J95" s="13">
        <f t="shared" si="4"/>
        <v>15.7</v>
      </c>
    </row>
    <row r="96" spans="1:10" hidden="1" x14ac:dyDescent="0.25">
      <c r="A96" s="2">
        <v>75</v>
      </c>
      <c r="B96" s="2">
        <v>1</v>
      </c>
      <c r="C96" s="2">
        <v>0</v>
      </c>
      <c r="D96" s="2">
        <v>0</v>
      </c>
      <c r="E96" s="2">
        <v>1</v>
      </c>
      <c r="F96" s="2">
        <v>0</v>
      </c>
      <c r="G96" s="2">
        <v>1</v>
      </c>
      <c r="H96" s="2">
        <v>0</v>
      </c>
      <c r="I96" s="13">
        <f t="shared" si="3"/>
        <v>15.4</v>
      </c>
      <c r="J96" s="13">
        <f t="shared" si="4"/>
        <v>17.5</v>
      </c>
    </row>
    <row r="97" spans="1:10" hidden="1" x14ac:dyDescent="0.25">
      <c r="A97" s="2">
        <v>76</v>
      </c>
      <c r="B97" s="2">
        <v>1</v>
      </c>
      <c r="C97" s="2">
        <v>0</v>
      </c>
      <c r="D97" s="2">
        <v>0</v>
      </c>
      <c r="E97" s="2">
        <v>1</v>
      </c>
      <c r="F97" s="2">
        <v>0</v>
      </c>
      <c r="G97" s="2">
        <v>1</v>
      </c>
      <c r="H97" s="2">
        <v>1</v>
      </c>
      <c r="I97" s="13">
        <f t="shared" si="3"/>
        <v>18.399999999999999</v>
      </c>
      <c r="J97" s="13">
        <f t="shared" si="4"/>
        <v>20.8</v>
      </c>
    </row>
    <row r="98" spans="1:10" hidden="1" x14ac:dyDescent="0.25">
      <c r="A98" s="2">
        <v>77</v>
      </c>
      <c r="B98" s="2">
        <v>1</v>
      </c>
      <c r="C98" s="2">
        <v>0</v>
      </c>
      <c r="D98" s="2">
        <v>0</v>
      </c>
      <c r="E98" s="2">
        <v>1</v>
      </c>
      <c r="F98" s="2">
        <v>1</v>
      </c>
      <c r="G98" s="2">
        <v>0</v>
      </c>
      <c r="H98" s="2">
        <v>0</v>
      </c>
      <c r="I98" s="13">
        <f t="shared" si="3"/>
        <v>17.8</v>
      </c>
      <c r="J98" s="13">
        <f t="shared" si="4"/>
        <v>20.099999999999998</v>
      </c>
    </row>
    <row r="99" spans="1:10" hidden="1" x14ac:dyDescent="0.25">
      <c r="A99" s="2">
        <v>78</v>
      </c>
      <c r="B99" s="2">
        <v>1</v>
      </c>
      <c r="C99" s="2">
        <v>0</v>
      </c>
      <c r="D99" s="2">
        <v>0</v>
      </c>
      <c r="E99" s="2">
        <v>1</v>
      </c>
      <c r="F99" s="2">
        <v>1</v>
      </c>
      <c r="G99" s="2">
        <v>0</v>
      </c>
      <c r="H99" s="2">
        <v>1</v>
      </c>
      <c r="I99" s="13">
        <f t="shared" si="3"/>
        <v>20.8</v>
      </c>
      <c r="J99" s="13">
        <f t="shared" si="4"/>
        <v>23.4</v>
      </c>
    </row>
    <row r="100" spans="1:10" hidden="1" x14ac:dyDescent="0.25">
      <c r="A100" s="2">
        <v>79</v>
      </c>
      <c r="B100" s="2">
        <v>1</v>
      </c>
      <c r="C100" s="2">
        <v>0</v>
      </c>
      <c r="D100" s="2">
        <v>0</v>
      </c>
      <c r="E100" s="2">
        <v>1</v>
      </c>
      <c r="F100" s="2">
        <v>1</v>
      </c>
      <c r="G100" s="2">
        <v>1</v>
      </c>
      <c r="H100" s="2">
        <v>0</v>
      </c>
      <c r="I100" s="13">
        <f t="shared" si="3"/>
        <v>22.3</v>
      </c>
      <c r="J100" s="13">
        <f t="shared" si="4"/>
        <v>25.199999999999996</v>
      </c>
    </row>
    <row r="101" spans="1:10" hidden="1" x14ac:dyDescent="0.25">
      <c r="A101" s="2">
        <v>80</v>
      </c>
      <c r="B101" s="2">
        <v>1</v>
      </c>
      <c r="C101" s="2">
        <v>0</v>
      </c>
      <c r="D101" s="2">
        <v>0</v>
      </c>
      <c r="E101" s="2">
        <v>1</v>
      </c>
      <c r="F101" s="2">
        <v>1</v>
      </c>
      <c r="G101" s="2">
        <v>1</v>
      </c>
      <c r="H101" s="2">
        <v>1</v>
      </c>
      <c r="I101" s="13">
        <f t="shared" si="3"/>
        <v>25.3</v>
      </c>
      <c r="J101" s="13">
        <f t="shared" si="4"/>
        <v>28.499999999999996</v>
      </c>
    </row>
    <row r="102" spans="1:10" hidden="1" x14ac:dyDescent="0.25">
      <c r="A102" s="2">
        <v>81</v>
      </c>
      <c r="B102" s="2">
        <v>1</v>
      </c>
      <c r="C102" s="2">
        <v>0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13">
        <f t="shared" si="3"/>
        <v>8.5</v>
      </c>
      <c r="J102" s="13">
        <f t="shared" si="4"/>
        <v>9.5</v>
      </c>
    </row>
    <row r="103" spans="1:10" hidden="1" x14ac:dyDescent="0.25">
      <c r="A103" s="2">
        <v>82</v>
      </c>
      <c r="B103" s="2">
        <v>1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1</v>
      </c>
      <c r="I103" s="13">
        <f t="shared" si="3"/>
        <v>11.5</v>
      </c>
      <c r="J103" s="13">
        <f t="shared" si="4"/>
        <v>12.8</v>
      </c>
    </row>
    <row r="104" spans="1:10" hidden="1" x14ac:dyDescent="0.25">
      <c r="A104" s="2">
        <v>83</v>
      </c>
      <c r="B104" s="2">
        <v>1</v>
      </c>
      <c r="C104" s="2">
        <v>0</v>
      </c>
      <c r="D104" s="2">
        <v>1</v>
      </c>
      <c r="E104" s="2">
        <v>0</v>
      </c>
      <c r="F104" s="2">
        <v>0</v>
      </c>
      <c r="G104" s="2">
        <v>1</v>
      </c>
      <c r="H104" s="2">
        <v>0</v>
      </c>
      <c r="I104" s="13">
        <f t="shared" si="3"/>
        <v>13</v>
      </c>
      <c r="J104" s="13">
        <f t="shared" si="4"/>
        <v>14.6</v>
      </c>
    </row>
    <row r="105" spans="1:10" hidden="1" x14ac:dyDescent="0.25">
      <c r="A105" s="2">
        <v>84</v>
      </c>
      <c r="B105" s="2">
        <v>1</v>
      </c>
      <c r="C105" s="2">
        <v>0</v>
      </c>
      <c r="D105" s="2">
        <v>1</v>
      </c>
      <c r="E105" s="2">
        <v>0</v>
      </c>
      <c r="F105" s="2">
        <v>0</v>
      </c>
      <c r="G105" s="2">
        <v>1</v>
      </c>
      <c r="H105" s="2">
        <v>1</v>
      </c>
      <c r="I105" s="13">
        <f t="shared" si="3"/>
        <v>16</v>
      </c>
      <c r="J105" s="13">
        <f t="shared" si="4"/>
        <v>17.899999999999999</v>
      </c>
    </row>
    <row r="106" spans="1:10" hidden="1" x14ac:dyDescent="0.25">
      <c r="A106" s="2">
        <v>85</v>
      </c>
      <c r="B106" s="2">
        <v>1</v>
      </c>
      <c r="C106" s="2">
        <v>0</v>
      </c>
      <c r="D106" s="2">
        <v>1</v>
      </c>
      <c r="E106" s="2">
        <v>0</v>
      </c>
      <c r="F106" s="2">
        <v>1</v>
      </c>
      <c r="G106" s="2">
        <v>0</v>
      </c>
      <c r="H106" s="2">
        <v>0</v>
      </c>
      <c r="I106" s="13">
        <f t="shared" si="3"/>
        <v>15.4</v>
      </c>
      <c r="J106" s="13">
        <f t="shared" si="4"/>
        <v>17.2</v>
      </c>
    </row>
    <row r="107" spans="1:10" hidden="1" x14ac:dyDescent="0.25">
      <c r="A107" s="2">
        <v>86</v>
      </c>
      <c r="B107" s="2">
        <v>1</v>
      </c>
      <c r="C107" s="2">
        <v>0</v>
      </c>
      <c r="D107" s="2">
        <v>1</v>
      </c>
      <c r="E107" s="2">
        <v>0</v>
      </c>
      <c r="F107" s="2">
        <v>1</v>
      </c>
      <c r="G107" s="2">
        <v>0</v>
      </c>
      <c r="H107" s="2">
        <v>1</v>
      </c>
      <c r="I107" s="13">
        <f t="shared" si="3"/>
        <v>18.399999999999999</v>
      </c>
      <c r="J107" s="13">
        <f t="shared" si="4"/>
        <v>20.5</v>
      </c>
    </row>
    <row r="108" spans="1:10" hidden="1" x14ac:dyDescent="0.25">
      <c r="A108" s="2">
        <v>87</v>
      </c>
      <c r="B108" s="2">
        <v>1</v>
      </c>
      <c r="C108" s="2">
        <v>0</v>
      </c>
      <c r="D108" s="2">
        <v>1</v>
      </c>
      <c r="E108" s="2">
        <v>0</v>
      </c>
      <c r="F108" s="2">
        <v>1</v>
      </c>
      <c r="G108" s="2">
        <v>1</v>
      </c>
      <c r="H108" s="2">
        <v>0</v>
      </c>
      <c r="I108" s="13">
        <f t="shared" si="3"/>
        <v>19.899999999999999</v>
      </c>
      <c r="J108" s="13">
        <f t="shared" si="4"/>
        <v>22.299999999999997</v>
      </c>
    </row>
    <row r="109" spans="1:10" hidden="1" x14ac:dyDescent="0.25">
      <c r="A109" s="2">
        <v>88</v>
      </c>
      <c r="B109" s="2">
        <v>1</v>
      </c>
      <c r="C109" s="2">
        <v>0</v>
      </c>
      <c r="D109" s="2">
        <v>1</v>
      </c>
      <c r="E109" s="2">
        <v>0</v>
      </c>
      <c r="F109" s="2">
        <v>1</v>
      </c>
      <c r="G109" s="2">
        <v>1</v>
      </c>
      <c r="H109" s="2">
        <v>1</v>
      </c>
      <c r="I109" s="13">
        <f t="shared" si="3"/>
        <v>22.9</v>
      </c>
      <c r="J109" s="13">
        <f t="shared" si="4"/>
        <v>25.599999999999998</v>
      </c>
    </row>
    <row r="110" spans="1:10" hidden="1" x14ac:dyDescent="0.25">
      <c r="A110" s="2">
        <v>89</v>
      </c>
      <c r="B110" s="2">
        <v>1</v>
      </c>
      <c r="C110" s="2">
        <v>0</v>
      </c>
      <c r="D110" s="2">
        <v>1</v>
      </c>
      <c r="E110" s="2">
        <v>1</v>
      </c>
      <c r="F110" s="2">
        <v>0</v>
      </c>
      <c r="G110" s="2">
        <v>0</v>
      </c>
      <c r="H110" s="2">
        <v>0</v>
      </c>
      <c r="I110" s="13">
        <f t="shared" si="3"/>
        <v>14.4</v>
      </c>
      <c r="J110" s="13">
        <f t="shared" si="4"/>
        <v>16.3</v>
      </c>
    </row>
    <row r="111" spans="1:10" hidden="1" x14ac:dyDescent="0.25">
      <c r="A111" s="2">
        <v>90</v>
      </c>
      <c r="B111" s="2">
        <v>1</v>
      </c>
      <c r="C111" s="2">
        <v>0</v>
      </c>
      <c r="D111" s="2">
        <v>1</v>
      </c>
      <c r="E111" s="2">
        <v>1</v>
      </c>
      <c r="F111" s="2">
        <v>0</v>
      </c>
      <c r="G111" s="2">
        <v>0</v>
      </c>
      <c r="H111" s="2">
        <v>1</v>
      </c>
      <c r="I111" s="13">
        <f t="shared" si="3"/>
        <v>17.399999999999999</v>
      </c>
      <c r="J111" s="13">
        <f t="shared" si="4"/>
        <v>19.600000000000001</v>
      </c>
    </row>
    <row r="112" spans="1:10" hidden="1" x14ac:dyDescent="0.25">
      <c r="A112" s="2">
        <v>91</v>
      </c>
      <c r="B112" s="2">
        <v>1</v>
      </c>
      <c r="C112" s="2">
        <v>0</v>
      </c>
      <c r="D112" s="2">
        <v>1</v>
      </c>
      <c r="E112" s="2">
        <v>1</v>
      </c>
      <c r="F112" s="2">
        <v>0</v>
      </c>
      <c r="G112" s="2">
        <v>1</v>
      </c>
      <c r="H112" s="2">
        <v>0</v>
      </c>
      <c r="I112" s="13">
        <f t="shared" si="3"/>
        <v>18.899999999999999</v>
      </c>
      <c r="J112" s="13">
        <f t="shared" si="4"/>
        <v>21.4</v>
      </c>
    </row>
    <row r="113" spans="1:10" hidden="1" x14ac:dyDescent="0.25">
      <c r="A113" s="2">
        <v>92</v>
      </c>
      <c r="B113" s="2">
        <v>1</v>
      </c>
      <c r="C113" s="2">
        <v>0</v>
      </c>
      <c r="D113" s="2">
        <v>1</v>
      </c>
      <c r="E113" s="2">
        <v>1</v>
      </c>
      <c r="F113" s="2">
        <v>0</v>
      </c>
      <c r="G113" s="2">
        <v>1</v>
      </c>
      <c r="H113" s="2">
        <v>1</v>
      </c>
      <c r="I113" s="13">
        <f t="shared" si="3"/>
        <v>21.9</v>
      </c>
      <c r="J113" s="13">
        <f t="shared" si="4"/>
        <v>24.7</v>
      </c>
    </row>
    <row r="114" spans="1:10" hidden="1" x14ac:dyDescent="0.25">
      <c r="A114" s="2">
        <v>93</v>
      </c>
      <c r="B114" s="2">
        <v>1</v>
      </c>
      <c r="C114" s="2">
        <v>0</v>
      </c>
      <c r="D114" s="2">
        <v>1</v>
      </c>
      <c r="E114" s="2">
        <v>1</v>
      </c>
      <c r="F114" s="2">
        <v>1</v>
      </c>
      <c r="G114" s="2">
        <v>0</v>
      </c>
      <c r="H114" s="2">
        <v>0</v>
      </c>
      <c r="I114" s="13">
        <f t="shared" si="3"/>
        <v>21.3</v>
      </c>
      <c r="J114" s="13">
        <f t="shared" si="4"/>
        <v>24</v>
      </c>
    </row>
    <row r="115" spans="1:10" hidden="1" x14ac:dyDescent="0.25">
      <c r="A115" s="2">
        <v>94</v>
      </c>
      <c r="B115" s="2">
        <v>1</v>
      </c>
      <c r="C115" s="2">
        <v>0</v>
      </c>
      <c r="D115" s="2">
        <v>1</v>
      </c>
      <c r="E115" s="2">
        <v>1</v>
      </c>
      <c r="F115" s="2">
        <v>1</v>
      </c>
      <c r="G115" s="2">
        <v>0</v>
      </c>
      <c r="H115" s="2">
        <v>1</v>
      </c>
      <c r="I115" s="13">
        <f t="shared" si="3"/>
        <v>24.3</v>
      </c>
      <c r="J115" s="13">
        <f t="shared" si="4"/>
        <v>27.3</v>
      </c>
    </row>
    <row r="116" spans="1:10" hidden="1" x14ac:dyDescent="0.25">
      <c r="A116" s="2">
        <v>95</v>
      </c>
      <c r="B116" s="2">
        <v>1</v>
      </c>
      <c r="C116" s="2">
        <v>0</v>
      </c>
      <c r="D116" s="2">
        <v>1</v>
      </c>
      <c r="E116" s="2">
        <v>1</v>
      </c>
      <c r="F116" s="2">
        <v>1</v>
      </c>
      <c r="G116" s="2">
        <v>1</v>
      </c>
      <c r="H116" s="2">
        <v>0</v>
      </c>
      <c r="I116" s="13">
        <f t="shared" si="3"/>
        <v>25.8</v>
      </c>
      <c r="J116" s="13">
        <f t="shared" si="4"/>
        <v>29.1</v>
      </c>
    </row>
    <row r="117" spans="1:10" hidden="1" x14ac:dyDescent="0.25">
      <c r="A117" s="2">
        <v>96</v>
      </c>
      <c r="B117" s="2">
        <v>1</v>
      </c>
      <c r="C117" s="2">
        <v>0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  <c r="I117" s="13">
        <f t="shared" si="3"/>
        <v>28.8</v>
      </c>
      <c r="J117" s="13">
        <f t="shared" si="4"/>
        <v>32.4</v>
      </c>
    </row>
    <row r="118" spans="1:10" hidden="1" x14ac:dyDescent="0.25">
      <c r="A118" s="2">
        <v>97</v>
      </c>
      <c r="B118" s="2">
        <v>1</v>
      </c>
      <c r="C118" s="2">
        <v>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13">
        <f t="shared" si="3"/>
        <v>7.4</v>
      </c>
      <c r="J118" s="13">
        <f t="shared" si="4"/>
        <v>8.3000000000000007</v>
      </c>
    </row>
    <row r="119" spans="1:10" hidden="1" x14ac:dyDescent="0.25">
      <c r="A119" s="2">
        <v>98</v>
      </c>
      <c r="B119" s="2">
        <v>1</v>
      </c>
      <c r="C119" s="2">
        <v>1</v>
      </c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13">
        <f t="shared" si="3"/>
        <v>10.4</v>
      </c>
      <c r="J119" s="13">
        <f t="shared" si="4"/>
        <v>11.600000000000001</v>
      </c>
    </row>
    <row r="120" spans="1:10" hidden="1" x14ac:dyDescent="0.25">
      <c r="A120" s="2">
        <v>99</v>
      </c>
      <c r="B120" s="2">
        <v>1</v>
      </c>
      <c r="C120" s="2">
        <v>1</v>
      </c>
      <c r="D120" s="2">
        <v>0</v>
      </c>
      <c r="E120" s="2">
        <v>0</v>
      </c>
      <c r="F120" s="2">
        <v>0</v>
      </c>
      <c r="G120" s="2">
        <v>1</v>
      </c>
      <c r="H120" s="2">
        <v>0</v>
      </c>
      <c r="I120" s="13">
        <f t="shared" si="3"/>
        <v>11.9</v>
      </c>
      <c r="J120" s="13">
        <f t="shared" si="4"/>
        <v>13.4</v>
      </c>
    </row>
    <row r="121" spans="1:10" x14ac:dyDescent="0.25">
      <c r="A121" s="2">
        <v>100</v>
      </c>
      <c r="B121" s="2">
        <v>1</v>
      </c>
      <c r="C121" s="2">
        <v>1</v>
      </c>
      <c r="D121" s="2">
        <v>0</v>
      </c>
      <c r="E121" s="2">
        <v>0</v>
      </c>
      <c r="F121" s="2">
        <v>0</v>
      </c>
      <c r="G121" s="2">
        <v>1</v>
      </c>
      <c r="H121" s="2">
        <v>1</v>
      </c>
      <c r="I121" s="13">
        <f t="shared" si="3"/>
        <v>14.9</v>
      </c>
      <c r="J121" s="13">
        <f t="shared" si="4"/>
        <v>16.7</v>
      </c>
    </row>
    <row r="122" spans="1:10" hidden="1" x14ac:dyDescent="0.25">
      <c r="A122" s="2">
        <v>101</v>
      </c>
      <c r="B122" s="2">
        <v>1</v>
      </c>
      <c r="C122" s="2">
        <v>1</v>
      </c>
      <c r="D122" s="2">
        <v>0</v>
      </c>
      <c r="E122" s="2">
        <v>0</v>
      </c>
      <c r="F122" s="2">
        <v>1</v>
      </c>
      <c r="G122" s="2">
        <v>0</v>
      </c>
      <c r="H122" s="2">
        <v>0</v>
      </c>
      <c r="I122" s="13">
        <f t="shared" si="3"/>
        <v>14.3</v>
      </c>
      <c r="J122" s="13">
        <f t="shared" si="4"/>
        <v>16</v>
      </c>
    </row>
    <row r="123" spans="1:10" hidden="1" x14ac:dyDescent="0.25">
      <c r="A123" s="2">
        <v>102</v>
      </c>
      <c r="B123" s="2">
        <v>1</v>
      </c>
      <c r="C123" s="2">
        <v>1</v>
      </c>
      <c r="D123" s="2">
        <v>0</v>
      </c>
      <c r="E123" s="2">
        <v>0</v>
      </c>
      <c r="F123" s="2">
        <v>1</v>
      </c>
      <c r="G123" s="2">
        <v>0</v>
      </c>
      <c r="H123" s="2">
        <v>1</v>
      </c>
      <c r="I123" s="13">
        <f t="shared" si="3"/>
        <v>17.3</v>
      </c>
      <c r="J123" s="13">
        <f t="shared" si="4"/>
        <v>19.3</v>
      </c>
    </row>
    <row r="124" spans="1:10" hidden="1" x14ac:dyDescent="0.25">
      <c r="A124" s="2">
        <v>103</v>
      </c>
      <c r="B124" s="2">
        <v>1</v>
      </c>
      <c r="C124" s="2">
        <v>1</v>
      </c>
      <c r="D124" s="2">
        <v>0</v>
      </c>
      <c r="E124" s="2">
        <v>0</v>
      </c>
      <c r="F124" s="2">
        <v>1</v>
      </c>
      <c r="G124" s="2">
        <v>1</v>
      </c>
      <c r="H124" s="2">
        <v>0</v>
      </c>
      <c r="I124" s="13">
        <f t="shared" si="3"/>
        <v>18.8</v>
      </c>
      <c r="J124" s="13">
        <f t="shared" si="4"/>
        <v>21.1</v>
      </c>
    </row>
    <row r="125" spans="1:10" hidden="1" x14ac:dyDescent="0.25">
      <c r="A125" s="2">
        <v>104</v>
      </c>
      <c r="B125" s="2">
        <v>1</v>
      </c>
      <c r="C125" s="2">
        <v>1</v>
      </c>
      <c r="D125" s="2">
        <v>0</v>
      </c>
      <c r="E125" s="2">
        <v>0</v>
      </c>
      <c r="F125" s="2">
        <v>1</v>
      </c>
      <c r="G125" s="2">
        <v>1</v>
      </c>
      <c r="H125" s="2">
        <v>1</v>
      </c>
      <c r="I125" s="13">
        <f t="shared" si="3"/>
        <v>21.8</v>
      </c>
      <c r="J125" s="13">
        <f t="shared" si="4"/>
        <v>24.400000000000002</v>
      </c>
    </row>
    <row r="126" spans="1:10" hidden="1" x14ac:dyDescent="0.25">
      <c r="A126" s="2">
        <v>105</v>
      </c>
      <c r="B126" s="2">
        <v>1</v>
      </c>
      <c r="C126" s="2">
        <v>1</v>
      </c>
      <c r="D126" s="2">
        <v>0</v>
      </c>
      <c r="E126" s="2">
        <v>1</v>
      </c>
      <c r="F126" s="2">
        <v>0</v>
      </c>
      <c r="G126" s="2">
        <v>0</v>
      </c>
      <c r="H126" s="2">
        <v>0</v>
      </c>
      <c r="I126" s="13">
        <f t="shared" si="3"/>
        <v>13.3</v>
      </c>
      <c r="J126" s="13">
        <f t="shared" si="4"/>
        <v>15.100000000000001</v>
      </c>
    </row>
    <row r="127" spans="1:10" hidden="1" x14ac:dyDescent="0.25">
      <c r="A127" s="2">
        <v>106</v>
      </c>
      <c r="B127" s="2">
        <v>1</v>
      </c>
      <c r="C127" s="2">
        <v>1</v>
      </c>
      <c r="D127" s="2">
        <v>0</v>
      </c>
      <c r="E127" s="2">
        <v>1</v>
      </c>
      <c r="F127" s="2">
        <v>0</v>
      </c>
      <c r="G127" s="2">
        <v>0</v>
      </c>
      <c r="H127" s="2">
        <v>1</v>
      </c>
      <c r="I127" s="13">
        <f t="shared" si="3"/>
        <v>16.3</v>
      </c>
      <c r="J127" s="13">
        <f t="shared" si="4"/>
        <v>18.400000000000002</v>
      </c>
    </row>
    <row r="128" spans="1:10" hidden="1" x14ac:dyDescent="0.25">
      <c r="A128" s="2">
        <v>107</v>
      </c>
      <c r="B128" s="2">
        <v>1</v>
      </c>
      <c r="C128" s="2">
        <v>1</v>
      </c>
      <c r="D128" s="2">
        <v>0</v>
      </c>
      <c r="E128" s="2">
        <v>1</v>
      </c>
      <c r="F128" s="2">
        <v>0</v>
      </c>
      <c r="G128" s="2">
        <v>1</v>
      </c>
      <c r="H128" s="2">
        <v>0</v>
      </c>
      <c r="I128" s="13">
        <f t="shared" si="3"/>
        <v>17.8</v>
      </c>
      <c r="J128" s="13">
        <f t="shared" si="4"/>
        <v>20.200000000000003</v>
      </c>
    </row>
    <row r="129" spans="1:10" hidden="1" x14ac:dyDescent="0.25">
      <c r="A129" s="2">
        <v>108</v>
      </c>
      <c r="B129" s="2">
        <v>1</v>
      </c>
      <c r="C129" s="2">
        <v>1</v>
      </c>
      <c r="D129" s="2">
        <v>0</v>
      </c>
      <c r="E129" s="2">
        <v>1</v>
      </c>
      <c r="F129" s="2">
        <v>0</v>
      </c>
      <c r="G129" s="2">
        <v>1</v>
      </c>
      <c r="H129" s="2">
        <v>1</v>
      </c>
      <c r="I129" s="13">
        <f t="shared" si="3"/>
        <v>20.8</v>
      </c>
      <c r="J129" s="13">
        <f t="shared" si="4"/>
        <v>23.500000000000004</v>
      </c>
    </row>
    <row r="130" spans="1:10" hidden="1" x14ac:dyDescent="0.25">
      <c r="A130" s="2">
        <v>109</v>
      </c>
      <c r="B130" s="2">
        <v>1</v>
      </c>
      <c r="C130" s="2">
        <v>1</v>
      </c>
      <c r="D130" s="2">
        <v>0</v>
      </c>
      <c r="E130" s="2">
        <v>1</v>
      </c>
      <c r="F130" s="2">
        <v>1</v>
      </c>
      <c r="G130" s="2">
        <v>0</v>
      </c>
      <c r="H130" s="2">
        <v>0</v>
      </c>
      <c r="I130" s="13">
        <f t="shared" si="3"/>
        <v>20.200000000000003</v>
      </c>
      <c r="J130" s="13">
        <f t="shared" si="4"/>
        <v>22.8</v>
      </c>
    </row>
    <row r="131" spans="1:10" hidden="1" x14ac:dyDescent="0.25">
      <c r="A131" s="2">
        <v>110</v>
      </c>
      <c r="B131" s="2">
        <v>1</v>
      </c>
      <c r="C131" s="2">
        <v>1</v>
      </c>
      <c r="D131" s="2">
        <v>0</v>
      </c>
      <c r="E131" s="2">
        <v>1</v>
      </c>
      <c r="F131" s="2">
        <v>1</v>
      </c>
      <c r="G131" s="2">
        <v>0</v>
      </c>
      <c r="H131" s="2">
        <v>1</v>
      </c>
      <c r="I131" s="13">
        <f t="shared" si="3"/>
        <v>23.200000000000003</v>
      </c>
      <c r="J131" s="13">
        <f t="shared" si="4"/>
        <v>26.1</v>
      </c>
    </row>
    <row r="132" spans="1:10" hidden="1" x14ac:dyDescent="0.25">
      <c r="A132" s="2">
        <v>111</v>
      </c>
      <c r="B132" s="2">
        <v>1</v>
      </c>
      <c r="C132" s="2">
        <v>1</v>
      </c>
      <c r="D132" s="2">
        <v>0</v>
      </c>
      <c r="E132" s="2">
        <v>1</v>
      </c>
      <c r="F132" s="2">
        <v>1</v>
      </c>
      <c r="G132" s="2">
        <v>1</v>
      </c>
      <c r="H132" s="2">
        <v>0</v>
      </c>
      <c r="I132" s="13">
        <f t="shared" si="3"/>
        <v>24.700000000000003</v>
      </c>
      <c r="J132" s="13">
        <f t="shared" si="4"/>
        <v>27.9</v>
      </c>
    </row>
    <row r="133" spans="1:10" hidden="1" x14ac:dyDescent="0.25">
      <c r="A133" s="2">
        <v>112</v>
      </c>
      <c r="B133" s="2">
        <v>1</v>
      </c>
      <c r="C133" s="2">
        <v>1</v>
      </c>
      <c r="D133" s="2">
        <v>0</v>
      </c>
      <c r="E133" s="2">
        <v>1</v>
      </c>
      <c r="F133" s="2">
        <v>1</v>
      </c>
      <c r="G133" s="2">
        <v>1</v>
      </c>
      <c r="H133" s="2">
        <v>1</v>
      </c>
      <c r="I133" s="13">
        <f t="shared" si="3"/>
        <v>27.700000000000003</v>
      </c>
      <c r="J133" s="13">
        <f t="shared" si="4"/>
        <v>31.2</v>
      </c>
    </row>
    <row r="134" spans="1:10" hidden="1" x14ac:dyDescent="0.25">
      <c r="A134" s="2">
        <v>113</v>
      </c>
      <c r="B134" s="2">
        <v>1</v>
      </c>
      <c r="C134" s="2">
        <v>1</v>
      </c>
      <c r="D134" s="2">
        <v>1</v>
      </c>
      <c r="E134" s="2">
        <v>0</v>
      </c>
      <c r="F134" s="2">
        <v>0</v>
      </c>
      <c r="G134" s="2">
        <v>0</v>
      </c>
      <c r="H134" s="2">
        <v>0</v>
      </c>
      <c r="I134" s="13">
        <f t="shared" si="3"/>
        <v>10.9</v>
      </c>
      <c r="J134" s="13">
        <f t="shared" si="4"/>
        <v>12.200000000000001</v>
      </c>
    </row>
    <row r="135" spans="1:10" hidden="1" x14ac:dyDescent="0.25">
      <c r="A135" s="2">
        <v>114</v>
      </c>
      <c r="B135" s="2">
        <v>1</v>
      </c>
      <c r="C135" s="2">
        <v>1</v>
      </c>
      <c r="D135" s="2">
        <v>1</v>
      </c>
      <c r="E135" s="2">
        <v>0</v>
      </c>
      <c r="F135" s="2">
        <v>0</v>
      </c>
      <c r="G135" s="2">
        <v>0</v>
      </c>
      <c r="H135" s="2">
        <v>1</v>
      </c>
      <c r="I135" s="13">
        <f t="shared" si="3"/>
        <v>13.9</v>
      </c>
      <c r="J135" s="13">
        <f t="shared" si="4"/>
        <v>15.5</v>
      </c>
    </row>
    <row r="136" spans="1:10" hidden="1" x14ac:dyDescent="0.25">
      <c r="A136" s="2">
        <v>115</v>
      </c>
      <c r="B136" s="2">
        <v>1</v>
      </c>
      <c r="C136" s="2">
        <v>1</v>
      </c>
      <c r="D136" s="2">
        <v>1</v>
      </c>
      <c r="E136" s="2">
        <v>0</v>
      </c>
      <c r="F136" s="2">
        <v>0</v>
      </c>
      <c r="G136" s="2">
        <v>1</v>
      </c>
      <c r="H136" s="2">
        <v>0</v>
      </c>
      <c r="I136" s="13">
        <f t="shared" si="3"/>
        <v>15.4</v>
      </c>
      <c r="J136" s="13">
        <f t="shared" si="4"/>
        <v>17.3</v>
      </c>
    </row>
    <row r="137" spans="1:10" hidden="1" x14ac:dyDescent="0.25">
      <c r="A137" s="2">
        <v>116</v>
      </c>
      <c r="B137" s="2">
        <v>1</v>
      </c>
      <c r="C137" s="2">
        <v>1</v>
      </c>
      <c r="D137" s="2">
        <v>1</v>
      </c>
      <c r="E137" s="2">
        <v>0</v>
      </c>
      <c r="F137" s="2">
        <v>0</v>
      </c>
      <c r="G137" s="2">
        <v>1</v>
      </c>
      <c r="H137" s="2">
        <v>1</v>
      </c>
      <c r="I137" s="13">
        <f t="shared" si="3"/>
        <v>18.399999999999999</v>
      </c>
      <c r="J137" s="13">
        <f t="shared" si="4"/>
        <v>20.6</v>
      </c>
    </row>
    <row r="138" spans="1:10" hidden="1" x14ac:dyDescent="0.25">
      <c r="A138" s="2">
        <v>117</v>
      </c>
      <c r="B138" s="2">
        <v>1</v>
      </c>
      <c r="C138" s="2">
        <v>1</v>
      </c>
      <c r="D138" s="2">
        <v>1</v>
      </c>
      <c r="E138" s="2">
        <v>0</v>
      </c>
      <c r="F138" s="2">
        <v>1</v>
      </c>
      <c r="G138" s="2">
        <v>0</v>
      </c>
      <c r="H138" s="2">
        <v>0</v>
      </c>
      <c r="I138" s="13">
        <f t="shared" si="3"/>
        <v>17.8</v>
      </c>
      <c r="J138" s="13">
        <f t="shared" si="4"/>
        <v>19.900000000000002</v>
      </c>
    </row>
    <row r="139" spans="1:10" hidden="1" x14ac:dyDescent="0.25">
      <c r="A139" s="2">
        <v>118</v>
      </c>
      <c r="B139" s="2">
        <v>1</v>
      </c>
      <c r="C139" s="2">
        <v>1</v>
      </c>
      <c r="D139" s="2">
        <v>1</v>
      </c>
      <c r="E139" s="2">
        <v>0</v>
      </c>
      <c r="F139" s="2">
        <v>1</v>
      </c>
      <c r="G139" s="2">
        <v>0</v>
      </c>
      <c r="H139" s="2">
        <v>1</v>
      </c>
      <c r="I139" s="13">
        <f t="shared" si="3"/>
        <v>20.8</v>
      </c>
      <c r="J139" s="13">
        <f t="shared" si="4"/>
        <v>23.200000000000003</v>
      </c>
    </row>
    <row r="140" spans="1:10" hidden="1" x14ac:dyDescent="0.25">
      <c r="A140" s="2">
        <v>119</v>
      </c>
      <c r="B140" s="2">
        <v>1</v>
      </c>
      <c r="C140" s="2">
        <v>1</v>
      </c>
      <c r="D140" s="2">
        <v>1</v>
      </c>
      <c r="E140" s="2">
        <v>0</v>
      </c>
      <c r="F140" s="2">
        <v>1</v>
      </c>
      <c r="G140" s="2">
        <v>1</v>
      </c>
      <c r="H140" s="2">
        <v>0</v>
      </c>
      <c r="I140" s="13">
        <f t="shared" si="3"/>
        <v>22.3</v>
      </c>
      <c r="J140" s="13">
        <f t="shared" si="4"/>
        <v>25</v>
      </c>
    </row>
    <row r="141" spans="1:10" hidden="1" x14ac:dyDescent="0.25">
      <c r="A141" s="2">
        <v>120</v>
      </c>
      <c r="B141" s="2">
        <v>1</v>
      </c>
      <c r="C141" s="2">
        <v>1</v>
      </c>
      <c r="D141" s="2">
        <v>1</v>
      </c>
      <c r="E141" s="2">
        <v>0</v>
      </c>
      <c r="F141" s="2">
        <v>1</v>
      </c>
      <c r="G141" s="2">
        <v>1</v>
      </c>
      <c r="H141" s="2">
        <v>1</v>
      </c>
      <c r="I141" s="13">
        <f t="shared" si="3"/>
        <v>25.3</v>
      </c>
      <c r="J141" s="13">
        <f t="shared" si="4"/>
        <v>28.3</v>
      </c>
    </row>
    <row r="142" spans="1:10" hidden="1" x14ac:dyDescent="0.25">
      <c r="A142" s="2">
        <v>121</v>
      </c>
      <c r="B142" s="2">
        <v>1</v>
      </c>
      <c r="C142" s="2">
        <v>1</v>
      </c>
      <c r="D142" s="2">
        <v>1</v>
      </c>
      <c r="E142" s="2">
        <v>1</v>
      </c>
      <c r="F142" s="2">
        <v>0</v>
      </c>
      <c r="G142" s="2">
        <v>0</v>
      </c>
      <c r="H142" s="2">
        <v>0</v>
      </c>
      <c r="I142" s="13">
        <f t="shared" si="3"/>
        <v>16.8</v>
      </c>
      <c r="J142" s="13">
        <f t="shared" si="4"/>
        <v>19</v>
      </c>
    </row>
    <row r="143" spans="1:10" hidden="1" x14ac:dyDescent="0.25">
      <c r="A143" s="2">
        <v>122</v>
      </c>
      <c r="B143" s="2">
        <v>1</v>
      </c>
      <c r="C143" s="2">
        <v>1</v>
      </c>
      <c r="D143" s="2">
        <v>1</v>
      </c>
      <c r="E143" s="2">
        <v>1</v>
      </c>
      <c r="F143" s="2">
        <v>0</v>
      </c>
      <c r="G143" s="2">
        <v>0</v>
      </c>
      <c r="H143" s="2">
        <v>1</v>
      </c>
      <c r="I143" s="13">
        <f t="shared" si="3"/>
        <v>19.8</v>
      </c>
      <c r="J143" s="13">
        <f t="shared" si="4"/>
        <v>22.3</v>
      </c>
    </row>
    <row r="144" spans="1:10" hidden="1" x14ac:dyDescent="0.25">
      <c r="A144" s="2">
        <v>123</v>
      </c>
      <c r="B144" s="2">
        <v>1</v>
      </c>
      <c r="C144" s="2">
        <v>1</v>
      </c>
      <c r="D144" s="2">
        <v>1</v>
      </c>
      <c r="E144" s="2">
        <v>1</v>
      </c>
      <c r="F144" s="2">
        <v>0</v>
      </c>
      <c r="G144" s="2">
        <v>1</v>
      </c>
      <c r="H144" s="2">
        <v>0</v>
      </c>
      <c r="I144" s="13">
        <f t="shared" si="3"/>
        <v>21.3</v>
      </c>
      <c r="J144" s="13">
        <f t="shared" si="4"/>
        <v>24.1</v>
      </c>
    </row>
    <row r="145" spans="1:10" hidden="1" x14ac:dyDescent="0.25">
      <c r="A145" s="2">
        <v>124</v>
      </c>
      <c r="B145" s="2">
        <v>1</v>
      </c>
      <c r="C145" s="2">
        <v>1</v>
      </c>
      <c r="D145" s="2">
        <v>1</v>
      </c>
      <c r="E145" s="2">
        <v>1</v>
      </c>
      <c r="F145" s="2">
        <v>0</v>
      </c>
      <c r="G145" s="2">
        <v>1</v>
      </c>
      <c r="H145" s="2">
        <v>1</v>
      </c>
      <c r="I145" s="13">
        <f t="shared" si="3"/>
        <v>24.3</v>
      </c>
      <c r="J145" s="13">
        <f t="shared" si="4"/>
        <v>27.400000000000002</v>
      </c>
    </row>
    <row r="146" spans="1:10" hidden="1" x14ac:dyDescent="0.25">
      <c r="A146" s="2">
        <v>125</v>
      </c>
      <c r="B146" s="2">
        <v>1</v>
      </c>
      <c r="C146" s="2">
        <v>1</v>
      </c>
      <c r="D146" s="2">
        <v>1</v>
      </c>
      <c r="E146" s="2">
        <v>1</v>
      </c>
      <c r="F146" s="2">
        <v>1</v>
      </c>
      <c r="G146" s="2">
        <v>0</v>
      </c>
      <c r="H146" s="2">
        <v>0</v>
      </c>
      <c r="I146" s="13">
        <f t="shared" si="3"/>
        <v>23.700000000000003</v>
      </c>
      <c r="J146" s="13">
        <f t="shared" si="4"/>
        <v>26.7</v>
      </c>
    </row>
    <row r="147" spans="1:10" hidden="1" x14ac:dyDescent="0.25">
      <c r="A147" s="2">
        <v>126</v>
      </c>
      <c r="B147" s="2">
        <v>1</v>
      </c>
      <c r="C147" s="2">
        <v>1</v>
      </c>
      <c r="D147" s="2">
        <v>1</v>
      </c>
      <c r="E147" s="2">
        <v>1</v>
      </c>
      <c r="F147" s="2">
        <v>1</v>
      </c>
      <c r="G147" s="2">
        <v>0</v>
      </c>
      <c r="H147" s="2">
        <v>1</v>
      </c>
      <c r="I147" s="13">
        <f t="shared" si="3"/>
        <v>26.700000000000003</v>
      </c>
      <c r="J147" s="13">
        <f t="shared" si="4"/>
        <v>30</v>
      </c>
    </row>
    <row r="148" spans="1:10" hidden="1" x14ac:dyDescent="0.25">
      <c r="A148" s="2">
        <v>127</v>
      </c>
      <c r="B148" s="2">
        <v>1</v>
      </c>
      <c r="C148" s="2">
        <v>1</v>
      </c>
      <c r="D148" s="2">
        <v>1</v>
      </c>
      <c r="E148" s="2">
        <v>1</v>
      </c>
      <c r="F148" s="2">
        <v>1</v>
      </c>
      <c r="G148" s="2">
        <v>1</v>
      </c>
      <c r="H148" s="2">
        <v>0</v>
      </c>
      <c r="I148" s="13">
        <f t="shared" si="3"/>
        <v>28.200000000000003</v>
      </c>
      <c r="J148" s="13">
        <f t="shared" si="4"/>
        <v>31.799999999999997</v>
      </c>
    </row>
    <row r="149" spans="1:10" hidden="1" x14ac:dyDescent="0.25">
      <c r="A149" s="2">
        <v>128</v>
      </c>
      <c r="B149" s="2">
        <v>1</v>
      </c>
      <c r="C149" s="2">
        <v>1</v>
      </c>
      <c r="D149" s="2">
        <v>1</v>
      </c>
      <c r="E149" s="2">
        <v>1</v>
      </c>
      <c r="F149" s="2">
        <v>1</v>
      </c>
      <c r="G149" s="2">
        <v>1</v>
      </c>
      <c r="H149" s="2">
        <v>1</v>
      </c>
      <c r="I149" s="13">
        <f t="shared" si="3"/>
        <v>31.200000000000003</v>
      </c>
      <c r="J149" s="13">
        <f t="shared" si="4"/>
        <v>35.099999999999994</v>
      </c>
    </row>
  </sheetData>
  <autoFilter ref="A21:J149" xr:uid="{3AFB16E5-030A-4FF3-A9EC-131C21E5C6FB}">
    <filterColumn colId="0">
      <filters>
        <filter val="100"/>
        <filter val="23"/>
        <filter val="58"/>
      </filters>
    </filterColumn>
  </autoFilter>
  <phoneticPr fontId="9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3ED0-3CDD-4FFA-AF50-C4DAE5D2AEAC}">
  <dimension ref="A1:I36"/>
  <sheetViews>
    <sheetView tabSelected="1" zoomScale="85" zoomScaleNormal="85" workbookViewId="0">
      <selection activeCell="N27" sqref="N27"/>
    </sheetView>
  </sheetViews>
  <sheetFormatPr defaultRowHeight="15" x14ac:dyDescent="0.25"/>
  <cols>
    <col min="1" max="1" width="28.5703125" style="2" customWidth="1"/>
    <col min="2" max="2" width="13.140625" style="2" customWidth="1"/>
    <col min="3" max="7" width="10.5703125" style="2" bestFit="1" customWidth="1"/>
    <col min="8" max="8" width="12.85546875" style="2" bestFit="1" customWidth="1"/>
    <col min="9" max="9" width="21.42578125" style="2" bestFit="1" customWidth="1"/>
    <col min="10" max="243" width="9.140625" style="2"/>
    <col min="244" max="244" width="26.5703125" style="2" customWidth="1"/>
    <col min="245" max="245" width="13.140625" style="2" customWidth="1"/>
    <col min="246" max="250" width="9.140625" style="2"/>
    <col min="251" max="251" width="10.85546875" style="2" customWidth="1"/>
    <col min="252" max="252" width="23" style="2" bestFit="1" customWidth="1"/>
    <col min="253" max="253" width="10.5703125" style="2" customWidth="1"/>
    <col min="254" max="254" width="10.85546875" style="2" customWidth="1"/>
    <col min="255" max="499" width="9.140625" style="2"/>
    <col min="500" max="500" width="26.5703125" style="2" customWidth="1"/>
    <col min="501" max="501" width="13.140625" style="2" customWidth="1"/>
    <col min="502" max="506" width="9.140625" style="2"/>
    <col min="507" max="507" width="10.85546875" style="2" customWidth="1"/>
    <col min="508" max="508" width="23" style="2" bestFit="1" customWidth="1"/>
    <col min="509" max="509" width="10.5703125" style="2" customWidth="1"/>
    <col min="510" max="510" width="10.85546875" style="2" customWidth="1"/>
    <col min="511" max="755" width="9.140625" style="2"/>
    <col min="756" max="756" width="26.5703125" style="2" customWidth="1"/>
    <col min="757" max="757" width="13.140625" style="2" customWidth="1"/>
    <col min="758" max="762" width="9.140625" style="2"/>
    <col min="763" max="763" width="10.85546875" style="2" customWidth="1"/>
    <col min="764" max="764" width="23" style="2" bestFit="1" customWidth="1"/>
    <col min="765" max="765" width="10.5703125" style="2" customWidth="1"/>
    <col min="766" max="766" width="10.85546875" style="2" customWidth="1"/>
    <col min="767" max="1011" width="9.140625" style="2"/>
    <col min="1012" max="1012" width="26.5703125" style="2" customWidth="1"/>
    <col min="1013" max="1013" width="13.140625" style="2" customWidth="1"/>
    <col min="1014" max="1018" width="9.140625" style="2"/>
    <col min="1019" max="1019" width="10.85546875" style="2" customWidth="1"/>
    <col min="1020" max="1020" width="23" style="2" bestFit="1" customWidth="1"/>
    <col min="1021" max="1021" width="10.5703125" style="2" customWidth="1"/>
    <col min="1022" max="1022" width="10.85546875" style="2" customWidth="1"/>
    <col min="1023" max="1267" width="9.140625" style="2"/>
    <col min="1268" max="1268" width="26.5703125" style="2" customWidth="1"/>
    <col min="1269" max="1269" width="13.140625" style="2" customWidth="1"/>
    <col min="1270" max="1274" width="9.140625" style="2"/>
    <col min="1275" max="1275" width="10.85546875" style="2" customWidth="1"/>
    <col min="1276" max="1276" width="23" style="2" bestFit="1" customWidth="1"/>
    <col min="1277" max="1277" width="10.5703125" style="2" customWidth="1"/>
    <col min="1278" max="1278" width="10.85546875" style="2" customWidth="1"/>
    <col min="1279" max="1523" width="9.140625" style="2"/>
    <col min="1524" max="1524" width="26.5703125" style="2" customWidth="1"/>
    <col min="1525" max="1525" width="13.140625" style="2" customWidth="1"/>
    <col min="1526" max="1530" width="9.140625" style="2"/>
    <col min="1531" max="1531" width="10.85546875" style="2" customWidth="1"/>
    <col min="1532" max="1532" width="23" style="2" bestFit="1" customWidth="1"/>
    <col min="1533" max="1533" width="10.5703125" style="2" customWidth="1"/>
    <col min="1534" max="1534" width="10.85546875" style="2" customWidth="1"/>
    <col min="1535" max="1779" width="9.140625" style="2"/>
    <col min="1780" max="1780" width="26.5703125" style="2" customWidth="1"/>
    <col min="1781" max="1781" width="13.140625" style="2" customWidth="1"/>
    <col min="1782" max="1786" width="9.140625" style="2"/>
    <col min="1787" max="1787" width="10.85546875" style="2" customWidth="1"/>
    <col min="1788" max="1788" width="23" style="2" bestFit="1" customWidth="1"/>
    <col min="1789" max="1789" width="10.5703125" style="2" customWidth="1"/>
    <col min="1790" max="1790" width="10.85546875" style="2" customWidth="1"/>
    <col min="1791" max="2035" width="9.140625" style="2"/>
    <col min="2036" max="2036" width="26.5703125" style="2" customWidth="1"/>
    <col min="2037" max="2037" width="13.140625" style="2" customWidth="1"/>
    <col min="2038" max="2042" width="9.140625" style="2"/>
    <col min="2043" max="2043" width="10.85546875" style="2" customWidth="1"/>
    <col min="2044" max="2044" width="23" style="2" bestFit="1" customWidth="1"/>
    <col min="2045" max="2045" width="10.5703125" style="2" customWidth="1"/>
    <col min="2046" max="2046" width="10.85546875" style="2" customWidth="1"/>
    <col min="2047" max="2291" width="9.140625" style="2"/>
    <col min="2292" max="2292" width="26.5703125" style="2" customWidth="1"/>
    <col min="2293" max="2293" width="13.140625" style="2" customWidth="1"/>
    <col min="2294" max="2298" width="9.140625" style="2"/>
    <col min="2299" max="2299" width="10.85546875" style="2" customWidth="1"/>
    <col min="2300" max="2300" width="23" style="2" bestFit="1" customWidth="1"/>
    <col min="2301" max="2301" width="10.5703125" style="2" customWidth="1"/>
    <col min="2302" max="2302" width="10.85546875" style="2" customWidth="1"/>
    <col min="2303" max="2547" width="9.140625" style="2"/>
    <col min="2548" max="2548" width="26.5703125" style="2" customWidth="1"/>
    <col min="2549" max="2549" width="13.140625" style="2" customWidth="1"/>
    <col min="2550" max="2554" width="9.140625" style="2"/>
    <col min="2555" max="2555" width="10.85546875" style="2" customWidth="1"/>
    <col min="2556" max="2556" width="23" style="2" bestFit="1" customWidth="1"/>
    <col min="2557" max="2557" width="10.5703125" style="2" customWidth="1"/>
    <col min="2558" max="2558" width="10.85546875" style="2" customWidth="1"/>
    <col min="2559" max="2803" width="9.140625" style="2"/>
    <col min="2804" max="2804" width="26.5703125" style="2" customWidth="1"/>
    <col min="2805" max="2805" width="13.140625" style="2" customWidth="1"/>
    <col min="2806" max="2810" width="9.140625" style="2"/>
    <col min="2811" max="2811" width="10.85546875" style="2" customWidth="1"/>
    <col min="2812" max="2812" width="23" style="2" bestFit="1" customWidth="1"/>
    <col min="2813" max="2813" width="10.5703125" style="2" customWidth="1"/>
    <col min="2814" max="2814" width="10.85546875" style="2" customWidth="1"/>
    <col min="2815" max="3059" width="9.140625" style="2"/>
    <col min="3060" max="3060" width="26.5703125" style="2" customWidth="1"/>
    <col min="3061" max="3061" width="13.140625" style="2" customWidth="1"/>
    <col min="3062" max="3066" width="9.140625" style="2"/>
    <col min="3067" max="3067" width="10.85546875" style="2" customWidth="1"/>
    <col min="3068" max="3068" width="23" style="2" bestFit="1" customWidth="1"/>
    <col min="3069" max="3069" width="10.5703125" style="2" customWidth="1"/>
    <col min="3070" max="3070" width="10.85546875" style="2" customWidth="1"/>
    <col min="3071" max="3315" width="9.140625" style="2"/>
    <col min="3316" max="3316" width="26.5703125" style="2" customWidth="1"/>
    <col min="3317" max="3317" width="13.140625" style="2" customWidth="1"/>
    <col min="3318" max="3322" width="9.140625" style="2"/>
    <col min="3323" max="3323" width="10.85546875" style="2" customWidth="1"/>
    <col min="3324" max="3324" width="23" style="2" bestFit="1" customWidth="1"/>
    <col min="3325" max="3325" width="10.5703125" style="2" customWidth="1"/>
    <col min="3326" max="3326" width="10.85546875" style="2" customWidth="1"/>
    <col min="3327" max="3571" width="9.140625" style="2"/>
    <col min="3572" max="3572" width="26.5703125" style="2" customWidth="1"/>
    <col min="3573" max="3573" width="13.140625" style="2" customWidth="1"/>
    <col min="3574" max="3578" width="9.140625" style="2"/>
    <col min="3579" max="3579" width="10.85546875" style="2" customWidth="1"/>
    <col min="3580" max="3580" width="23" style="2" bestFit="1" customWidth="1"/>
    <col min="3581" max="3581" width="10.5703125" style="2" customWidth="1"/>
    <col min="3582" max="3582" width="10.85546875" style="2" customWidth="1"/>
    <col min="3583" max="3827" width="9.140625" style="2"/>
    <col min="3828" max="3828" width="26.5703125" style="2" customWidth="1"/>
    <col min="3829" max="3829" width="13.140625" style="2" customWidth="1"/>
    <col min="3830" max="3834" width="9.140625" style="2"/>
    <col min="3835" max="3835" width="10.85546875" style="2" customWidth="1"/>
    <col min="3836" max="3836" width="23" style="2" bestFit="1" customWidth="1"/>
    <col min="3837" max="3837" width="10.5703125" style="2" customWidth="1"/>
    <col min="3838" max="3838" width="10.85546875" style="2" customWidth="1"/>
    <col min="3839" max="4083" width="9.140625" style="2"/>
    <col min="4084" max="4084" width="26.5703125" style="2" customWidth="1"/>
    <col min="4085" max="4085" width="13.140625" style="2" customWidth="1"/>
    <col min="4086" max="4090" width="9.140625" style="2"/>
    <col min="4091" max="4091" width="10.85546875" style="2" customWidth="1"/>
    <col min="4092" max="4092" width="23" style="2" bestFit="1" customWidth="1"/>
    <col min="4093" max="4093" width="10.5703125" style="2" customWidth="1"/>
    <col min="4094" max="4094" width="10.85546875" style="2" customWidth="1"/>
    <col min="4095" max="4339" width="9.140625" style="2"/>
    <col min="4340" max="4340" width="26.5703125" style="2" customWidth="1"/>
    <col min="4341" max="4341" width="13.140625" style="2" customWidth="1"/>
    <col min="4342" max="4346" width="9.140625" style="2"/>
    <col min="4347" max="4347" width="10.85546875" style="2" customWidth="1"/>
    <col min="4348" max="4348" width="23" style="2" bestFit="1" customWidth="1"/>
    <col min="4349" max="4349" width="10.5703125" style="2" customWidth="1"/>
    <col min="4350" max="4350" width="10.85546875" style="2" customWidth="1"/>
    <col min="4351" max="4595" width="9.140625" style="2"/>
    <col min="4596" max="4596" width="26.5703125" style="2" customWidth="1"/>
    <col min="4597" max="4597" width="13.140625" style="2" customWidth="1"/>
    <col min="4598" max="4602" width="9.140625" style="2"/>
    <col min="4603" max="4603" width="10.85546875" style="2" customWidth="1"/>
    <col min="4604" max="4604" width="23" style="2" bestFit="1" customWidth="1"/>
    <col min="4605" max="4605" width="10.5703125" style="2" customWidth="1"/>
    <col min="4606" max="4606" width="10.85546875" style="2" customWidth="1"/>
    <col min="4607" max="4851" width="9.140625" style="2"/>
    <col min="4852" max="4852" width="26.5703125" style="2" customWidth="1"/>
    <col min="4853" max="4853" width="13.140625" style="2" customWidth="1"/>
    <col min="4854" max="4858" width="9.140625" style="2"/>
    <col min="4859" max="4859" width="10.85546875" style="2" customWidth="1"/>
    <col min="4860" max="4860" width="23" style="2" bestFit="1" customWidth="1"/>
    <col min="4861" max="4861" width="10.5703125" style="2" customWidth="1"/>
    <col min="4862" max="4862" width="10.85546875" style="2" customWidth="1"/>
    <col min="4863" max="5107" width="9.140625" style="2"/>
    <col min="5108" max="5108" width="26.5703125" style="2" customWidth="1"/>
    <col min="5109" max="5109" width="13.140625" style="2" customWidth="1"/>
    <col min="5110" max="5114" width="9.140625" style="2"/>
    <col min="5115" max="5115" width="10.85546875" style="2" customWidth="1"/>
    <col min="5116" max="5116" width="23" style="2" bestFit="1" customWidth="1"/>
    <col min="5117" max="5117" width="10.5703125" style="2" customWidth="1"/>
    <col min="5118" max="5118" width="10.85546875" style="2" customWidth="1"/>
    <col min="5119" max="5363" width="9.140625" style="2"/>
    <col min="5364" max="5364" width="26.5703125" style="2" customWidth="1"/>
    <col min="5365" max="5365" width="13.140625" style="2" customWidth="1"/>
    <col min="5366" max="5370" width="9.140625" style="2"/>
    <col min="5371" max="5371" width="10.85546875" style="2" customWidth="1"/>
    <col min="5372" max="5372" width="23" style="2" bestFit="1" customWidth="1"/>
    <col min="5373" max="5373" width="10.5703125" style="2" customWidth="1"/>
    <col min="5374" max="5374" width="10.85546875" style="2" customWidth="1"/>
    <col min="5375" max="5619" width="9.140625" style="2"/>
    <col min="5620" max="5620" width="26.5703125" style="2" customWidth="1"/>
    <col min="5621" max="5621" width="13.140625" style="2" customWidth="1"/>
    <col min="5622" max="5626" width="9.140625" style="2"/>
    <col min="5627" max="5627" width="10.85546875" style="2" customWidth="1"/>
    <col min="5628" max="5628" width="23" style="2" bestFit="1" customWidth="1"/>
    <col min="5629" max="5629" width="10.5703125" style="2" customWidth="1"/>
    <col min="5630" max="5630" width="10.85546875" style="2" customWidth="1"/>
    <col min="5631" max="5875" width="9.140625" style="2"/>
    <col min="5876" max="5876" width="26.5703125" style="2" customWidth="1"/>
    <col min="5877" max="5877" width="13.140625" style="2" customWidth="1"/>
    <col min="5878" max="5882" width="9.140625" style="2"/>
    <col min="5883" max="5883" width="10.85546875" style="2" customWidth="1"/>
    <col min="5884" max="5884" width="23" style="2" bestFit="1" customWidth="1"/>
    <col min="5885" max="5885" width="10.5703125" style="2" customWidth="1"/>
    <col min="5886" max="5886" width="10.85546875" style="2" customWidth="1"/>
    <col min="5887" max="6131" width="9.140625" style="2"/>
    <col min="6132" max="6132" width="26.5703125" style="2" customWidth="1"/>
    <col min="6133" max="6133" width="13.140625" style="2" customWidth="1"/>
    <col min="6134" max="6138" width="9.140625" style="2"/>
    <col min="6139" max="6139" width="10.85546875" style="2" customWidth="1"/>
    <col min="6140" max="6140" width="23" style="2" bestFit="1" customWidth="1"/>
    <col min="6141" max="6141" width="10.5703125" style="2" customWidth="1"/>
    <col min="6142" max="6142" width="10.85546875" style="2" customWidth="1"/>
    <col min="6143" max="6387" width="9.140625" style="2"/>
    <col min="6388" max="6388" width="26.5703125" style="2" customWidth="1"/>
    <col min="6389" max="6389" width="13.140625" style="2" customWidth="1"/>
    <col min="6390" max="6394" width="9.140625" style="2"/>
    <col min="6395" max="6395" width="10.85546875" style="2" customWidth="1"/>
    <col min="6396" max="6396" width="23" style="2" bestFit="1" customWidth="1"/>
    <col min="6397" max="6397" width="10.5703125" style="2" customWidth="1"/>
    <col min="6398" max="6398" width="10.85546875" style="2" customWidth="1"/>
    <col min="6399" max="6643" width="9.140625" style="2"/>
    <col min="6644" max="6644" width="26.5703125" style="2" customWidth="1"/>
    <col min="6645" max="6645" width="13.140625" style="2" customWidth="1"/>
    <col min="6646" max="6650" width="9.140625" style="2"/>
    <col min="6651" max="6651" width="10.85546875" style="2" customWidth="1"/>
    <col min="6652" max="6652" width="23" style="2" bestFit="1" customWidth="1"/>
    <col min="6653" max="6653" width="10.5703125" style="2" customWidth="1"/>
    <col min="6654" max="6654" width="10.85546875" style="2" customWidth="1"/>
    <col min="6655" max="6899" width="9.140625" style="2"/>
    <col min="6900" max="6900" width="26.5703125" style="2" customWidth="1"/>
    <col min="6901" max="6901" width="13.140625" style="2" customWidth="1"/>
    <col min="6902" max="6906" width="9.140625" style="2"/>
    <col min="6907" max="6907" width="10.85546875" style="2" customWidth="1"/>
    <col min="6908" max="6908" width="23" style="2" bestFit="1" customWidth="1"/>
    <col min="6909" max="6909" width="10.5703125" style="2" customWidth="1"/>
    <col min="6910" max="6910" width="10.85546875" style="2" customWidth="1"/>
    <col min="6911" max="7155" width="9.140625" style="2"/>
    <col min="7156" max="7156" width="26.5703125" style="2" customWidth="1"/>
    <col min="7157" max="7157" width="13.140625" style="2" customWidth="1"/>
    <col min="7158" max="7162" width="9.140625" style="2"/>
    <col min="7163" max="7163" width="10.85546875" style="2" customWidth="1"/>
    <col min="7164" max="7164" width="23" style="2" bestFit="1" customWidth="1"/>
    <col min="7165" max="7165" width="10.5703125" style="2" customWidth="1"/>
    <col min="7166" max="7166" width="10.85546875" style="2" customWidth="1"/>
    <col min="7167" max="7411" width="9.140625" style="2"/>
    <col min="7412" max="7412" width="26.5703125" style="2" customWidth="1"/>
    <col min="7413" max="7413" width="13.140625" style="2" customWidth="1"/>
    <col min="7414" max="7418" width="9.140625" style="2"/>
    <col min="7419" max="7419" width="10.85546875" style="2" customWidth="1"/>
    <col min="7420" max="7420" width="23" style="2" bestFit="1" customWidth="1"/>
    <col min="7421" max="7421" width="10.5703125" style="2" customWidth="1"/>
    <col min="7422" max="7422" width="10.85546875" style="2" customWidth="1"/>
    <col min="7423" max="7667" width="9.140625" style="2"/>
    <col min="7668" max="7668" width="26.5703125" style="2" customWidth="1"/>
    <col min="7669" max="7669" width="13.140625" style="2" customWidth="1"/>
    <col min="7670" max="7674" width="9.140625" style="2"/>
    <col min="7675" max="7675" width="10.85546875" style="2" customWidth="1"/>
    <col min="7676" max="7676" width="23" style="2" bestFit="1" customWidth="1"/>
    <col min="7677" max="7677" width="10.5703125" style="2" customWidth="1"/>
    <col min="7678" max="7678" width="10.85546875" style="2" customWidth="1"/>
    <col min="7679" max="7923" width="9.140625" style="2"/>
    <col min="7924" max="7924" width="26.5703125" style="2" customWidth="1"/>
    <col min="7925" max="7925" width="13.140625" style="2" customWidth="1"/>
    <col min="7926" max="7930" width="9.140625" style="2"/>
    <col min="7931" max="7931" width="10.85546875" style="2" customWidth="1"/>
    <col min="7932" max="7932" width="23" style="2" bestFit="1" customWidth="1"/>
    <col min="7933" max="7933" width="10.5703125" style="2" customWidth="1"/>
    <col min="7934" max="7934" width="10.85546875" style="2" customWidth="1"/>
    <col min="7935" max="8179" width="9.140625" style="2"/>
    <col min="8180" max="8180" width="26.5703125" style="2" customWidth="1"/>
    <col min="8181" max="8181" width="13.140625" style="2" customWidth="1"/>
    <col min="8182" max="8186" width="9.140625" style="2"/>
    <col min="8187" max="8187" width="10.85546875" style="2" customWidth="1"/>
    <col min="8188" max="8188" width="23" style="2" bestFit="1" customWidth="1"/>
    <col min="8189" max="8189" width="10.5703125" style="2" customWidth="1"/>
    <col min="8190" max="8190" width="10.85546875" style="2" customWidth="1"/>
    <col min="8191" max="8435" width="9.140625" style="2"/>
    <col min="8436" max="8436" width="26.5703125" style="2" customWidth="1"/>
    <col min="8437" max="8437" width="13.140625" style="2" customWidth="1"/>
    <col min="8438" max="8442" width="9.140625" style="2"/>
    <col min="8443" max="8443" width="10.85546875" style="2" customWidth="1"/>
    <col min="8444" max="8444" width="23" style="2" bestFit="1" customWidth="1"/>
    <col min="8445" max="8445" width="10.5703125" style="2" customWidth="1"/>
    <col min="8446" max="8446" width="10.85546875" style="2" customWidth="1"/>
    <col min="8447" max="8691" width="9.140625" style="2"/>
    <col min="8692" max="8692" width="26.5703125" style="2" customWidth="1"/>
    <col min="8693" max="8693" width="13.140625" style="2" customWidth="1"/>
    <col min="8694" max="8698" width="9.140625" style="2"/>
    <col min="8699" max="8699" width="10.85546875" style="2" customWidth="1"/>
    <col min="8700" max="8700" width="23" style="2" bestFit="1" customWidth="1"/>
    <col min="8701" max="8701" width="10.5703125" style="2" customWidth="1"/>
    <col min="8702" max="8702" width="10.85546875" style="2" customWidth="1"/>
    <col min="8703" max="8947" width="9.140625" style="2"/>
    <col min="8948" max="8948" width="26.5703125" style="2" customWidth="1"/>
    <col min="8949" max="8949" width="13.140625" style="2" customWidth="1"/>
    <col min="8950" max="8954" width="9.140625" style="2"/>
    <col min="8955" max="8955" width="10.85546875" style="2" customWidth="1"/>
    <col min="8956" max="8956" width="23" style="2" bestFit="1" customWidth="1"/>
    <col min="8957" max="8957" width="10.5703125" style="2" customWidth="1"/>
    <col min="8958" max="8958" width="10.85546875" style="2" customWidth="1"/>
    <col min="8959" max="9203" width="9.140625" style="2"/>
    <col min="9204" max="9204" width="26.5703125" style="2" customWidth="1"/>
    <col min="9205" max="9205" width="13.140625" style="2" customWidth="1"/>
    <col min="9206" max="9210" width="9.140625" style="2"/>
    <col min="9211" max="9211" width="10.85546875" style="2" customWidth="1"/>
    <col min="9212" max="9212" width="23" style="2" bestFit="1" customWidth="1"/>
    <col min="9213" max="9213" width="10.5703125" style="2" customWidth="1"/>
    <col min="9214" max="9214" width="10.85546875" style="2" customWidth="1"/>
    <col min="9215" max="9459" width="9.140625" style="2"/>
    <col min="9460" max="9460" width="26.5703125" style="2" customWidth="1"/>
    <col min="9461" max="9461" width="13.140625" style="2" customWidth="1"/>
    <col min="9462" max="9466" width="9.140625" style="2"/>
    <col min="9467" max="9467" width="10.85546875" style="2" customWidth="1"/>
    <col min="9468" max="9468" width="23" style="2" bestFit="1" customWidth="1"/>
    <col min="9469" max="9469" width="10.5703125" style="2" customWidth="1"/>
    <col min="9470" max="9470" width="10.85546875" style="2" customWidth="1"/>
    <col min="9471" max="9715" width="9.140625" style="2"/>
    <col min="9716" max="9716" width="26.5703125" style="2" customWidth="1"/>
    <col min="9717" max="9717" width="13.140625" style="2" customWidth="1"/>
    <col min="9718" max="9722" width="9.140625" style="2"/>
    <col min="9723" max="9723" width="10.85546875" style="2" customWidth="1"/>
    <col min="9724" max="9724" width="23" style="2" bestFit="1" customWidth="1"/>
    <col min="9725" max="9725" width="10.5703125" style="2" customWidth="1"/>
    <col min="9726" max="9726" width="10.85546875" style="2" customWidth="1"/>
    <col min="9727" max="9971" width="9.140625" style="2"/>
    <col min="9972" max="9972" width="26.5703125" style="2" customWidth="1"/>
    <col min="9973" max="9973" width="13.140625" style="2" customWidth="1"/>
    <col min="9974" max="9978" width="9.140625" style="2"/>
    <col min="9979" max="9979" width="10.85546875" style="2" customWidth="1"/>
    <col min="9980" max="9980" width="23" style="2" bestFit="1" customWidth="1"/>
    <col min="9981" max="9981" width="10.5703125" style="2" customWidth="1"/>
    <col min="9982" max="9982" width="10.85546875" style="2" customWidth="1"/>
    <col min="9983" max="10227" width="9.140625" style="2"/>
    <col min="10228" max="10228" width="26.5703125" style="2" customWidth="1"/>
    <col min="10229" max="10229" width="13.140625" style="2" customWidth="1"/>
    <col min="10230" max="10234" width="9.140625" style="2"/>
    <col min="10235" max="10235" width="10.85546875" style="2" customWidth="1"/>
    <col min="10236" max="10236" width="23" style="2" bestFit="1" customWidth="1"/>
    <col min="10237" max="10237" width="10.5703125" style="2" customWidth="1"/>
    <col min="10238" max="10238" width="10.85546875" style="2" customWidth="1"/>
    <col min="10239" max="10483" width="9.140625" style="2"/>
    <col min="10484" max="10484" width="26.5703125" style="2" customWidth="1"/>
    <col min="10485" max="10485" width="13.140625" style="2" customWidth="1"/>
    <col min="10486" max="10490" width="9.140625" style="2"/>
    <col min="10491" max="10491" width="10.85546875" style="2" customWidth="1"/>
    <col min="10492" max="10492" width="23" style="2" bestFit="1" customWidth="1"/>
    <col min="10493" max="10493" width="10.5703125" style="2" customWidth="1"/>
    <col min="10494" max="10494" width="10.85546875" style="2" customWidth="1"/>
    <col min="10495" max="10739" width="9.140625" style="2"/>
    <col min="10740" max="10740" width="26.5703125" style="2" customWidth="1"/>
    <col min="10741" max="10741" width="13.140625" style="2" customWidth="1"/>
    <col min="10742" max="10746" width="9.140625" style="2"/>
    <col min="10747" max="10747" width="10.85546875" style="2" customWidth="1"/>
    <col min="10748" max="10748" width="23" style="2" bestFit="1" customWidth="1"/>
    <col min="10749" max="10749" width="10.5703125" style="2" customWidth="1"/>
    <col min="10750" max="10750" width="10.85546875" style="2" customWidth="1"/>
    <col min="10751" max="10995" width="9.140625" style="2"/>
    <col min="10996" max="10996" width="26.5703125" style="2" customWidth="1"/>
    <col min="10997" max="10997" width="13.140625" style="2" customWidth="1"/>
    <col min="10998" max="11002" width="9.140625" style="2"/>
    <col min="11003" max="11003" width="10.85546875" style="2" customWidth="1"/>
    <col min="11004" max="11004" width="23" style="2" bestFit="1" customWidth="1"/>
    <col min="11005" max="11005" width="10.5703125" style="2" customWidth="1"/>
    <col min="11006" max="11006" width="10.85546875" style="2" customWidth="1"/>
    <col min="11007" max="11251" width="9.140625" style="2"/>
    <col min="11252" max="11252" width="26.5703125" style="2" customWidth="1"/>
    <col min="11253" max="11253" width="13.140625" style="2" customWidth="1"/>
    <col min="11254" max="11258" width="9.140625" style="2"/>
    <col min="11259" max="11259" width="10.85546875" style="2" customWidth="1"/>
    <col min="11260" max="11260" width="23" style="2" bestFit="1" customWidth="1"/>
    <col min="11261" max="11261" width="10.5703125" style="2" customWidth="1"/>
    <col min="11262" max="11262" width="10.85546875" style="2" customWidth="1"/>
    <col min="11263" max="11507" width="9.140625" style="2"/>
    <col min="11508" max="11508" width="26.5703125" style="2" customWidth="1"/>
    <col min="11509" max="11509" width="13.140625" style="2" customWidth="1"/>
    <col min="11510" max="11514" width="9.140625" style="2"/>
    <col min="11515" max="11515" width="10.85546875" style="2" customWidth="1"/>
    <col min="11516" max="11516" width="23" style="2" bestFit="1" customWidth="1"/>
    <col min="11517" max="11517" width="10.5703125" style="2" customWidth="1"/>
    <col min="11518" max="11518" width="10.85546875" style="2" customWidth="1"/>
    <col min="11519" max="11763" width="9.140625" style="2"/>
    <col min="11764" max="11764" width="26.5703125" style="2" customWidth="1"/>
    <col min="11765" max="11765" width="13.140625" style="2" customWidth="1"/>
    <col min="11766" max="11770" width="9.140625" style="2"/>
    <col min="11771" max="11771" width="10.85546875" style="2" customWidth="1"/>
    <col min="11772" max="11772" width="23" style="2" bestFit="1" customWidth="1"/>
    <col min="11773" max="11773" width="10.5703125" style="2" customWidth="1"/>
    <col min="11774" max="11774" width="10.85546875" style="2" customWidth="1"/>
    <col min="11775" max="12019" width="9.140625" style="2"/>
    <col min="12020" max="12020" width="26.5703125" style="2" customWidth="1"/>
    <col min="12021" max="12021" width="13.140625" style="2" customWidth="1"/>
    <col min="12022" max="12026" width="9.140625" style="2"/>
    <col min="12027" max="12027" width="10.85546875" style="2" customWidth="1"/>
    <col min="12028" max="12028" width="23" style="2" bestFit="1" customWidth="1"/>
    <col min="12029" max="12029" width="10.5703125" style="2" customWidth="1"/>
    <col min="12030" max="12030" width="10.85546875" style="2" customWidth="1"/>
    <col min="12031" max="12275" width="9.140625" style="2"/>
    <col min="12276" max="12276" width="26.5703125" style="2" customWidth="1"/>
    <col min="12277" max="12277" width="13.140625" style="2" customWidth="1"/>
    <col min="12278" max="12282" width="9.140625" style="2"/>
    <col min="12283" max="12283" width="10.85546875" style="2" customWidth="1"/>
    <col min="12284" max="12284" width="23" style="2" bestFit="1" customWidth="1"/>
    <col min="12285" max="12285" width="10.5703125" style="2" customWidth="1"/>
    <col min="12286" max="12286" width="10.85546875" style="2" customWidth="1"/>
    <col min="12287" max="12531" width="9.140625" style="2"/>
    <col min="12532" max="12532" width="26.5703125" style="2" customWidth="1"/>
    <col min="12533" max="12533" width="13.140625" style="2" customWidth="1"/>
    <col min="12534" max="12538" width="9.140625" style="2"/>
    <col min="12539" max="12539" width="10.85546875" style="2" customWidth="1"/>
    <col min="12540" max="12540" width="23" style="2" bestFit="1" customWidth="1"/>
    <col min="12541" max="12541" width="10.5703125" style="2" customWidth="1"/>
    <col min="12542" max="12542" width="10.85546875" style="2" customWidth="1"/>
    <col min="12543" max="12787" width="9.140625" style="2"/>
    <col min="12788" max="12788" width="26.5703125" style="2" customWidth="1"/>
    <col min="12789" max="12789" width="13.140625" style="2" customWidth="1"/>
    <col min="12790" max="12794" width="9.140625" style="2"/>
    <col min="12795" max="12795" width="10.85546875" style="2" customWidth="1"/>
    <col min="12796" max="12796" width="23" style="2" bestFit="1" customWidth="1"/>
    <col min="12797" max="12797" width="10.5703125" style="2" customWidth="1"/>
    <col min="12798" max="12798" width="10.85546875" style="2" customWidth="1"/>
    <col min="12799" max="13043" width="9.140625" style="2"/>
    <col min="13044" max="13044" width="26.5703125" style="2" customWidth="1"/>
    <col min="13045" max="13045" width="13.140625" style="2" customWidth="1"/>
    <col min="13046" max="13050" width="9.140625" style="2"/>
    <col min="13051" max="13051" width="10.85546875" style="2" customWidth="1"/>
    <col min="13052" max="13052" width="23" style="2" bestFit="1" customWidth="1"/>
    <col min="13053" max="13053" width="10.5703125" style="2" customWidth="1"/>
    <col min="13054" max="13054" width="10.85546875" style="2" customWidth="1"/>
    <col min="13055" max="13299" width="9.140625" style="2"/>
    <col min="13300" max="13300" width="26.5703125" style="2" customWidth="1"/>
    <col min="13301" max="13301" width="13.140625" style="2" customWidth="1"/>
    <col min="13302" max="13306" width="9.140625" style="2"/>
    <col min="13307" max="13307" width="10.85546875" style="2" customWidth="1"/>
    <col min="13308" max="13308" width="23" style="2" bestFit="1" customWidth="1"/>
    <col min="13309" max="13309" width="10.5703125" style="2" customWidth="1"/>
    <col min="13310" max="13310" width="10.85546875" style="2" customWidth="1"/>
    <col min="13311" max="13555" width="9.140625" style="2"/>
    <col min="13556" max="13556" width="26.5703125" style="2" customWidth="1"/>
    <col min="13557" max="13557" width="13.140625" style="2" customWidth="1"/>
    <col min="13558" max="13562" width="9.140625" style="2"/>
    <col min="13563" max="13563" width="10.85546875" style="2" customWidth="1"/>
    <col min="13564" max="13564" width="23" style="2" bestFit="1" customWidth="1"/>
    <col min="13565" max="13565" width="10.5703125" style="2" customWidth="1"/>
    <col min="13566" max="13566" width="10.85546875" style="2" customWidth="1"/>
    <col min="13567" max="13811" width="9.140625" style="2"/>
    <col min="13812" max="13812" width="26.5703125" style="2" customWidth="1"/>
    <col min="13813" max="13813" width="13.140625" style="2" customWidth="1"/>
    <col min="13814" max="13818" width="9.140625" style="2"/>
    <col min="13819" max="13819" width="10.85546875" style="2" customWidth="1"/>
    <col min="13820" max="13820" width="23" style="2" bestFit="1" customWidth="1"/>
    <col min="13821" max="13821" width="10.5703125" style="2" customWidth="1"/>
    <col min="13822" max="13822" width="10.85546875" style="2" customWidth="1"/>
    <col min="13823" max="14067" width="9.140625" style="2"/>
    <col min="14068" max="14068" width="26.5703125" style="2" customWidth="1"/>
    <col min="14069" max="14069" width="13.140625" style="2" customWidth="1"/>
    <col min="14070" max="14074" width="9.140625" style="2"/>
    <col min="14075" max="14075" width="10.85546875" style="2" customWidth="1"/>
    <col min="14076" max="14076" width="23" style="2" bestFit="1" customWidth="1"/>
    <col min="14077" max="14077" width="10.5703125" style="2" customWidth="1"/>
    <col min="14078" max="14078" width="10.85546875" style="2" customWidth="1"/>
    <col min="14079" max="14323" width="9.140625" style="2"/>
    <col min="14324" max="14324" width="26.5703125" style="2" customWidth="1"/>
    <col min="14325" max="14325" width="13.140625" style="2" customWidth="1"/>
    <col min="14326" max="14330" width="9.140625" style="2"/>
    <col min="14331" max="14331" width="10.85546875" style="2" customWidth="1"/>
    <col min="14332" max="14332" width="23" style="2" bestFit="1" customWidth="1"/>
    <col min="14333" max="14333" width="10.5703125" style="2" customWidth="1"/>
    <col min="14334" max="14334" width="10.85546875" style="2" customWidth="1"/>
    <col min="14335" max="14579" width="9.140625" style="2"/>
    <col min="14580" max="14580" width="26.5703125" style="2" customWidth="1"/>
    <col min="14581" max="14581" width="13.140625" style="2" customWidth="1"/>
    <col min="14582" max="14586" width="9.140625" style="2"/>
    <col min="14587" max="14587" width="10.85546875" style="2" customWidth="1"/>
    <col min="14588" max="14588" width="23" style="2" bestFit="1" customWidth="1"/>
    <col min="14589" max="14589" width="10.5703125" style="2" customWidth="1"/>
    <col min="14590" max="14590" width="10.85546875" style="2" customWidth="1"/>
    <col min="14591" max="14835" width="9.140625" style="2"/>
    <col min="14836" max="14836" width="26.5703125" style="2" customWidth="1"/>
    <col min="14837" max="14837" width="13.140625" style="2" customWidth="1"/>
    <col min="14838" max="14842" width="9.140625" style="2"/>
    <col min="14843" max="14843" width="10.85546875" style="2" customWidth="1"/>
    <col min="14844" max="14844" width="23" style="2" bestFit="1" customWidth="1"/>
    <col min="14845" max="14845" width="10.5703125" style="2" customWidth="1"/>
    <col min="14846" max="14846" width="10.85546875" style="2" customWidth="1"/>
    <col min="14847" max="15091" width="9.140625" style="2"/>
    <col min="15092" max="15092" width="26.5703125" style="2" customWidth="1"/>
    <col min="15093" max="15093" width="13.140625" style="2" customWidth="1"/>
    <col min="15094" max="15098" width="9.140625" style="2"/>
    <col min="15099" max="15099" width="10.85546875" style="2" customWidth="1"/>
    <col min="15100" max="15100" width="23" style="2" bestFit="1" customWidth="1"/>
    <col min="15101" max="15101" width="10.5703125" style="2" customWidth="1"/>
    <col min="15102" max="15102" width="10.85546875" style="2" customWidth="1"/>
    <col min="15103" max="15347" width="9.140625" style="2"/>
    <col min="15348" max="15348" width="26.5703125" style="2" customWidth="1"/>
    <col min="15349" max="15349" width="13.140625" style="2" customWidth="1"/>
    <col min="15350" max="15354" width="9.140625" style="2"/>
    <col min="15355" max="15355" width="10.85546875" style="2" customWidth="1"/>
    <col min="15356" max="15356" width="23" style="2" bestFit="1" customWidth="1"/>
    <col min="15357" max="15357" width="10.5703125" style="2" customWidth="1"/>
    <col min="15358" max="15358" width="10.85546875" style="2" customWidth="1"/>
    <col min="15359" max="15603" width="9.140625" style="2"/>
    <col min="15604" max="15604" width="26.5703125" style="2" customWidth="1"/>
    <col min="15605" max="15605" width="13.140625" style="2" customWidth="1"/>
    <col min="15606" max="15610" width="9.140625" style="2"/>
    <col min="15611" max="15611" width="10.85546875" style="2" customWidth="1"/>
    <col min="15612" max="15612" width="23" style="2" bestFit="1" customWidth="1"/>
    <col min="15613" max="15613" width="10.5703125" style="2" customWidth="1"/>
    <col min="15614" max="15614" width="10.85546875" style="2" customWidth="1"/>
    <col min="15615" max="15859" width="9.140625" style="2"/>
    <col min="15860" max="15860" width="26.5703125" style="2" customWidth="1"/>
    <col min="15861" max="15861" width="13.140625" style="2" customWidth="1"/>
    <col min="15862" max="15866" width="9.140625" style="2"/>
    <col min="15867" max="15867" width="10.85546875" style="2" customWidth="1"/>
    <col min="15868" max="15868" width="23" style="2" bestFit="1" customWidth="1"/>
    <col min="15869" max="15869" width="10.5703125" style="2" customWidth="1"/>
    <col min="15870" max="15870" width="10.85546875" style="2" customWidth="1"/>
    <col min="15871" max="16115" width="9.140625" style="2"/>
    <col min="16116" max="16116" width="26.5703125" style="2" customWidth="1"/>
    <col min="16117" max="16117" width="13.140625" style="2" customWidth="1"/>
    <col min="16118" max="16122" width="9.140625" style="2"/>
    <col min="16123" max="16123" width="10.85546875" style="2" customWidth="1"/>
    <col min="16124" max="16124" width="23" style="2" bestFit="1" customWidth="1"/>
    <col min="16125" max="16125" width="10.5703125" style="2" customWidth="1"/>
    <col min="16126" max="16126" width="10.85546875" style="2" customWidth="1"/>
    <col min="16127" max="16384" width="9.140625" style="2"/>
  </cols>
  <sheetData>
    <row r="1" spans="1:8" x14ac:dyDescent="0.25">
      <c r="A1" s="30" t="s">
        <v>46</v>
      </c>
    </row>
    <row r="3" spans="1:8" x14ac:dyDescent="0.25">
      <c r="A3" s="30" t="s">
        <v>47</v>
      </c>
      <c r="E3" s="31"/>
    </row>
    <row r="4" spans="1:8" x14ac:dyDescent="0.25">
      <c r="A4" s="2" t="s">
        <v>48</v>
      </c>
      <c r="B4" s="6">
        <v>5000</v>
      </c>
    </row>
    <row r="5" spans="1:8" x14ac:dyDescent="0.25">
      <c r="A5" s="2" t="s">
        <v>49</v>
      </c>
      <c r="B5" s="32">
        <v>0.05</v>
      </c>
    </row>
    <row r="6" spans="1:8" x14ac:dyDescent="0.25">
      <c r="A6" s="2" t="s">
        <v>67</v>
      </c>
      <c r="B6" s="41">
        <v>15000</v>
      </c>
    </row>
    <row r="7" spans="1:8" x14ac:dyDescent="0.25">
      <c r="A7" s="2" t="s">
        <v>69</v>
      </c>
      <c r="B7" s="44">
        <f>SUM(B25:G25)</f>
        <v>125000</v>
      </c>
    </row>
    <row r="9" spans="1:8" x14ac:dyDescent="0.25">
      <c r="A9" s="2" t="s">
        <v>50</v>
      </c>
      <c r="B9" s="33">
        <v>1</v>
      </c>
      <c r="C9" s="33">
        <v>2</v>
      </c>
      <c r="D9" s="33">
        <v>3</v>
      </c>
      <c r="E9" s="33">
        <v>4</v>
      </c>
      <c r="F9" s="33">
        <v>5</v>
      </c>
      <c r="G9" s="33">
        <v>6</v>
      </c>
      <c r="H9" s="34"/>
    </row>
    <row r="10" spans="1:8" x14ac:dyDescent="0.25">
      <c r="A10" s="35" t="s">
        <v>51</v>
      </c>
      <c r="B10" s="36">
        <v>12.5</v>
      </c>
      <c r="C10" s="36">
        <v>12.55</v>
      </c>
      <c r="D10" s="36">
        <v>12.7</v>
      </c>
      <c r="E10" s="36">
        <v>12.8</v>
      </c>
      <c r="F10" s="36">
        <v>12.85</v>
      </c>
      <c r="G10" s="36">
        <v>12.95</v>
      </c>
      <c r="H10" s="34"/>
    </row>
    <row r="11" spans="1:8" x14ac:dyDescent="0.25">
      <c r="A11" s="35" t="s">
        <v>52</v>
      </c>
      <c r="B11" s="37">
        <f>B10*0.05</f>
        <v>0.625</v>
      </c>
      <c r="C11" s="37">
        <f t="shared" ref="C11:G11" si="0">C10*0.05</f>
        <v>0.62750000000000006</v>
      </c>
      <c r="D11" s="37">
        <f t="shared" si="0"/>
        <v>0.63500000000000001</v>
      </c>
      <c r="E11" s="37">
        <f t="shared" si="0"/>
        <v>0.64000000000000012</v>
      </c>
      <c r="F11" s="37">
        <f t="shared" si="0"/>
        <v>0.64250000000000007</v>
      </c>
      <c r="G11" s="37">
        <f t="shared" si="0"/>
        <v>0.64749999999999996</v>
      </c>
    </row>
    <row r="12" spans="1:8" x14ac:dyDescent="0.25">
      <c r="A12" s="2" t="s">
        <v>70</v>
      </c>
      <c r="B12" s="45">
        <f>$B$6</f>
        <v>15000</v>
      </c>
      <c r="C12" s="45">
        <f t="shared" ref="C12:F12" si="1">$B$6</f>
        <v>15000</v>
      </c>
      <c r="D12" s="45">
        <f t="shared" si="1"/>
        <v>15000</v>
      </c>
      <c r="E12" s="45">
        <f t="shared" si="1"/>
        <v>15000</v>
      </c>
      <c r="F12" s="45">
        <f t="shared" si="1"/>
        <v>15000</v>
      </c>
      <c r="G12" s="45">
        <f>$B$6</f>
        <v>15000</v>
      </c>
    </row>
    <row r="13" spans="1:8" x14ac:dyDescent="0.25">
      <c r="B13" s="33"/>
      <c r="C13" s="33"/>
      <c r="D13" s="33"/>
      <c r="E13" s="33"/>
      <c r="F13" s="33"/>
      <c r="G13" s="33"/>
    </row>
    <row r="14" spans="1:8" x14ac:dyDescent="0.25">
      <c r="A14" s="4" t="s">
        <v>53</v>
      </c>
    </row>
    <row r="15" spans="1:8" x14ac:dyDescent="0.25">
      <c r="A15" s="2" t="s">
        <v>50</v>
      </c>
      <c r="B15" s="33">
        <v>1</v>
      </c>
      <c r="C15" s="33">
        <v>2</v>
      </c>
      <c r="D15" s="33">
        <v>3</v>
      </c>
      <c r="E15" s="33">
        <v>4</v>
      </c>
      <c r="F15" s="33">
        <v>5</v>
      </c>
      <c r="G15" s="33">
        <v>6</v>
      </c>
    </row>
    <row r="16" spans="1:8" x14ac:dyDescent="0.25">
      <c r="A16" s="2" t="s">
        <v>68</v>
      </c>
      <c r="B16" s="43">
        <v>1</v>
      </c>
      <c r="C16" s="43">
        <v>0</v>
      </c>
      <c r="D16" s="43">
        <v>1</v>
      </c>
      <c r="E16" s="43">
        <v>1</v>
      </c>
      <c r="F16" s="43">
        <v>1</v>
      </c>
      <c r="G16" s="43">
        <v>0</v>
      </c>
    </row>
    <row r="17" spans="1:9" x14ac:dyDescent="0.25">
      <c r="A17" s="2" t="s">
        <v>16</v>
      </c>
      <c r="B17" s="19">
        <v>20000</v>
      </c>
      <c r="C17" s="19">
        <v>0</v>
      </c>
      <c r="D17" s="19">
        <v>30000</v>
      </c>
      <c r="E17" s="19">
        <v>35000</v>
      </c>
      <c r="F17" s="19">
        <v>35000</v>
      </c>
      <c r="G17" s="19">
        <v>0</v>
      </c>
    </row>
    <row r="18" spans="1:9" x14ac:dyDescent="0.25"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</row>
    <row r="19" spans="1:9" x14ac:dyDescent="0.25">
      <c r="A19" s="2" t="s">
        <v>73</v>
      </c>
      <c r="B19" s="20">
        <f>B16 * $B$7</f>
        <v>125000</v>
      </c>
      <c r="C19" s="20">
        <f t="shared" ref="C19:G19" si="2">C16 * $B$7</f>
        <v>0</v>
      </c>
      <c r="D19" s="20">
        <f t="shared" si="2"/>
        <v>125000</v>
      </c>
      <c r="E19" s="20">
        <f t="shared" si="2"/>
        <v>125000</v>
      </c>
      <c r="F19" s="20">
        <f t="shared" si="2"/>
        <v>125000</v>
      </c>
      <c r="G19" s="20">
        <f t="shared" si="2"/>
        <v>0</v>
      </c>
    </row>
    <row r="20" spans="1:9" x14ac:dyDescent="0.25">
      <c r="A20" s="38"/>
      <c r="B20" s="40" t="s">
        <v>17</v>
      </c>
      <c r="C20" s="40" t="s">
        <v>17</v>
      </c>
      <c r="D20" s="40" t="s">
        <v>17</v>
      </c>
      <c r="E20" s="40" t="s">
        <v>17</v>
      </c>
      <c r="F20" s="40" t="s">
        <v>17</v>
      </c>
      <c r="G20" s="40" t="s">
        <v>17</v>
      </c>
    </row>
    <row r="21" spans="1:9" x14ac:dyDescent="0.25">
      <c r="A21" s="38" t="s">
        <v>54</v>
      </c>
      <c r="B21" s="38">
        <v>30000</v>
      </c>
      <c r="C21" s="38">
        <v>30000</v>
      </c>
      <c r="D21" s="38">
        <v>30000</v>
      </c>
      <c r="E21" s="38">
        <v>30000</v>
      </c>
      <c r="F21" s="38">
        <v>30000</v>
      </c>
      <c r="G21" s="38">
        <v>30000</v>
      </c>
      <c r="I21" s="2" t="s">
        <v>55</v>
      </c>
    </row>
    <row r="22" spans="1:9" x14ac:dyDescent="0.25">
      <c r="H22" s="2" t="s">
        <v>71</v>
      </c>
    </row>
    <row r="23" spans="1:9" x14ac:dyDescent="0.25">
      <c r="A23" s="25" t="s">
        <v>56</v>
      </c>
    </row>
    <row r="24" spans="1:9" x14ac:dyDescent="0.25">
      <c r="B24" s="5"/>
      <c r="C24" s="5"/>
      <c r="D24" s="5"/>
      <c r="E24" s="5"/>
      <c r="F24" s="5"/>
      <c r="G24" s="5"/>
    </row>
    <row r="25" spans="1:9" x14ac:dyDescent="0.25">
      <c r="A25" s="2" t="s">
        <v>57</v>
      </c>
      <c r="B25" s="6">
        <v>10000</v>
      </c>
      <c r="C25" s="6">
        <v>15000</v>
      </c>
      <c r="D25" s="6">
        <v>30000</v>
      </c>
      <c r="E25" s="6">
        <v>35000</v>
      </c>
      <c r="F25" s="6">
        <v>25000</v>
      </c>
      <c r="G25" s="6">
        <v>10000</v>
      </c>
      <c r="H25" s="2">
        <f>SUM(B25:G25)</f>
        <v>125000</v>
      </c>
    </row>
    <row r="26" spans="1:9" x14ac:dyDescent="0.25">
      <c r="B26" s="11"/>
      <c r="C26" s="11"/>
      <c r="D26" s="11"/>
      <c r="E26" s="11"/>
      <c r="F26" s="11"/>
      <c r="G26" s="11"/>
    </row>
    <row r="27" spans="1:9" x14ac:dyDescent="0.25">
      <c r="A27" s="2" t="s">
        <v>58</v>
      </c>
      <c r="B27" s="12">
        <f>$B$4 + (B17)- B25</f>
        <v>15000</v>
      </c>
      <c r="C27" s="12">
        <f>B27 + (C17)- C25</f>
        <v>0</v>
      </c>
      <c r="D27" s="12">
        <f t="shared" ref="D27:F27" si="3">C27 + (D17)- D25</f>
        <v>0</v>
      </c>
      <c r="E27" s="12">
        <f t="shared" si="3"/>
        <v>0</v>
      </c>
      <c r="F27" s="12">
        <f t="shared" si="3"/>
        <v>10000</v>
      </c>
      <c r="G27" s="12">
        <f>F27 + (G17)- G25</f>
        <v>0</v>
      </c>
      <c r="H27" s="5" t="s">
        <v>59</v>
      </c>
      <c r="I27" s="2" t="s">
        <v>60</v>
      </c>
    </row>
    <row r="28" spans="1:9" x14ac:dyDescent="0.25">
      <c r="A28" s="38"/>
      <c r="B28" s="39" t="s">
        <v>17</v>
      </c>
      <c r="C28" s="39" t="s">
        <v>17</v>
      </c>
      <c r="D28" s="39" t="s">
        <v>17</v>
      </c>
      <c r="E28" s="39" t="s">
        <v>17</v>
      </c>
      <c r="F28" s="39" t="s">
        <v>17</v>
      </c>
      <c r="G28" s="39" t="s">
        <v>17</v>
      </c>
    </row>
    <row r="29" spans="1:9" x14ac:dyDescent="0.25">
      <c r="A29" s="38" t="s">
        <v>61</v>
      </c>
      <c r="B29" s="38">
        <v>10000</v>
      </c>
      <c r="C29" s="38">
        <v>10000</v>
      </c>
      <c r="D29" s="38">
        <v>10000</v>
      </c>
      <c r="E29" s="38">
        <v>10000</v>
      </c>
      <c r="F29" s="38">
        <v>10000</v>
      </c>
      <c r="G29" s="38">
        <v>10000</v>
      </c>
      <c r="I29" s="2" t="s">
        <v>62</v>
      </c>
    </row>
    <row r="30" spans="1:9" x14ac:dyDescent="0.25">
      <c r="A30" s="4"/>
    </row>
    <row r="31" spans="1:9" x14ac:dyDescent="0.25">
      <c r="A31" s="1" t="s">
        <v>63</v>
      </c>
      <c r="B31" s="37"/>
    </row>
    <row r="32" spans="1:9" x14ac:dyDescent="0.25">
      <c r="A32" s="2" t="s">
        <v>50</v>
      </c>
      <c r="B32" s="33">
        <v>1</v>
      </c>
      <c r="C32" s="33">
        <v>2</v>
      </c>
      <c r="D32" s="33">
        <v>3</v>
      </c>
      <c r="E32" s="33">
        <v>4</v>
      </c>
      <c r="F32" s="33">
        <v>5</v>
      </c>
      <c r="G32" s="33">
        <v>6</v>
      </c>
      <c r="H32" s="5" t="s">
        <v>64</v>
      </c>
    </row>
    <row r="33" spans="1:8" x14ac:dyDescent="0.25">
      <c r="A33" s="46" t="s">
        <v>65</v>
      </c>
      <c r="B33" s="46"/>
      <c r="C33" s="46"/>
      <c r="D33" s="46"/>
      <c r="E33" s="46"/>
      <c r="F33" s="46"/>
      <c r="G33" s="46"/>
      <c r="H33" s="47">
        <f>SUMPRODUCT(B11:G11, B27:G27)</f>
        <v>15800</v>
      </c>
    </row>
    <row r="34" spans="1:8" x14ac:dyDescent="0.25">
      <c r="A34" s="46" t="s">
        <v>72</v>
      </c>
      <c r="B34" s="46"/>
      <c r="C34" s="46"/>
      <c r="D34" s="46"/>
      <c r="E34" s="46"/>
      <c r="F34" s="46"/>
      <c r="G34" s="46"/>
      <c r="H34" s="47">
        <f>SUMPRODUCT(B16:G16,B12:G12)</f>
        <v>60000</v>
      </c>
    </row>
    <row r="35" spans="1:8" x14ac:dyDescent="0.25">
      <c r="A35" s="46" t="s">
        <v>66</v>
      </c>
      <c r="B35" s="46"/>
      <c r="C35" s="46"/>
      <c r="D35" s="46"/>
      <c r="E35" s="46"/>
      <c r="F35" s="46"/>
      <c r="G35" s="46"/>
      <c r="H35" s="48">
        <f>SUMPRODUCT(B10:G10,B17:G17)</f>
        <v>1528750</v>
      </c>
    </row>
    <row r="36" spans="1:8" x14ac:dyDescent="0.25">
      <c r="H36" s="42">
        <f>SUM(H33:H35)</f>
        <v>1604550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FixedCost</vt:lpstr>
      <vt:lpstr>CapitalBudget</vt:lpstr>
      <vt:lpstr>ProdPlanning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 Janpitak</dc:creator>
  <cp:lastModifiedBy>Pannatorn Janpitak</cp:lastModifiedBy>
  <dcterms:created xsi:type="dcterms:W3CDTF">2026-09-01T14:21:28Z</dcterms:created>
  <dcterms:modified xsi:type="dcterms:W3CDTF">2026-09-22T10:00:32Z</dcterms:modified>
</cp:coreProperties>
</file>