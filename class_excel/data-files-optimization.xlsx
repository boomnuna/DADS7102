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9271FA9A-A317-4300-BDD7-B0ACC9323073}" xr6:coauthVersionLast="47" xr6:coauthVersionMax="47" xr10:uidLastSave="{00000000-0000-0000-0000-000000000000}"/>
  <bookViews>
    <workbookView xWindow="-120" yWindow="-120" windowWidth="29040" windowHeight="15840" tabRatio="954" firstSheet="2" activeTab="7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et_covering_model" sheetId="39" r:id="rId18"/>
    <sheet name="ShortestPath" sheetId="26" r:id="rId19"/>
    <sheet name="Aggregate1" sheetId="7" r:id="rId20"/>
    <sheet name="CapitalBudget" sheetId="8" r:id="rId21"/>
    <sheet name="FixedCost" sheetId="9" r:id="rId22"/>
    <sheet name="Hub" sheetId="10" r:id="rId23"/>
    <sheet name="WorkerScheduling" sheetId="11" r:id="rId24"/>
    <sheet name="Transport1-2" sheetId="12" r:id="rId25"/>
    <sheet name="MMULT" sheetId="13" r:id="rId26"/>
    <sheet name="MDETERM" sheetId="21" r:id="rId27"/>
    <sheet name="Peakload" sheetId="15" r:id="rId28"/>
    <sheet name="Portfolio" sheetId="14" r:id="rId29"/>
    <sheet name="EOQ" sheetId="23" r:id="rId30"/>
    <sheet name="SVM1" sheetId="24" r:id="rId31"/>
    <sheet name="MLE" sheetId="25" r:id="rId32"/>
    <sheet name="OLS" sheetId="30" r:id="rId33"/>
    <sheet name="Location" sheetId="29" r:id="rId34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20" hidden="1">CapitalBudget!$B$10:$H$10</definedName>
    <definedName name="solver_adj" localSheetId="6" hidden="1">Dual!$I$4:$L$4</definedName>
    <definedName name="solver_adj" localSheetId="29" hidden="1">EOQ!$G$9:$I$9</definedName>
    <definedName name="solver_adj" localSheetId="21" hidden="1">FixedCost!$B$14:$F$15</definedName>
    <definedName name="solver_adj" localSheetId="22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14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17" hidden="1">set_covering_model!$B$2:$G$2</definedName>
    <definedName name="solver_adj" localSheetId="30" hidden="1">'SVM1'!$B$2:$D$2,'SVM1'!$F$2</definedName>
    <definedName name="solver_adj" localSheetId="10" hidden="1">Transport1!$C$13:$F$15</definedName>
    <definedName name="solver_adj" localSheetId="23" hidden="1">WorkerScheduling!$N$3:$T$3</definedName>
    <definedName name="solver_cvg" localSheetId="11" hidden="1">0.0001</definedName>
    <definedName name="solver_cvg" localSheetId="20" hidden="1">0.0001</definedName>
    <definedName name="solver_cvg" localSheetId="6" hidden="1">0.0001</definedName>
    <definedName name="solver_cvg" localSheetId="29" hidden="1">0.0001</definedName>
    <definedName name="solver_cvg" localSheetId="21" hidden="1">0.0001</definedName>
    <definedName name="solver_cvg" localSheetId="22" hidden="1">0.0001</definedName>
    <definedName name="solver_cvg" localSheetId="16" hidden="1">0.0001</definedName>
    <definedName name="solver_cvg" localSheetId="5" hidden="1">0.0001</definedName>
    <definedName name="solver_cvg" localSheetId="14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7" hidden="1">0.0001</definedName>
    <definedName name="solver_cvg" localSheetId="10" hidden="1">0.0001</definedName>
    <definedName name="solver_cvg" localSheetId="23" hidden="1">0.0001</definedName>
    <definedName name="solver_drv" localSheetId="11" hidden="1">1</definedName>
    <definedName name="solver_drv" localSheetId="20" hidden="1">1</definedName>
    <definedName name="solver_drv" localSheetId="6" hidden="1">1</definedName>
    <definedName name="solver_drv" localSheetId="29" hidden="1">1</definedName>
    <definedName name="solver_drv" localSheetId="21" hidden="1">1</definedName>
    <definedName name="solver_drv" localSheetId="22" hidden="1">1</definedName>
    <definedName name="solver_drv" localSheetId="16" hidden="1">2</definedName>
    <definedName name="solver_drv" localSheetId="5" hidden="1">1</definedName>
    <definedName name="solver_drv" localSheetId="14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7" hidden="1">1</definedName>
    <definedName name="solver_drv" localSheetId="10" hidden="1">1</definedName>
    <definedName name="solver_drv" localSheetId="23" hidden="1">1</definedName>
    <definedName name="solver_eng" localSheetId="11" hidden="1">2</definedName>
    <definedName name="solver_eng" localSheetId="20" hidden="1">2</definedName>
    <definedName name="solver_eng" localSheetId="6" hidden="1">2</definedName>
    <definedName name="solver_eng" localSheetId="29" hidden="1">1</definedName>
    <definedName name="solver_eng" localSheetId="21" hidden="1">2</definedName>
    <definedName name="solver_eng" localSheetId="22" hidden="1">2</definedName>
    <definedName name="solver_eng" localSheetId="16" hidden="1">2</definedName>
    <definedName name="solver_eng" localSheetId="5" hidden="1">2</definedName>
    <definedName name="solver_eng" localSheetId="14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17" hidden="1">2</definedName>
    <definedName name="solver_eng" localSheetId="30" hidden="1">1</definedName>
    <definedName name="solver_eng" localSheetId="10" hidden="1">2</definedName>
    <definedName name="solver_eng" localSheetId="23" hidden="1">2</definedName>
    <definedName name="solver_est" localSheetId="11" hidden="1">1</definedName>
    <definedName name="solver_est" localSheetId="20" hidden="1">1</definedName>
    <definedName name="solver_est" localSheetId="6" hidden="1">1</definedName>
    <definedName name="solver_est" localSheetId="29" hidden="1">1</definedName>
    <definedName name="solver_est" localSheetId="21" hidden="1">1</definedName>
    <definedName name="solver_est" localSheetId="22" hidden="1">1</definedName>
    <definedName name="solver_est" localSheetId="16" hidden="1">1</definedName>
    <definedName name="solver_est" localSheetId="5" hidden="1">1</definedName>
    <definedName name="solver_est" localSheetId="14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7" hidden="1">1</definedName>
    <definedName name="solver_est" localSheetId="10" hidden="1">1</definedName>
    <definedName name="solver_est" localSheetId="23" hidden="1">1</definedName>
    <definedName name="solver_itr" localSheetId="11" hidden="1">2147483647</definedName>
    <definedName name="solver_itr" localSheetId="20" hidden="1">2147483647</definedName>
    <definedName name="solver_itr" localSheetId="6" hidden="1">2147483647</definedName>
    <definedName name="solver_itr" localSheetId="29" hidden="1">2147483647</definedName>
    <definedName name="solver_itr" localSheetId="21" hidden="1">2147483647</definedName>
    <definedName name="solver_itr" localSheetId="22" hidden="1">2147483647</definedName>
    <definedName name="solver_itr" localSheetId="16" hidden="1">2147483647</definedName>
    <definedName name="solver_itr" localSheetId="5" hidden="1">2147483647</definedName>
    <definedName name="solver_itr" localSheetId="14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7" hidden="1">2147483647</definedName>
    <definedName name="solver_itr" localSheetId="10" hidden="1">2147483647</definedName>
    <definedName name="solver_itr" localSheetId="23" hidden="1">2147483647</definedName>
    <definedName name="solver_lhs1" localSheetId="11" hidden="1">AssignmentProblem!$C$17:$F$17</definedName>
    <definedName name="solver_lhs1" localSheetId="20" hidden="1">CapitalBudget!$B$14</definedName>
    <definedName name="solver_lhs1" localSheetId="6" hidden="1">Dual!$M$6:$M$7</definedName>
    <definedName name="solver_lhs1" localSheetId="29" hidden="1">EOQ!$J$15</definedName>
    <definedName name="solver_lhs1" localSheetId="21" hidden="1">FixedCost!$B$14:$F$14</definedName>
    <definedName name="solver_lhs1" localSheetId="22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7" hidden="1">set_covering_model!$B$2:$G$2</definedName>
    <definedName name="solver_lhs1" localSheetId="10" hidden="1">Transport1!$C$16:$F$16</definedName>
    <definedName name="solver_lhs1" localSheetId="23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20" hidden="1">CapitalBudget!$B$10:$H$10</definedName>
    <definedName name="solver_lhs2" localSheetId="21" hidden="1">FixedCost!$B$15:$F$15</definedName>
    <definedName name="solver_lhs2" localSheetId="22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7" hidden="1">set_covering_model!$H$3:$H$8</definedName>
    <definedName name="solver_lhs2" localSheetId="10" hidden="1">Transport1!$G$13:$G$15</definedName>
    <definedName name="solver_lhs2" localSheetId="23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20" hidden="1">CapitalBudget!$C$15</definedName>
    <definedName name="solver_lhs3" localSheetId="21" hidden="1">FixedCost!$B$23:$B$24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20" hidden="1">CapitalBudget!$B$10:$H$10</definedName>
    <definedName name="solver_lhs4" localSheetId="21" hidden="1">FixedCost!$B$23:$B$24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20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20" hidden="1">2147483647</definedName>
    <definedName name="solver_mip" localSheetId="6" hidden="1">2147483647</definedName>
    <definedName name="solver_mip" localSheetId="29" hidden="1">2147483647</definedName>
    <definedName name="solver_mip" localSheetId="21" hidden="1">2147483647</definedName>
    <definedName name="solver_mip" localSheetId="22" hidden="1">2147483647</definedName>
    <definedName name="solver_mip" localSheetId="16" hidden="1">2147483647</definedName>
    <definedName name="solver_mip" localSheetId="5" hidden="1">2147483647</definedName>
    <definedName name="solver_mip" localSheetId="14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7" hidden="1">2147483647</definedName>
    <definedName name="solver_mip" localSheetId="10" hidden="1">2147483647</definedName>
    <definedName name="solver_mip" localSheetId="23" hidden="1">2147483647</definedName>
    <definedName name="solver_mni" localSheetId="11" hidden="1">30</definedName>
    <definedName name="solver_mni" localSheetId="20" hidden="1">30</definedName>
    <definedName name="solver_mni" localSheetId="6" hidden="1">30</definedName>
    <definedName name="solver_mni" localSheetId="29" hidden="1">30</definedName>
    <definedName name="solver_mni" localSheetId="21" hidden="1">30</definedName>
    <definedName name="solver_mni" localSheetId="22" hidden="1">30</definedName>
    <definedName name="solver_mni" localSheetId="16" hidden="1">30</definedName>
    <definedName name="solver_mni" localSheetId="5" hidden="1">30</definedName>
    <definedName name="solver_mni" localSheetId="14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7" hidden="1">30</definedName>
    <definedName name="solver_mni" localSheetId="10" hidden="1">30</definedName>
    <definedName name="solver_mni" localSheetId="23" hidden="1">30</definedName>
    <definedName name="solver_mrt" localSheetId="11" hidden="1">0.075</definedName>
    <definedName name="solver_mrt" localSheetId="20" hidden="1">0.075</definedName>
    <definedName name="solver_mrt" localSheetId="6" hidden="1">0.075</definedName>
    <definedName name="solver_mrt" localSheetId="29" hidden="1">0.075</definedName>
    <definedName name="solver_mrt" localSheetId="21" hidden="1">0.075</definedName>
    <definedName name="solver_mrt" localSheetId="22" hidden="1">0.075</definedName>
    <definedName name="solver_mrt" localSheetId="16" hidden="1">0.075</definedName>
    <definedName name="solver_mrt" localSheetId="5" hidden="1">0.075</definedName>
    <definedName name="solver_mrt" localSheetId="14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7" hidden="1">0.075</definedName>
    <definedName name="solver_mrt" localSheetId="10" hidden="1">0.075</definedName>
    <definedName name="solver_mrt" localSheetId="23" hidden="1">0.075</definedName>
    <definedName name="solver_msl" localSheetId="11" hidden="1">2</definedName>
    <definedName name="solver_msl" localSheetId="20" hidden="1">2</definedName>
    <definedName name="solver_msl" localSheetId="6" hidden="1">2</definedName>
    <definedName name="solver_msl" localSheetId="29" hidden="1">2</definedName>
    <definedName name="solver_msl" localSheetId="21" hidden="1">2</definedName>
    <definedName name="solver_msl" localSheetId="22" hidden="1">2</definedName>
    <definedName name="solver_msl" localSheetId="16" hidden="1">2</definedName>
    <definedName name="solver_msl" localSheetId="5" hidden="1">2</definedName>
    <definedName name="solver_msl" localSheetId="14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7" hidden="1">2</definedName>
    <definedName name="solver_msl" localSheetId="10" hidden="1">2</definedName>
    <definedName name="solver_msl" localSheetId="23" hidden="1">2</definedName>
    <definedName name="solver_neg" localSheetId="11" hidden="1">1</definedName>
    <definedName name="solver_neg" localSheetId="20" hidden="1">1</definedName>
    <definedName name="solver_neg" localSheetId="6" hidden="1">1</definedName>
    <definedName name="solver_neg" localSheetId="29" hidden="1">1</definedName>
    <definedName name="solver_neg" localSheetId="21" hidden="1">1</definedName>
    <definedName name="solver_neg" localSheetId="22" hidden="1">1</definedName>
    <definedName name="solver_neg" localSheetId="16" hidden="1">1</definedName>
    <definedName name="solver_neg" localSheetId="5" hidden="1">1</definedName>
    <definedName name="solver_neg" localSheetId="14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17" hidden="1">1</definedName>
    <definedName name="solver_neg" localSheetId="30" hidden="1">1</definedName>
    <definedName name="solver_neg" localSheetId="10" hidden="1">1</definedName>
    <definedName name="solver_neg" localSheetId="23" hidden="1">1</definedName>
    <definedName name="solver_nod" localSheetId="11" hidden="1">2147483647</definedName>
    <definedName name="solver_nod" localSheetId="20" hidden="1">2147483647</definedName>
    <definedName name="solver_nod" localSheetId="6" hidden="1">2147483647</definedName>
    <definedName name="solver_nod" localSheetId="29" hidden="1">2147483647</definedName>
    <definedName name="solver_nod" localSheetId="21" hidden="1">2147483647</definedName>
    <definedName name="solver_nod" localSheetId="22" hidden="1">2147483647</definedName>
    <definedName name="solver_nod" localSheetId="16" hidden="1">2147483647</definedName>
    <definedName name="solver_nod" localSheetId="5" hidden="1">2147483647</definedName>
    <definedName name="solver_nod" localSheetId="14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7" hidden="1">2147483647</definedName>
    <definedName name="solver_nod" localSheetId="10" hidden="1">2147483647</definedName>
    <definedName name="solver_nod" localSheetId="23" hidden="1">2147483647</definedName>
    <definedName name="solver_num" localSheetId="11" hidden="1">2</definedName>
    <definedName name="solver_num" localSheetId="20" hidden="1">2</definedName>
    <definedName name="solver_num" localSheetId="6" hidden="1">1</definedName>
    <definedName name="solver_num" localSheetId="29" hidden="1">1</definedName>
    <definedName name="solver_num" localSheetId="21" hidden="1">3</definedName>
    <definedName name="solver_num" localSheetId="22" hidden="1">2</definedName>
    <definedName name="solver_num" localSheetId="16" hidden="1">4</definedName>
    <definedName name="solver_num" localSheetId="5" hidden="1">2</definedName>
    <definedName name="solver_num" localSheetId="14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17" hidden="1">2</definedName>
    <definedName name="solver_num" localSheetId="30" hidden="1">0</definedName>
    <definedName name="solver_num" localSheetId="10" hidden="1">2</definedName>
    <definedName name="solver_num" localSheetId="23" hidden="1">2</definedName>
    <definedName name="solver_nwt" localSheetId="11" hidden="1">1</definedName>
    <definedName name="solver_nwt" localSheetId="20" hidden="1">1</definedName>
    <definedName name="solver_nwt" localSheetId="6" hidden="1">1</definedName>
    <definedName name="solver_nwt" localSheetId="29" hidden="1">1</definedName>
    <definedName name="solver_nwt" localSheetId="21" hidden="1">1</definedName>
    <definedName name="solver_nwt" localSheetId="22" hidden="1">1</definedName>
    <definedName name="solver_nwt" localSheetId="16" hidden="1">1</definedName>
    <definedName name="solver_nwt" localSheetId="5" hidden="1">1</definedName>
    <definedName name="solver_nwt" localSheetId="14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7" hidden="1">1</definedName>
    <definedName name="solver_nwt" localSheetId="10" hidden="1">1</definedName>
    <definedName name="solver_nwt" localSheetId="23" hidden="1">1</definedName>
    <definedName name="solver_opt" localSheetId="11" hidden="1">AssignmentProblem!$B$22</definedName>
    <definedName name="solver_opt" localSheetId="20" hidden="1">CapitalBudget!$B$17</definedName>
    <definedName name="solver_opt" localSheetId="6" hidden="1">Dual!$M$5</definedName>
    <definedName name="solver_opt" localSheetId="29" hidden="1">EOQ!$J$13</definedName>
    <definedName name="solver_opt" localSheetId="21" hidden="1">FixedCost!$B$30</definedName>
    <definedName name="solver_opt" localSheetId="22" hidden="1">Hub!$B$39</definedName>
    <definedName name="solver_opt" localSheetId="16" hidden="1">'HW3'!$B$17</definedName>
    <definedName name="solver_opt" localSheetId="5" hidden="1">LM_2!$K$11</definedName>
    <definedName name="solver_opt" localSheetId="14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17" hidden="1">set_covering_model!$C$10</definedName>
    <definedName name="solver_opt" localSheetId="30" hidden="1">'SVM1'!$F$2</definedName>
    <definedName name="solver_opt" localSheetId="10" hidden="1">Transport1!$B$21</definedName>
    <definedName name="solver_opt" localSheetId="23" hidden="1">WorkerScheduling!$U$4</definedName>
    <definedName name="solver_pre" localSheetId="11" hidden="1">0.000001</definedName>
    <definedName name="solver_pre" localSheetId="20" hidden="1">0.000001</definedName>
    <definedName name="solver_pre" localSheetId="6" hidden="1">0.000001</definedName>
    <definedName name="solver_pre" localSheetId="29" hidden="1">0.000001</definedName>
    <definedName name="solver_pre" localSheetId="21" hidden="1">0.000001</definedName>
    <definedName name="solver_pre" localSheetId="22" hidden="1">0.000001</definedName>
    <definedName name="solver_pre" localSheetId="16" hidden="1">0.000001</definedName>
    <definedName name="solver_pre" localSheetId="5" hidden="1">0.000001</definedName>
    <definedName name="solver_pre" localSheetId="14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7" hidden="1">0.000001</definedName>
    <definedName name="solver_pre" localSheetId="10" hidden="1">0.000001</definedName>
    <definedName name="solver_pre" localSheetId="23" hidden="1">0.000001</definedName>
    <definedName name="solver_rbv" localSheetId="11" hidden="1">1</definedName>
    <definedName name="solver_rbv" localSheetId="20" hidden="1">1</definedName>
    <definedName name="solver_rbv" localSheetId="6" hidden="1">1</definedName>
    <definedName name="solver_rbv" localSheetId="29" hidden="1">1</definedName>
    <definedName name="solver_rbv" localSheetId="21" hidden="1">1</definedName>
    <definedName name="solver_rbv" localSheetId="22" hidden="1">1</definedName>
    <definedName name="solver_rbv" localSheetId="16" hidden="1">2</definedName>
    <definedName name="solver_rbv" localSheetId="5" hidden="1">1</definedName>
    <definedName name="solver_rbv" localSheetId="14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7" hidden="1">1</definedName>
    <definedName name="solver_rbv" localSheetId="10" hidden="1">1</definedName>
    <definedName name="solver_rbv" localSheetId="23" hidden="1">1</definedName>
    <definedName name="solver_rel1" localSheetId="11" hidden="1">2</definedName>
    <definedName name="solver_rel1" localSheetId="20" hidden="1">1</definedName>
    <definedName name="solver_rel1" localSheetId="6" hidden="1">3</definedName>
    <definedName name="solver_rel1" localSheetId="29" hidden="1">1</definedName>
    <definedName name="solver_rel1" localSheetId="21" hidden="1">5</definedName>
    <definedName name="solver_rel1" localSheetId="22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7" hidden="1">5</definedName>
    <definedName name="solver_rel1" localSheetId="10" hidden="1">3</definedName>
    <definedName name="solver_rel1" localSheetId="23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20" hidden="1">5</definedName>
    <definedName name="solver_rel2" localSheetId="21" hidden="1">1</definedName>
    <definedName name="solver_rel2" localSheetId="22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7" hidden="1">3</definedName>
    <definedName name="solver_rel2" localSheetId="10" hidden="1">1</definedName>
    <definedName name="solver_rel2" localSheetId="23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20" hidden="1">1</definedName>
    <definedName name="solver_rel3" localSheetId="21" hidden="1">1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20" hidden="1">1</definedName>
    <definedName name="solver_rel4" localSheetId="21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20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20" hidden="1">CapitalBudget!$D$14</definedName>
    <definedName name="solver_rhs1" localSheetId="6" hidden="1">Dual!$O$6:$O$7</definedName>
    <definedName name="solver_rhs1" localSheetId="29" hidden="1">EOQ!$L$15</definedName>
    <definedName name="solver_rhs1" localSheetId="21" hidden="1">"binary"</definedName>
    <definedName name="solver_rhs1" localSheetId="22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7" hidden="1">"binary"</definedName>
    <definedName name="solver_rhs1" localSheetId="10" hidden="1">Transport1!$C$18:$F$18</definedName>
    <definedName name="solver_rhs1" localSheetId="23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20" hidden="1">"binary"</definedName>
    <definedName name="solver_rhs2" localSheetId="21" hidden="1">FixedCost!$B$17:$F$17</definedName>
    <definedName name="solver_rhs2" localSheetId="22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7" hidden="1">set_covering_model!$J$3:$J$8</definedName>
    <definedName name="solver_rhs2" localSheetId="10" hidden="1">Transport1!$I$13:$I$15</definedName>
    <definedName name="solver_rhs2" localSheetId="23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20" hidden="1">0</definedName>
    <definedName name="solver_rhs3" localSheetId="21" hidden="1">FixedCost!$D$23:$D$24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20" hidden="1">1</definedName>
    <definedName name="solver_rhs4" localSheetId="21" hidden="1">FixedCost!$D$23:$D$24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20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20" hidden="1">2</definedName>
    <definedName name="solver_rlx" localSheetId="6" hidden="1">2</definedName>
    <definedName name="solver_rlx" localSheetId="29" hidden="1">2</definedName>
    <definedName name="solver_rlx" localSheetId="21" hidden="1">2</definedName>
    <definedName name="solver_rlx" localSheetId="22" hidden="1">2</definedName>
    <definedName name="solver_rlx" localSheetId="16" hidden="1">2</definedName>
    <definedName name="solver_rlx" localSheetId="5" hidden="1">2</definedName>
    <definedName name="solver_rlx" localSheetId="14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7" hidden="1">2</definedName>
    <definedName name="solver_rlx" localSheetId="10" hidden="1">2</definedName>
    <definedName name="solver_rlx" localSheetId="23" hidden="1">2</definedName>
    <definedName name="solver_rsd" localSheetId="11" hidden="1">0</definedName>
    <definedName name="solver_rsd" localSheetId="20" hidden="1">0</definedName>
    <definedName name="solver_rsd" localSheetId="6" hidden="1">0</definedName>
    <definedName name="solver_rsd" localSheetId="29" hidden="1">0</definedName>
    <definedName name="solver_rsd" localSheetId="21" hidden="1">0</definedName>
    <definedName name="solver_rsd" localSheetId="22" hidden="1">0</definedName>
    <definedName name="solver_rsd" localSheetId="16" hidden="1">0</definedName>
    <definedName name="solver_rsd" localSheetId="5" hidden="1">0</definedName>
    <definedName name="solver_rsd" localSheetId="14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7" hidden="1">0</definedName>
    <definedName name="solver_rsd" localSheetId="10" hidden="1">0</definedName>
    <definedName name="solver_rsd" localSheetId="23" hidden="1">0</definedName>
    <definedName name="solver_scl" localSheetId="11" hidden="1">1</definedName>
    <definedName name="solver_scl" localSheetId="20" hidden="1">1</definedName>
    <definedName name="solver_scl" localSheetId="6" hidden="1">1</definedName>
    <definedName name="solver_scl" localSheetId="29" hidden="1">1</definedName>
    <definedName name="solver_scl" localSheetId="21" hidden="1">1</definedName>
    <definedName name="solver_scl" localSheetId="22" hidden="1">1</definedName>
    <definedName name="solver_scl" localSheetId="16" hidden="1">2</definedName>
    <definedName name="solver_scl" localSheetId="5" hidden="1">1</definedName>
    <definedName name="solver_scl" localSheetId="14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7" hidden="1">1</definedName>
    <definedName name="solver_scl" localSheetId="10" hidden="1">1</definedName>
    <definedName name="solver_scl" localSheetId="23" hidden="1">1</definedName>
    <definedName name="solver_sho" localSheetId="11" hidden="1">2</definedName>
    <definedName name="solver_sho" localSheetId="20" hidden="1">2</definedName>
    <definedName name="solver_sho" localSheetId="6" hidden="1">2</definedName>
    <definedName name="solver_sho" localSheetId="29" hidden="1">2</definedName>
    <definedName name="solver_sho" localSheetId="21" hidden="1">2</definedName>
    <definedName name="solver_sho" localSheetId="22" hidden="1">2</definedName>
    <definedName name="solver_sho" localSheetId="16" hidden="1">2</definedName>
    <definedName name="solver_sho" localSheetId="5" hidden="1">2</definedName>
    <definedName name="solver_sho" localSheetId="14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7" hidden="1">2</definedName>
    <definedName name="solver_sho" localSheetId="10" hidden="1">2</definedName>
    <definedName name="solver_sho" localSheetId="23" hidden="1">2</definedName>
    <definedName name="solver_ssz" localSheetId="11" hidden="1">100</definedName>
    <definedName name="solver_ssz" localSheetId="20" hidden="1">100</definedName>
    <definedName name="solver_ssz" localSheetId="6" hidden="1">100</definedName>
    <definedName name="solver_ssz" localSheetId="29" hidden="1">100</definedName>
    <definedName name="solver_ssz" localSheetId="21" hidden="1">100</definedName>
    <definedName name="solver_ssz" localSheetId="22" hidden="1">100</definedName>
    <definedName name="solver_ssz" localSheetId="16" hidden="1">100</definedName>
    <definedName name="solver_ssz" localSheetId="5" hidden="1">100</definedName>
    <definedName name="solver_ssz" localSheetId="14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7" hidden="1">100</definedName>
    <definedName name="solver_ssz" localSheetId="10" hidden="1">100</definedName>
    <definedName name="solver_ssz" localSheetId="23" hidden="1">100</definedName>
    <definedName name="solver_tim" localSheetId="11" hidden="1">2147483647</definedName>
    <definedName name="solver_tim" localSheetId="20" hidden="1">2147483647</definedName>
    <definedName name="solver_tim" localSheetId="6" hidden="1">2147483647</definedName>
    <definedName name="solver_tim" localSheetId="29" hidden="1">2147483647</definedName>
    <definedName name="solver_tim" localSheetId="21" hidden="1">2147483647</definedName>
    <definedName name="solver_tim" localSheetId="22" hidden="1">2147483647</definedName>
    <definedName name="solver_tim" localSheetId="16" hidden="1">2147483647</definedName>
    <definedName name="solver_tim" localSheetId="5" hidden="1">2147483647</definedName>
    <definedName name="solver_tim" localSheetId="14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7" hidden="1">2147483647</definedName>
    <definedName name="solver_tim" localSheetId="10" hidden="1">2147483647</definedName>
    <definedName name="solver_tim" localSheetId="23" hidden="1">2147483647</definedName>
    <definedName name="solver_tol" localSheetId="11" hidden="1">0.01</definedName>
    <definedName name="solver_tol" localSheetId="20" hidden="1">0.01</definedName>
    <definedName name="solver_tol" localSheetId="6" hidden="1">0.01</definedName>
    <definedName name="solver_tol" localSheetId="29" hidden="1">0.01</definedName>
    <definedName name="solver_tol" localSheetId="21" hidden="1">0.01</definedName>
    <definedName name="solver_tol" localSheetId="22" hidden="1">0.01</definedName>
    <definedName name="solver_tol" localSheetId="16" hidden="1">0.01</definedName>
    <definedName name="solver_tol" localSheetId="5" hidden="1">0.01</definedName>
    <definedName name="solver_tol" localSheetId="14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7" hidden="1">0.01</definedName>
    <definedName name="solver_tol" localSheetId="10" hidden="1">0.01</definedName>
    <definedName name="solver_tol" localSheetId="23" hidden="1">0.01</definedName>
    <definedName name="solver_typ" localSheetId="11" hidden="1">2</definedName>
    <definedName name="solver_typ" localSheetId="20" hidden="1">1</definedName>
    <definedName name="solver_typ" localSheetId="6" hidden="1">2</definedName>
    <definedName name="solver_typ" localSheetId="29" hidden="1">2</definedName>
    <definedName name="solver_typ" localSheetId="21" hidden="1">1</definedName>
    <definedName name="solver_typ" localSheetId="22" hidden="1">2</definedName>
    <definedName name="solver_typ" localSheetId="16" hidden="1">2</definedName>
    <definedName name="solver_typ" localSheetId="5" hidden="1">2</definedName>
    <definedName name="solver_typ" localSheetId="14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17" hidden="1">2</definedName>
    <definedName name="solver_typ" localSheetId="30" hidden="1">1</definedName>
    <definedName name="solver_typ" localSheetId="10" hidden="1">2</definedName>
    <definedName name="solver_typ" localSheetId="23" hidden="1">2</definedName>
    <definedName name="solver_val" localSheetId="11" hidden="1">0</definedName>
    <definedName name="solver_val" localSheetId="20" hidden="1">0</definedName>
    <definedName name="solver_val" localSheetId="6" hidden="1">0</definedName>
    <definedName name="solver_val" localSheetId="29" hidden="1">0</definedName>
    <definedName name="solver_val" localSheetId="21" hidden="1">0</definedName>
    <definedName name="solver_val" localSheetId="22" hidden="1">0</definedName>
    <definedName name="solver_val" localSheetId="16" hidden="1">0</definedName>
    <definedName name="solver_val" localSheetId="5" hidden="1">0</definedName>
    <definedName name="solver_val" localSheetId="14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17" hidden="1">0</definedName>
    <definedName name="solver_val" localSheetId="30" hidden="1">0</definedName>
    <definedName name="solver_val" localSheetId="10" hidden="1">0</definedName>
    <definedName name="solver_val" localSheetId="23" hidden="1">0</definedName>
    <definedName name="solver_ver" localSheetId="11" hidden="1">3</definedName>
    <definedName name="solver_ver" localSheetId="20" hidden="1">3</definedName>
    <definedName name="solver_ver" localSheetId="6" hidden="1">3</definedName>
    <definedName name="solver_ver" localSheetId="29" hidden="1">3</definedName>
    <definedName name="solver_ver" localSheetId="21" hidden="1">3</definedName>
    <definedName name="solver_ver" localSheetId="22" hidden="1">3</definedName>
    <definedName name="solver_ver" localSheetId="16" hidden="1">3</definedName>
    <definedName name="solver_ver" localSheetId="5" hidden="1">3</definedName>
    <definedName name="solver_ver" localSheetId="14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17" hidden="1">3</definedName>
    <definedName name="solver_ver" localSheetId="30" hidden="1">3</definedName>
    <definedName name="solver_ver" localSheetId="10" hidden="1">3</definedName>
    <definedName name="solver_ver" localSheetId="23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9" l="1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30" i="9" l="1"/>
  <c r="L5" i="37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<sst xmlns="http://schemas.openxmlformats.org/spreadsheetml/2006/main" count="1052" uniqueCount="599">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</sst>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8">
    <xf numFmtId="0" fontId="0" fillId="0" borderId="0"/>
    <xf numFmtId="0" fontId="2" fillId="0" borderId="0"/>
    <xf numFmtId="8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44" fontId="10" fillId="0" borderId="0" applyFont="0" applyFill="0" applyBorder="0" applyAlignment="0" applyProtection="0"/>
    <xf numFmtId="0" fontId="26" fillId="0" borderId="16" applyNumberFormat="0" applyFill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2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65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66" fontId="4" fillId="0" borderId="0" xfId="1" applyNumberFormat="1" applyFont="1"/>
    <xf numFmtId="0" fontId="4" fillId="0" borderId="0" xfId="1" quotePrefix="1" applyFont="1" applyAlignment="1">
      <alignment horizontal="left"/>
    </xf>
    <xf numFmtId="8" fontId="4" fillId="2" borderId="0" xfId="2" applyFont="1" applyFill="1" applyBorder="1"/>
    <xf numFmtId="167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64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68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5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5" fontId="4" fillId="0" borderId="0" xfId="1" applyNumberFormat="1" applyFont="1"/>
    <xf numFmtId="168" fontId="4" fillId="2" borderId="0" xfId="1" applyNumberFormat="1" applyFont="1" applyFill="1"/>
    <xf numFmtId="2" fontId="4" fillId="0" borderId="0" xfId="1" applyNumberFormat="1" applyFont="1"/>
    <xf numFmtId="6" fontId="4" fillId="0" borderId="0" xfId="1" applyNumberFormat="1" applyFont="1"/>
    <xf numFmtId="6" fontId="4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168" fontId="4" fillId="0" borderId="0" xfId="1" quotePrefix="1" applyNumberFormat="1" applyFont="1" applyAlignment="1">
      <alignment horizontal="center"/>
    </xf>
    <xf numFmtId="6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6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6" fontId="4" fillId="2" borderId="0" xfId="1" applyNumberFormat="1" applyFont="1" applyFill="1" applyAlignment="1">
      <alignment horizontal="right"/>
    </xf>
    <xf numFmtId="8" fontId="4" fillId="0" borderId="0" xfId="1" applyNumberFormat="1" applyFont="1"/>
    <xf numFmtId="7" fontId="4" fillId="0" borderId="0" xfId="1" applyNumberFormat="1" applyFont="1"/>
    <xf numFmtId="169" fontId="4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4" fillId="0" borderId="0" xfId="1" applyNumberFormat="1" applyFont="1" applyAlignment="1">
      <alignment horizontal="right"/>
    </xf>
    <xf numFmtId="169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172" fontId="4" fillId="0" borderId="0" xfId="1" applyNumberFormat="1" applyFont="1"/>
    <xf numFmtId="168" fontId="4" fillId="8" borderId="0" xfId="1" applyNumberFormat="1" applyFont="1" applyFill="1"/>
    <xf numFmtId="172" fontId="4" fillId="8" borderId="0" xfId="1" applyNumberFormat="1" applyFont="1" applyFill="1"/>
    <xf numFmtId="43" fontId="4" fillId="0" borderId="0" xfId="6" applyFont="1"/>
    <xf numFmtId="43" fontId="4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4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4" fillId="8" borderId="0" xfId="1" applyFont="1" applyFill="1"/>
    <xf numFmtId="0" fontId="4" fillId="6" borderId="0" xfId="1" applyFont="1" applyFill="1"/>
    <xf numFmtId="0" fontId="0" fillId="0" borderId="0" xfId="0" applyAlignment="1">
      <alignment horizontal="left"/>
    </xf>
  </cellXfs>
  <cellStyles count="8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5.75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5.75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496</v>
      </c>
      <c r="C9" s="97" t="s">
        <v>497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498</v>
      </c>
      <c r="C10" s="98" t="s">
        <v>499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491</v>
      </c>
    </row>
    <row r="13" spans="1:8">
      <c r="B13" s="99"/>
      <c r="C13" s="99"/>
      <c r="D13" s="99" t="s">
        <v>483</v>
      </c>
      <c r="E13" s="99" t="s">
        <v>492</v>
      </c>
      <c r="F13" s="99" t="s">
        <v>494</v>
      </c>
      <c r="G13" s="99" t="s">
        <v>488</v>
      </c>
      <c r="H13" s="99" t="s">
        <v>488</v>
      </c>
    </row>
    <row r="14" spans="1:8" ht="15.75" thickBot="1">
      <c r="B14" s="100" t="s">
        <v>481</v>
      </c>
      <c r="C14" s="100" t="s">
        <v>482</v>
      </c>
      <c r="D14" s="100" t="s">
        <v>484</v>
      </c>
      <c r="E14" s="100" t="s">
        <v>493</v>
      </c>
      <c r="F14" s="100" t="s">
        <v>495</v>
      </c>
      <c r="G14" s="100" t="s">
        <v>489</v>
      </c>
      <c r="H14" s="100" t="s">
        <v>490</v>
      </c>
    </row>
    <row r="15" spans="1:8">
      <c r="B15" s="97" t="s">
        <v>500</v>
      </c>
      <c r="C15" s="97" t="s">
        <v>501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502</v>
      </c>
      <c r="C16" s="98" t="s">
        <v>503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5.75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5.75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508</v>
      </c>
      <c r="C9" s="97" t="s">
        <v>509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510</v>
      </c>
      <c r="C10" s="97" t="s">
        <v>511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512</v>
      </c>
      <c r="C11" s="97" t="s">
        <v>513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514</v>
      </c>
      <c r="C12" s="97" t="s">
        <v>515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516</v>
      </c>
      <c r="C13" s="97" t="s">
        <v>517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518</v>
      </c>
      <c r="C14" s="97" t="s">
        <v>519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520</v>
      </c>
      <c r="C15" s="97" t="s">
        <v>521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522</v>
      </c>
      <c r="C16" s="97" t="s">
        <v>523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524</v>
      </c>
      <c r="C17" s="97" t="s">
        <v>525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526</v>
      </c>
      <c r="C18" s="97" t="s">
        <v>527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528</v>
      </c>
      <c r="C19" s="97" t="s">
        <v>529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530</v>
      </c>
      <c r="C20" s="97" t="s">
        <v>531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532</v>
      </c>
      <c r="C21" s="97" t="s">
        <v>533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534</v>
      </c>
      <c r="C22" s="97" t="s">
        <v>535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536</v>
      </c>
      <c r="C23" s="97" t="s">
        <v>537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538</v>
      </c>
      <c r="C24" s="98" t="s">
        <v>539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491</v>
      </c>
    </row>
    <row r="27" spans="1:8">
      <c r="B27" s="99"/>
      <c r="C27" s="99"/>
      <c r="D27" s="99" t="s">
        <v>483</v>
      </c>
      <c r="E27" s="99" t="s">
        <v>492</v>
      </c>
      <c r="F27" s="99" t="s">
        <v>494</v>
      </c>
      <c r="G27" s="99" t="s">
        <v>488</v>
      </c>
      <c r="H27" s="99" t="s">
        <v>488</v>
      </c>
    </row>
    <row r="28" spans="1:8" ht="15.75" thickBot="1">
      <c r="B28" s="100" t="s">
        <v>481</v>
      </c>
      <c r="C28" s="100" t="s">
        <v>482</v>
      </c>
      <c r="D28" s="100" t="s">
        <v>484</v>
      </c>
      <c r="E28" s="100" t="s">
        <v>493</v>
      </c>
      <c r="F28" s="100" t="s">
        <v>495</v>
      </c>
      <c r="G28" s="100" t="s">
        <v>489</v>
      </c>
      <c r="H28" s="100" t="s">
        <v>490</v>
      </c>
    </row>
    <row r="29" spans="1:8">
      <c r="B29" s="97" t="s">
        <v>500</v>
      </c>
      <c r="C29" s="97" t="s">
        <v>540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541</v>
      </c>
      <c r="C30" s="97" t="s">
        <v>542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543</v>
      </c>
      <c r="C31" s="97" t="s">
        <v>544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545</v>
      </c>
      <c r="C32" s="97" t="s">
        <v>546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547</v>
      </c>
      <c r="C33" s="97" t="s">
        <v>548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549</v>
      </c>
      <c r="C34" s="97" t="s">
        <v>550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551</v>
      </c>
      <c r="C35" s="97" t="s">
        <v>552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553</v>
      </c>
      <c r="C36" s="97" t="s">
        <v>554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555</v>
      </c>
      <c r="C37" s="97" t="s">
        <v>501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556</v>
      </c>
      <c r="C38" s="97" t="s">
        <v>557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558</v>
      </c>
      <c r="C39" s="98" t="s">
        <v>559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560</v>
      </c>
      <c r="B2" s="52">
        <v>4.3333333333333339</v>
      </c>
      <c r="C2" s="52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abSelected="1" topLeftCell="A3" zoomScaleNormal="100" workbookViewId="0">
      <selection activeCell="J24" sqref="J24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577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417</v>
      </c>
      <c r="B1" s="79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429</v>
      </c>
    </row>
    <row r="16" spans="1:9">
      <c r="C16" s="73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458</v>
      </c>
      <c r="M1" s="33"/>
      <c r="P1" s="89" t="s">
        <v>452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459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592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583</v>
      </c>
      <c r="H3" s="1"/>
      <c r="I3" s="1" t="s">
        <v>586</v>
      </c>
      <c r="O3" s="117"/>
    </row>
    <row r="4" spans="1:15">
      <c r="A4" s="116"/>
      <c r="B4" t="s">
        <v>581</v>
      </c>
      <c r="C4" t="s">
        <v>223</v>
      </c>
      <c r="D4" t="s">
        <v>582</v>
      </c>
      <c r="E4" t="s">
        <v>225</v>
      </c>
      <c r="I4" s="2" t="s">
        <v>588</v>
      </c>
      <c r="J4" s="2" t="s">
        <v>231</v>
      </c>
      <c r="K4" s="107" t="s">
        <v>232</v>
      </c>
      <c r="L4" t="s">
        <v>589</v>
      </c>
      <c r="N4" t="s">
        <v>590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587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588</v>
      </c>
      <c r="J8" s="2" t="s">
        <v>231</v>
      </c>
      <c r="K8" s="107" t="s">
        <v>232</v>
      </c>
      <c r="L8" t="s">
        <v>589</v>
      </c>
      <c r="N8" t="s">
        <v>590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591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588</v>
      </c>
      <c r="J13" s="2" t="s">
        <v>231</v>
      </c>
      <c r="K13" s="107" t="s">
        <v>232</v>
      </c>
      <c r="L13" t="s">
        <v>589</v>
      </c>
      <c r="N13" t="s">
        <v>590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584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585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5"/>
  <sheetData>
    <row r="1" spans="1:10">
      <c r="A1" t="s">
        <v>595</v>
      </c>
      <c r="B1" s="125" t="s">
        <v>312</v>
      </c>
      <c r="C1" s="125" t="s">
        <v>594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596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594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597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451</v>
      </c>
      <c r="B1" s="1"/>
      <c r="C1" s="1"/>
      <c r="D1" s="1"/>
      <c r="E1" s="1"/>
      <c r="K1" s="89" t="s">
        <v>450</v>
      </c>
      <c r="Q1" t="s">
        <v>447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K15" sqref="K15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593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452</v>
      </c>
    </row>
    <row r="2" spans="1:23" ht="15.75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598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0"/>
      <c r="C13" s="70"/>
    </row>
    <row r="14" spans="1:17">
      <c r="B14" s="70"/>
      <c r="C14" s="70"/>
      <c r="D14" s="40"/>
    </row>
    <row r="15" spans="1:17">
      <c r="A15" s="11" t="s">
        <v>89</v>
      </c>
      <c r="B15" s="40"/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/>
    </row>
    <row r="25" spans="1:7">
      <c r="A25" s="11" t="s">
        <v>293</v>
      </c>
      <c r="B25" s="71"/>
    </row>
    <row r="26" spans="1:7">
      <c r="A26" s="11" t="s">
        <v>181</v>
      </c>
      <c r="B26" s="71"/>
    </row>
    <row r="28" spans="1:7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5"/>
  <cols>
    <col min="1" max="1" width="31.57031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372</v>
      </c>
      <c r="F6" t="s">
        <v>378</v>
      </c>
      <c r="G6" s="79">
        <v>100</v>
      </c>
      <c r="H6" s="79">
        <v>100</v>
      </c>
      <c r="I6" s="79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79">
        <v>0.5</v>
      </c>
      <c r="H8" s="79">
        <v>0.4</v>
      </c>
      <c r="I8" s="79">
        <v>1</v>
      </c>
    </row>
    <row r="9" spans="1:12">
      <c r="A9" t="s">
        <v>401</v>
      </c>
      <c r="F9" t="s">
        <v>372</v>
      </c>
      <c r="G9" s="52"/>
      <c r="H9" s="52"/>
      <c r="I9" s="52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1">
        <f>SQRT(($B$6-B2)^2+($C$6-C2)^2)</f>
        <v>5.8309518948453007</v>
      </c>
      <c r="E2" s="91">
        <f>SQRT(SUMSQ(B2-$B$6,C2-$C$6))</f>
        <v>5.8309518948453007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2</v>
      </c>
      <c r="E3" s="91">
        <f t="shared" ref="E3:E5" si="1">SQRT(SUMSQ(B3-$B$6,C3-$C$6))</f>
        <v>2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10.63014581273465</v>
      </c>
      <c r="E4" s="91">
        <f t="shared" si="1"/>
        <v>10.63014581273465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6.4031242374328485</v>
      </c>
      <c r="E5" s="91">
        <f t="shared" si="1"/>
        <v>6.4031242374328485</v>
      </c>
      <c r="F5">
        <v>300</v>
      </c>
      <c r="G5" s="92"/>
    </row>
    <row r="6" spans="1:7">
      <c r="A6" t="s">
        <v>442</v>
      </c>
      <c r="B6" s="52">
        <v>8</v>
      </c>
      <c r="C6" s="52">
        <v>5</v>
      </c>
    </row>
    <row r="7" spans="1:7">
      <c r="A7" s="128" t="s">
        <v>444</v>
      </c>
      <c r="B7" s="128"/>
      <c r="C7" s="128"/>
      <c r="D7" s="128"/>
      <c r="E7" s="128"/>
      <c r="F7" s="91">
        <f>SUMPRODUCT(F2:F5,E2:E5)</f>
        <v>5513.1568127458449</v>
      </c>
      <c r="G7" s="92"/>
    </row>
    <row r="8" spans="1:7">
      <c r="D8" s="91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30</vt:i4>
      </vt:variant>
    </vt:vector>
  </HeadingPairs>
  <TitlesOfParts>
    <vt:vector size="64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 Janpitak</cp:lastModifiedBy>
  <cp:lastPrinted>2009-11-17T17:04:20Z</cp:lastPrinted>
  <dcterms:created xsi:type="dcterms:W3CDTF">2009-09-28T15:17:58Z</dcterms:created>
  <dcterms:modified xsi:type="dcterms:W3CDTF">2026-09-02T14:56:48Z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