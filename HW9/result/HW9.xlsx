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a\Documents\GitHub\DADS7102\HW9\result\"/>
    </mc:Choice>
  </mc:AlternateContent>
  <xr:revisionPtr revIDLastSave="0" documentId="13_ncr:1_{00509A89-372F-409A-BF9E-F95F96C3E93E}" xr6:coauthVersionLast="47" xr6:coauthVersionMax="47" xr10:uidLastSave="{00000000-0000-0000-0000-000000000000}"/>
  <bookViews>
    <workbookView xWindow="-120" yWindow="-120" windowWidth="29040" windowHeight="15840" xr2:uid="{7DD5DE49-5239-4E35-A7A7-CFC750C4AB3D}"/>
  </bookViews>
  <sheets>
    <sheet name="HW9" sheetId="1" r:id="rId1"/>
  </sheets>
  <definedNames>
    <definedName name="solver_adj" localSheetId="0" hidden="1">'HW9'!$I$7:$AC$7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'HW9'!$AD$10:$AD$21</definedName>
    <definedName name="solver_lhs2" localSheetId="0" hidden="1">'HW9'!$AD$9</definedName>
    <definedName name="solver_lhs3" localSheetId="0" hidden="1">'HW9'!#REF!</definedName>
    <definedName name="solver_lhs4" localSheetId="0" hidden="1">'HW9'!#REF!</definedName>
    <definedName name="solver_lhs5" localSheetId="0" hidden="1">'HW9'!#REF!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'HW9'!$AD$8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3</definedName>
    <definedName name="solver_rel4" localSheetId="0" hidden="1">2</definedName>
    <definedName name="solver_rel5" localSheetId="0" hidden="1">3</definedName>
    <definedName name="solver_rhs1" localSheetId="0" hidden="1">'HW9'!$AF$10:$AF$21</definedName>
    <definedName name="solver_rhs2" localSheetId="0" hidden="1">'HW9'!$AF$9</definedName>
    <definedName name="solver_rhs3" localSheetId="0" hidden="1">'HW9'!#REF!</definedName>
    <definedName name="solver_rhs4" localSheetId="0" hidden="1">'HW9'!#REF!</definedName>
    <definedName name="solver_rhs5" localSheetId="0" hidden="1">'HW9'!#REF!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8" i="1" l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I4" i="1"/>
  <c r="I8" i="1" s="1"/>
  <c r="J4" i="1"/>
  <c r="J8" i="1" s="1"/>
  <c r="K4" i="1"/>
  <c r="K8" i="1" s="1"/>
  <c r="L4" i="1"/>
  <c r="M4" i="1"/>
  <c r="M8" i="1" s="1"/>
  <c r="N4" i="1"/>
  <c r="N8" i="1" s="1"/>
  <c r="O4" i="1"/>
  <c r="P4" i="1"/>
  <c r="Q4" i="1"/>
  <c r="R4" i="1"/>
  <c r="S4" i="1"/>
  <c r="S8" i="1" s="1"/>
  <c r="T4" i="1"/>
  <c r="T8" i="1" s="1"/>
  <c r="U4" i="1"/>
  <c r="V4" i="1"/>
  <c r="W4" i="1"/>
  <c r="X4" i="1"/>
  <c r="Y4" i="1"/>
  <c r="Y8" i="1" s="1"/>
  <c r="Z4" i="1"/>
  <c r="Z8" i="1" s="1"/>
  <c r="AA4" i="1"/>
  <c r="AA8" i="1" s="1"/>
  <c r="AB4" i="1"/>
  <c r="AC4" i="1"/>
  <c r="B8" i="1"/>
  <c r="C8" i="1"/>
  <c r="D8" i="1"/>
  <c r="E8" i="1"/>
  <c r="AD9" i="1"/>
  <c r="I10" i="1"/>
  <c r="AD10" i="1"/>
  <c r="J11" i="1"/>
  <c r="AD11" i="1"/>
  <c r="K12" i="1"/>
  <c r="AD12" i="1" s="1"/>
  <c r="AD13" i="1"/>
  <c r="AD14" i="1"/>
  <c r="AD15" i="1"/>
  <c r="AD16" i="1"/>
  <c r="AD17" i="1"/>
  <c r="I18" i="1"/>
  <c r="AD18" i="1" s="1"/>
  <c r="J19" i="1"/>
  <c r="AD19" i="1" s="1"/>
  <c r="K20" i="1"/>
  <c r="AD20" i="1" s="1"/>
  <c r="AD21" i="1"/>
  <c r="X8" i="1" l="1"/>
  <c r="R8" i="1"/>
  <c r="L8" i="1"/>
  <c r="O8" i="1"/>
  <c r="U8" i="1"/>
  <c r="AC8" i="1"/>
  <c r="W8" i="1"/>
  <c r="Q8" i="1"/>
  <c r="V8" i="1"/>
  <c r="P8" i="1"/>
  <c r="AD8" i="1" l="1"/>
</calcChain>
</file>

<file path=xl/sharedStrings.xml><?xml version="1.0" encoding="utf-8"?>
<sst xmlns="http://schemas.openxmlformats.org/spreadsheetml/2006/main" count="72" uniqueCount="51">
  <si>
    <t>&gt;=</t>
  </si>
  <si>
    <t>BeetFavPrice</t>
  </si>
  <si>
    <t>BeetSold</t>
  </si>
  <si>
    <t>Corn</t>
  </si>
  <si>
    <t>Wheat</t>
  </si>
  <si>
    <t>Yield Below Avg
(Price increse)</t>
  </si>
  <si>
    <t>Yield Avg</t>
  </si>
  <si>
    <t>Yield Above Avg
(Price decrese)</t>
  </si>
  <si>
    <t>=</t>
  </si>
  <si>
    <t>Land</t>
  </si>
  <si>
    <t>Rank #4</t>
  </si>
  <si>
    <t>Rank #1</t>
  </si>
  <si>
    <t>Rank #3</t>
  </si>
  <si>
    <t>Rank #2</t>
  </si>
  <si>
    <t>Ranking of profit per acre</t>
  </si>
  <si>
    <t>Obj</t>
  </si>
  <si>
    <t>Profit per acrea ($/acre)</t>
  </si>
  <si>
    <t>Variables</t>
  </si>
  <si>
    <t>Selling price ($/T)</t>
  </si>
  <si>
    <t>w43</t>
  </si>
  <si>
    <t>w33</t>
  </si>
  <si>
    <t>w23</t>
  </si>
  <si>
    <t>w13</t>
  </si>
  <si>
    <t>y23</t>
  </si>
  <si>
    <t>y13</t>
  </si>
  <si>
    <t>w42</t>
  </si>
  <si>
    <t>w32</t>
  </si>
  <si>
    <t>w22</t>
  </si>
  <si>
    <t>w12</t>
  </si>
  <si>
    <t>y22</t>
  </si>
  <si>
    <t>y12</t>
  </si>
  <si>
    <t>w41</t>
  </si>
  <si>
    <t>w31</t>
  </si>
  <si>
    <t>w21</t>
  </si>
  <si>
    <t>w11</t>
  </si>
  <si>
    <t>y21</t>
  </si>
  <si>
    <t>y11</t>
  </si>
  <si>
    <t>x3</t>
  </si>
  <si>
    <t>x2</t>
  </si>
  <si>
    <t>x1</t>
  </si>
  <si>
    <t>above 6000 T</t>
  </si>
  <si>
    <t>under 6000 T</t>
  </si>
  <si>
    <t>Purchase price ($/T)</t>
  </si>
  <si>
    <t>Obj * price mult</t>
  </si>
  <si>
    <t>Minimum req (T)</t>
  </si>
  <si>
    <t>price mult</t>
  </si>
  <si>
    <t>Planting cost ($/acre)</t>
  </si>
  <si>
    <t>Prob</t>
  </si>
  <si>
    <t>Yield (T/acre)</t>
  </si>
  <si>
    <t>Obj-Sc</t>
  </si>
  <si>
    <t>Sugar Beets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</si>
</sst>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1" xfId="0" applyFill="1" applyBorder="1"/>
    <xf numFmtId="0" fontId="0" fillId="0" borderId="2" xfId="0" quotePrefix="1" applyBorder="1" applyAlignment="1">
      <alignment horizontal="center"/>
    </xf>
    <xf numFmtId="2" fontId="0" fillId="3" borderId="2" xfId="0" applyNumberForma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4" borderId="0" xfId="0" applyFill="1"/>
    <xf numFmtId="0" fontId="0" fillId="2" borderId="5" xfId="0" applyFill="1" applyBorder="1"/>
    <xf numFmtId="0" fontId="0" fillId="0" borderId="0" xfId="0" quotePrefix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2" xfId="0" applyFill="1" applyBorder="1"/>
    <xf numFmtId="0" fontId="0" fillId="0" borderId="13" xfId="0" quotePrefix="1" applyBorder="1" applyAlignment="1">
      <alignment horizontal="center"/>
    </xf>
    <xf numFmtId="0" fontId="0" fillId="0" borderId="0" xfId="0" quotePrefix="1"/>
    <xf numFmtId="0" fontId="0" fillId="2" borderId="8" xfId="0" applyFill="1" applyBorder="1"/>
    <xf numFmtId="0" fontId="0" fillId="0" borderId="9" xfId="0" quotePrefix="1" applyBorder="1" applyAlignment="1">
      <alignment horizontal="center"/>
    </xf>
    <xf numFmtId="0" fontId="0" fillId="0" borderId="9" xfId="0" quotePrefix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quotePrefix="1" applyBorder="1"/>
    <xf numFmtId="0" fontId="0" fillId="0" borderId="15" xfId="0" applyBorder="1"/>
    <xf numFmtId="2" fontId="0" fillId="5" borderId="16" xfId="0" applyNumberFormat="1" applyFill="1" applyBorder="1"/>
    <xf numFmtId="0" fontId="0" fillId="6" borderId="15" xfId="0" applyFill="1" applyBorder="1"/>
    <xf numFmtId="0" fontId="0" fillId="0" borderId="15" xfId="0" applyBorder="1" applyAlignment="1">
      <alignment horizontal="right"/>
    </xf>
    <xf numFmtId="43" fontId="0" fillId="0" borderId="0" xfId="1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7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01EA-B83D-4848-901A-934562483C6E}">
  <dimension ref="A1:AF21"/>
  <sheetViews>
    <sheetView tabSelected="1" zoomScale="85" zoomScaleNormal="85" workbookViewId="0">
      <selection activeCell="AJ4" sqref="AJ4"/>
    </sheetView>
  </sheetViews>
  <sheetFormatPr defaultColWidth="9" defaultRowHeight="15" x14ac:dyDescent="0.25"/>
  <cols>
    <col min="1" max="1" width="24.85546875" bestFit="1" customWidth="1"/>
    <col min="2" max="3" width="8.140625" bestFit="1" customWidth="1"/>
    <col min="4" max="4" width="12.5703125" bestFit="1" customWidth="1"/>
    <col min="5" max="5" width="12.7109375" bestFit="1" customWidth="1"/>
    <col min="7" max="7" width="10.42578125" bestFit="1" customWidth="1"/>
    <col min="8" max="8" width="15.5703125" bestFit="1" customWidth="1"/>
    <col min="9" max="11" width="4.7109375" bestFit="1" customWidth="1"/>
    <col min="12" max="12" width="5.28515625" bestFit="1" customWidth="1"/>
    <col min="13" max="13" width="4.7109375" bestFit="1" customWidth="1"/>
    <col min="14" max="15" width="5" bestFit="1" customWidth="1"/>
    <col min="16" max="18" width="5.28515625" bestFit="1" customWidth="1"/>
    <col min="19" max="19" width="4.7109375" bestFit="1" customWidth="1"/>
    <col min="20" max="21" width="5" bestFit="1" customWidth="1"/>
    <col min="22" max="22" width="6" bestFit="1" customWidth="1"/>
    <col min="23" max="23" width="4.85546875" bestFit="1" customWidth="1"/>
    <col min="24" max="24" width="5.28515625" bestFit="1" customWidth="1"/>
    <col min="25" max="25" width="4.7109375" bestFit="1" customWidth="1"/>
    <col min="26" max="27" width="5" bestFit="1" customWidth="1"/>
    <col min="28" max="28" width="5.28515625" bestFit="1" customWidth="1"/>
    <col min="29" max="29" width="4.85546875" bestFit="1" customWidth="1"/>
    <col min="30" max="30" width="10.42578125" bestFit="1" customWidth="1"/>
    <col min="31" max="31" width="3.140625" bestFit="1" customWidth="1"/>
    <col min="32" max="32" width="5.85546875" bestFit="1" customWidth="1"/>
  </cols>
  <sheetData>
    <row r="1" spans="1:32" x14ac:dyDescent="0.25">
      <c r="B1" s="31" t="s">
        <v>4</v>
      </c>
      <c r="C1" s="31" t="s">
        <v>3</v>
      </c>
      <c r="D1" s="31" t="s">
        <v>50</v>
      </c>
      <c r="F1" s="7"/>
      <c r="H1" s="35" t="s">
        <v>49</v>
      </c>
      <c r="I1" s="35">
        <v>150</v>
      </c>
      <c r="J1" s="35">
        <v>230</v>
      </c>
      <c r="K1" s="35">
        <v>260</v>
      </c>
      <c r="L1" s="35">
        <v>238</v>
      </c>
      <c r="M1" s="35">
        <v>210</v>
      </c>
      <c r="N1" s="35">
        <v>-170</v>
      </c>
      <c r="O1" s="35">
        <v>-150</v>
      </c>
      <c r="P1" s="35">
        <v>-36</v>
      </c>
      <c r="Q1" s="35">
        <v>-10</v>
      </c>
      <c r="R1" s="35">
        <v>238</v>
      </c>
      <c r="S1" s="35">
        <v>210</v>
      </c>
      <c r="T1" s="35">
        <v>-170</v>
      </c>
      <c r="U1" s="35">
        <v>-150</v>
      </c>
      <c r="V1" s="35">
        <v>-36</v>
      </c>
      <c r="W1" s="35">
        <v>-10</v>
      </c>
      <c r="X1" s="35">
        <v>238</v>
      </c>
      <c r="Y1" s="35">
        <v>210</v>
      </c>
      <c r="Z1" s="35">
        <v>-170</v>
      </c>
      <c r="AA1" s="35">
        <v>-150</v>
      </c>
      <c r="AB1" s="35">
        <v>-36</v>
      </c>
      <c r="AC1" s="35">
        <v>-10</v>
      </c>
    </row>
    <row r="2" spans="1:32" x14ac:dyDescent="0.25">
      <c r="A2" t="s">
        <v>48</v>
      </c>
      <c r="B2">
        <v>2.5</v>
      </c>
      <c r="C2">
        <v>3</v>
      </c>
      <c r="D2">
        <v>20</v>
      </c>
      <c r="F2" s="7"/>
      <c r="H2" t="s">
        <v>47</v>
      </c>
      <c r="I2" s="30">
        <v>1</v>
      </c>
      <c r="J2" s="30">
        <v>1</v>
      </c>
      <c r="K2" s="30">
        <v>1</v>
      </c>
      <c r="L2" s="30">
        <f t="shared" ref="L2:AC2" si="0">1/3</f>
        <v>0.33333333333333331</v>
      </c>
      <c r="M2" s="30">
        <f t="shared" si="0"/>
        <v>0.33333333333333331</v>
      </c>
      <c r="N2" s="30">
        <f t="shared" si="0"/>
        <v>0.33333333333333331</v>
      </c>
      <c r="O2" s="30">
        <f t="shared" si="0"/>
        <v>0.33333333333333331</v>
      </c>
      <c r="P2" s="30">
        <f t="shared" si="0"/>
        <v>0.33333333333333331</v>
      </c>
      <c r="Q2" s="30">
        <f t="shared" si="0"/>
        <v>0.33333333333333331</v>
      </c>
      <c r="R2" s="30">
        <f t="shared" si="0"/>
        <v>0.33333333333333331</v>
      </c>
      <c r="S2" s="30">
        <f t="shared" si="0"/>
        <v>0.33333333333333331</v>
      </c>
      <c r="T2" s="30">
        <f t="shared" si="0"/>
        <v>0.33333333333333331</v>
      </c>
      <c r="U2" s="30">
        <f t="shared" si="0"/>
        <v>0.33333333333333331</v>
      </c>
      <c r="V2" s="30">
        <f t="shared" si="0"/>
        <v>0.33333333333333331</v>
      </c>
      <c r="W2" s="30">
        <f t="shared" si="0"/>
        <v>0.33333333333333331</v>
      </c>
      <c r="X2" s="30">
        <f t="shared" si="0"/>
        <v>0.33333333333333331</v>
      </c>
      <c r="Y2" s="30">
        <f t="shared" si="0"/>
        <v>0.33333333333333331</v>
      </c>
      <c r="Z2" s="30">
        <f t="shared" si="0"/>
        <v>0.33333333333333331</v>
      </c>
      <c r="AA2" s="30">
        <f t="shared" si="0"/>
        <v>0.33333333333333331</v>
      </c>
      <c r="AB2" s="30">
        <f t="shared" si="0"/>
        <v>0.33333333333333331</v>
      </c>
      <c r="AC2" s="30">
        <f t="shared" si="0"/>
        <v>0.33333333333333331</v>
      </c>
    </row>
    <row r="3" spans="1:32" x14ac:dyDescent="0.25">
      <c r="A3" t="s">
        <v>46</v>
      </c>
      <c r="B3">
        <v>150</v>
      </c>
      <c r="C3">
        <v>230</v>
      </c>
      <c r="D3">
        <v>260</v>
      </c>
      <c r="F3" s="7"/>
      <c r="H3" t="s">
        <v>45</v>
      </c>
      <c r="I3">
        <v>1</v>
      </c>
      <c r="J3">
        <v>1</v>
      </c>
      <c r="K3">
        <v>1</v>
      </c>
      <c r="L3">
        <v>0.9</v>
      </c>
      <c r="M3">
        <v>0.9</v>
      </c>
      <c r="N3">
        <v>0.9</v>
      </c>
      <c r="O3">
        <v>0.9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1.1000000000000001</v>
      </c>
      <c r="Y3">
        <v>1.1000000000000001</v>
      </c>
      <c r="Z3">
        <v>1.1000000000000001</v>
      </c>
      <c r="AA3">
        <v>1.1000000000000001</v>
      </c>
      <c r="AB3">
        <v>1</v>
      </c>
      <c r="AC3">
        <v>1</v>
      </c>
    </row>
    <row r="4" spans="1:32" x14ac:dyDescent="0.25">
      <c r="A4" t="s">
        <v>44</v>
      </c>
      <c r="B4">
        <v>200</v>
      </c>
      <c r="C4">
        <v>240</v>
      </c>
      <c r="D4" s="29">
        <v>0</v>
      </c>
      <c r="F4" s="7"/>
      <c r="H4" t="s">
        <v>43</v>
      </c>
      <c r="I4">
        <f t="shared" ref="I4:AC4" si="1">I1*I3</f>
        <v>150</v>
      </c>
      <c r="J4">
        <f t="shared" si="1"/>
        <v>230</v>
      </c>
      <c r="K4">
        <f t="shared" si="1"/>
        <v>260</v>
      </c>
      <c r="L4">
        <f t="shared" si="1"/>
        <v>214.20000000000002</v>
      </c>
      <c r="M4">
        <f t="shared" si="1"/>
        <v>189</v>
      </c>
      <c r="N4">
        <f t="shared" si="1"/>
        <v>-153</v>
      </c>
      <c r="O4">
        <f t="shared" si="1"/>
        <v>-135</v>
      </c>
      <c r="P4">
        <f t="shared" si="1"/>
        <v>-36</v>
      </c>
      <c r="Q4">
        <f t="shared" si="1"/>
        <v>-10</v>
      </c>
      <c r="R4">
        <f t="shared" si="1"/>
        <v>238</v>
      </c>
      <c r="S4">
        <f t="shared" si="1"/>
        <v>210</v>
      </c>
      <c r="T4">
        <f t="shared" si="1"/>
        <v>-170</v>
      </c>
      <c r="U4">
        <f t="shared" si="1"/>
        <v>-150</v>
      </c>
      <c r="V4">
        <f t="shared" si="1"/>
        <v>-36</v>
      </c>
      <c r="W4">
        <f t="shared" si="1"/>
        <v>-10</v>
      </c>
      <c r="X4">
        <f t="shared" si="1"/>
        <v>261.8</v>
      </c>
      <c r="Y4">
        <f t="shared" si="1"/>
        <v>231.00000000000003</v>
      </c>
      <c r="Z4">
        <f t="shared" si="1"/>
        <v>-187.00000000000003</v>
      </c>
      <c r="AA4">
        <f t="shared" si="1"/>
        <v>-165</v>
      </c>
      <c r="AB4">
        <f t="shared" si="1"/>
        <v>-36</v>
      </c>
      <c r="AC4">
        <f t="shared" si="1"/>
        <v>-10</v>
      </c>
    </row>
    <row r="5" spans="1:32" x14ac:dyDescent="0.25">
      <c r="A5" t="s">
        <v>42</v>
      </c>
      <c r="B5">
        <v>238</v>
      </c>
      <c r="C5">
        <v>210</v>
      </c>
      <c r="D5" s="29">
        <v>0</v>
      </c>
      <c r="F5" s="7"/>
    </row>
    <row r="6" spans="1:32" x14ac:dyDescent="0.25">
      <c r="D6" t="s">
        <v>41</v>
      </c>
      <c r="E6" t="s">
        <v>40</v>
      </c>
      <c r="F6" s="7"/>
      <c r="I6" s="28" t="s">
        <v>39</v>
      </c>
      <c r="J6" s="28" t="s">
        <v>38</v>
      </c>
      <c r="K6" s="28" t="s">
        <v>37</v>
      </c>
      <c r="L6" s="28" t="s">
        <v>36</v>
      </c>
      <c r="M6" s="28" t="s">
        <v>35</v>
      </c>
      <c r="N6" s="28" t="s">
        <v>34</v>
      </c>
      <c r="O6" s="28" t="s">
        <v>33</v>
      </c>
      <c r="P6" s="28" t="s">
        <v>32</v>
      </c>
      <c r="Q6" s="28" t="s">
        <v>31</v>
      </c>
      <c r="R6" s="28" t="s">
        <v>30</v>
      </c>
      <c r="S6" s="28" t="s">
        <v>29</v>
      </c>
      <c r="T6" s="28" t="s">
        <v>28</v>
      </c>
      <c r="U6" s="28" t="s">
        <v>27</v>
      </c>
      <c r="V6" s="28" t="s">
        <v>26</v>
      </c>
      <c r="W6" s="28" t="s">
        <v>25</v>
      </c>
      <c r="X6" s="28" t="s">
        <v>24</v>
      </c>
      <c r="Y6" s="28" t="s">
        <v>23</v>
      </c>
      <c r="Z6" s="28" t="s">
        <v>22</v>
      </c>
      <c r="AA6" s="28" t="s">
        <v>21</v>
      </c>
      <c r="AB6" s="28" t="s">
        <v>20</v>
      </c>
      <c r="AC6" s="28" t="s">
        <v>19</v>
      </c>
    </row>
    <row r="7" spans="1:32" ht="15.75" thickBot="1" x14ac:dyDescent="0.3">
      <c r="A7" t="s">
        <v>18</v>
      </c>
      <c r="B7">
        <v>170</v>
      </c>
      <c r="C7">
        <v>150</v>
      </c>
      <c r="D7">
        <v>36</v>
      </c>
      <c r="E7">
        <v>10</v>
      </c>
      <c r="F7" s="7"/>
      <c r="H7" s="25" t="s">
        <v>17</v>
      </c>
      <c r="I7" s="27">
        <v>138.38383838383842</v>
      </c>
      <c r="J7" s="27">
        <v>88.888888888888886</v>
      </c>
      <c r="K7" s="27">
        <v>272.72727272727269</v>
      </c>
      <c r="L7" s="27">
        <v>0</v>
      </c>
      <c r="M7" s="27">
        <v>0</v>
      </c>
      <c r="N7" s="27">
        <v>180.55555555555546</v>
      </c>
      <c r="O7" s="27">
        <v>53.333333333333371</v>
      </c>
      <c r="P7" s="27">
        <v>5999.9999999999991</v>
      </c>
      <c r="Q7" s="27">
        <v>0</v>
      </c>
      <c r="R7" s="27">
        <v>0</v>
      </c>
      <c r="S7" s="27">
        <v>0</v>
      </c>
      <c r="T7" s="27">
        <v>145.95959595959567</v>
      </c>
      <c r="U7" s="27">
        <v>26.666666666666664</v>
      </c>
      <c r="V7" s="27">
        <v>5454.545454545455</v>
      </c>
      <c r="W7" s="27">
        <v>0</v>
      </c>
      <c r="X7" s="27">
        <v>0</v>
      </c>
      <c r="Y7" s="27">
        <v>0</v>
      </c>
      <c r="Z7" s="27">
        <v>111.36363636363626</v>
      </c>
      <c r="AA7" s="27">
        <v>0</v>
      </c>
      <c r="AB7" s="27">
        <v>4909.090909090909</v>
      </c>
      <c r="AC7" s="27">
        <v>0</v>
      </c>
    </row>
    <row r="8" spans="1:32" ht="15.75" thickBot="1" x14ac:dyDescent="0.3">
      <c r="A8" t="s">
        <v>16</v>
      </c>
      <c r="B8">
        <f>B2*B7-B3</f>
        <v>275</v>
      </c>
      <c r="C8">
        <f>C2*C7-C3</f>
        <v>220</v>
      </c>
      <c r="D8">
        <f>D2*D7-D3</f>
        <v>460</v>
      </c>
      <c r="E8">
        <f>D2*E7-D3</f>
        <v>-60</v>
      </c>
      <c r="F8" s="7"/>
      <c r="H8" s="25" t="s">
        <v>15</v>
      </c>
      <c r="I8" s="25">
        <f>I4*I2</f>
        <v>150</v>
      </c>
      <c r="J8" s="25">
        <f t="shared" ref="J8:AC8" si="2">J4*J2</f>
        <v>230</v>
      </c>
      <c r="K8" s="25">
        <f t="shared" si="2"/>
        <v>260</v>
      </c>
      <c r="L8" s="25">
        <f t="shared" si="2"/>
        <v>71.400000000000006</v>
      </c>
      <c r="M8" s="25">
        <f t="shared" si="2"/>
        <v>63</v>
      </c>
      <c r="N8" s="25">
        <f t="shared" si="2"/>
        <v>-51</v>
      </c>
      <c r="O8" s="25">
        <f t="shared" si="2"/>
        <v>-45</v>
      </c>
      <c r="P8" s="25">
        <f t="shared" si="2"/>
        <v>-12</v>
      </c>
      <c r="Q8" s="25">
        <f t="shared" si="2"/>
        <v>-3.333333333333333</v>
      </c>
      <c r="R8" s="25">
        <f t="shared" si="2"/>
        <v>79.333333333333329</v>
      </c>
      <c r="S8" s="25">
        <f t="shared" si="2"/>
        <v>70</v>
      </c>
      <c r="T8" s="25">
        <f>T4*T2</f>
        <v>-56.666666666666664</v>
      </c>
      <c r="U8" s="25">
        <f t="shared" si="2"/>
        <v>-50</v>
      </c>
      <c r="V8" s="25">
        <f t="shared" si="2"/>
        <v>-12</v>
      </c>
      <c r="W8" s="25">
        <f t="shared" si="2"/>
        <v>-3.333333333333333</v>
      </c>
      <c r="X8" s="25">
        <f t="shared" si="2"/>
        <v>87.266666666666666</v>
      </c>
      <c r="Y8" s="25">
        <f t="shared" si="2"/>
        <v>77</v>
      </c>
      <c r="Z8" s="25">
        <f t="shared" si="2"/>
        <v>-62.333333333333343</v>
      </c>
      <c r="AA8" s="25">
        <f t="shared" si="2"/>
        <v>-55</v>
      </c>
      <c r="AB8" s="25">
        <f t="shared" si="2"/>
        <v>-12</v>
      </c>
      <c r="AC8" s="25">
        <f t="shared" si="2"/>
        <v>-3.333333333333333</v>
      </c>
      <c r="AD8" s="26">
        <f t="shared" ref="AD8:AD21" si="3">SUMPRODUCT(I8:AC8,$I$7:$AC$7)</f>
        <v>-112406.90235690231</v>
      </c>
    </row>
    <row r="9" spans="1:32" x14ac:dyDescent="0.25">
      <c r="A9" t="s">
        <v>14</v>
      </c>
      <c r="B9" t="s">
        <v>13</v>
      </c>
      <c r="C9" t="s">
        <v>12</v>
      </c>
      <c r="D9" t="s">
        <v>11</v>
      </c>
      <c r="E9" t="s">
        <v>10</v>
      </c>
      <c r="F9" s="7"/>
      <c r="H9" s="25" t="s">
        <v>9</v>
      </c>
      <c r="I9" s="23">
        <v>1</v>
      </c>
      <c r="J9" s="22">
        <v>1</v>
      </c>
      <c r="K9" s="22">
        <v>1</v>
      </c>
      <c r="L9" s="23"/>
      <c r="M9" s="22"/>
      <c r="N9" s="22"/>
      <c r="O9" s="22"/>
      <c r="P9" s="22"/>
      <c r="Q9" s="21"/>
      <c r="R9" s="23"/>
      <c r="S9" s="24"/>
      <c r="T9" s="22"/>
      <c r="U9" s="22"/>
      <c r="V9" s="22"/>
      <c r="W9" s="21"/>
      <c r="X9" s="23"/>
      <c r="Y9" s="22"/>
      <c r="Z9" s="22"/>
      <c r="AA9" s="22"/>
      <c r="AB9" s="22"/>
      <c r="AC9" s="21"/>
      <c r="AD9" s="3">
        <f t="shared" si="3"/>
        <v>500</v>
      </c>
      <c r="AE9" s="16" t="s">
        <v>8</v>
      </c>
      <c r="AF9" s="15">
        <v>500</v>
      </c>
    </row>
    <row r="10" spans="1:32" x14ac:dyDescent="0.25">
      <c r="F10" s="7"/>
      <c r="G10" s="32" t="s">
        <v>7</v>
      </c>
      <c r="H10" s="13" t="s">
        <v>4</v>
      </c>
      <c r="I10" s="14">
        <f>1.1*2.5</f>
        <v>2.75</v>
      </c>
      <c r="J10" s="13">
        <v>0</v>
      </c>
      <c r="K10" s="12">
        <v>0</v>
      </c>
      <c r="L10" s="14">
        <v>1</v>
      </c>
      <c r="M10" s="13">
        <v>0</v>
      </c>
      <c r="N10" s="13">
        <v>-1</v>
      </c>
      <c r="O10" s="13">
        <v>0</v>
      </c>
      <c r="P10" s="13">
        <v>0</v>
      </c>
      <c r="Q10" s="12">
        <v>0</v>
      </c>
      <c r="R10" s="14"/>
      <c r="S10" s="20"/>
      <c r="T10" s="13"/>
      <c r="U10" s="13"/>
      <c r="V10" s="13"/>
      <c r="W10" s="12"/>
      <c r="X10" s="14"/>
      <c r="Y10" s="13"/>
      <c r="Z10" s="13"/>
      <c r="AA10" s="13"/>
      <c r="AB10" s="13"/>
      <c r="AC10" s="12"/>
      <c r="AD10" s="3">
        <f t="shared" si="3"/>
        <v>200.0000000000002</v>
      </c>
      <c r="AE10" s="19" t="s">
        <v>0</v>
      </c>
      <c r="AF10" s="18">
        <v>200</v>
      </c>
    </row>
    <row r="11" spans="1:32" x14ac:dyDescent="0.25">
      <c r="F11" s="7"/>
      <c r="G11" s="33"/>
      <c r="H11" t="s">
        <v>3</v>
      </c>
      <c r="I11" s="11">
        <v>0</v>
      </c>
      <c r="J11">
        <f>1.1*3</f>
        <v>3.3000000000000003</v>
      </c>
      <c r="K11" s="10">
        <v>0</v>
      </c>
      <c r="L11" s="11">
        <v>0</v>
      </c>
      <c r="M11">
        <v>1</v>
      </c>
      <c r="N11">
        <v>0</v>
      </c>
      <c r="O11">
        <v>-1</v>
      </c>
      <c r="P11">
        <v>0</v>
      </c>
      <c r="Q11" s="10">
        <v>0</v>
      </c>
      <c r="R11" s="11"/>
      <c r="S11" s="17"/>
      <c r="W11" s="10"/>
      <c r="X11" s="11"/>
      <c r="AC11" s="10"/>
      <c r="AD11" s="3">
        <f t="shared" si="3"/>
        <v>240</v>
      </c>
      <c r="AE11" s="9" t="s">
        <v>0</v>
      </c>
      <c r="AF11" s="8">
        <v>240</v>
      </c>
    </row>
    <row r="12" spans="1:32" x14ac:dyDescent="0.25">
      <c r="F12" s="7"/>
      <c r="G12" s="33"/>
      <c r="H12" t="s">
        <v>2</v>
      </c>
      <c r="I12" s="11">
        <v>0</v>
      </c>
      <c r="J12">
        <v>0</v>
      </c>
      <c r="K12" s="10">
        <f>1.1*20</f>
        <v>22</v>
      </c>
      <c r="L12" s="11">
        <v>0</v>
      </c>
      <c r="M12">
        <v>0</v>
      </c>
      <c r="N12">
        <v>0</v>
      </c>
      <c r="O12">
        <v>0</v>
      </c>
      <c r="P12">
        <v>-1</v>
      </c>
      <c r="Q12" s="10">
        <v>-1</v>
      </c>
      <c r="R12" s="11"/>
      <c r="S12" s="17"/>
      <c r="W12" s="10"/>
      <c r="X12" s="11"/>
      <c r="AC12" s="10"/>
      <c r="AD12" s="3">
        <f t="shared" si="3"/>
        <v>0</v>
      </c>
      <c r="AE12" s="9" t="s">
        <v>0</v>
      </c>
      <c r="AF12" s="8">
        <v>0</v>
      </c>
    </row>
    <row r="13" spans="1:32" x14ac:dyDescent="0.25">
      <c r="F13" s="7"/>
      <c r="G13" s="34"/>
      <c r="H13" s="5" t="s">
        <v>1</v>
      </c>
      <c r="I13" s="6">
        <v>0</v>
      </c>
      <c r="J13" s="5">
        <v>0</v>
      </c>
      <c r="K13" s="4">
        <v>0</v>
      </c>
      <c r="L13" s="6">
        <v>0</v>
      </c>
      <c r="M13" s="5">
        <v>0</v>
      </c>
      <c r="N13" s="5">
        <v>0</v>
      </c>
      <c r="O13" s="5">
        <v>0</v>
      </c>
      <c r="P13" s="5">
        <v>-1</v>
      </c>
      <c r="Q13" s="4">
        <v>0</v>
      </c>
      <c r="R13" s="6"/>
      <c r="S13" s="5"/>
      <c r="T13" s="5"/>
      <c r="U13" s="5"/>
      <c r="V13" s="5"/>
      <c r="W13" s="4"/>
      <c r="X13" s="6"/>
      <c r="Y13" s="5"/>
      <c r="Z13" s="5"/>
      <c r="AA13" s="5"/>
      <c r="AB13" s="5"/>
      <c r="AC13" s="4"/>
      <c r="AD13" s="3">
        <f t="shared" si="3"/>
        <v>-5999.9999999999991</v>
      </c>
      <c r="AE13" s="9" t="s">
        <v>0</v>
      </c>
      <c r="AF13" s="8">
        <v>-6000</v>
      </c>
    </row>
    <row r="14" spans="1:32" x14ac:dyDescent="0.25">
      <c r="F14" s="7"/>
      <c r="G14" s="32" t="s">
        <v>6</v>
      </c>
      <c r="H14" s="13" t="s">
        <v>4</v>
      </c>
      <c r="I14" s="14">
        <v>2.5</v>
      </c>
      <c r="J14" s="13">
        <v>0</v>
      </c>
      <c r="K14" s="12">
        <v>0</v>
      </c>
      <c r="L14" s="14"/>
      <c r="M14" s="13"/>
      <c r="N14" s="13"/>
      <c r="O14" s="13"/>
      <c r="P14" s="13"/>
      <c r="Q14" s="12"/>
      <c r="R14" s="14">
        <v>1</v>
      </c>
      <c r="S14" s="13">
        <v>0</v>
      </c>
      <c r="T14" s="13">
        <v>-1</v>
      </c>
      <c r="U14" s="13">
        <v>0</v>
      </c>
      <c r="V14" s="13">
        <v>0</v>
      </c>
      <c r="W14" s="12">
        <v>0</v>
      </c>
      <c r="X14" s="14"/>
      <c r="Y14" s="13"/>
      <c r="Z14" s="13"/>
      <c r="AA14" s="13"/>
      <c r="AB14" s="13"/>
      <c r="AC14" s="12"/>
      <c r="AD14" s="3">
        <f t="shared" si="3"/>
        <v>200.0000000000004</v>
      </c>
      <c r="AE14" s="16" t="s">
        <v>0</v>
      </c>
      <c r="AF14" s="15">
        <v>200</v>
      </c>
    </row>
    <row r="15" spans="1:32" x14ac:dyDescent="0.25">
      <c r="F15" s="7"/>
      <c r="G15" s="33"/>
      <c r="H15" t="s">
        <v>3</v>
      </c>
      <c r="I15" s="11">
        <v>0</v>
      </c>
      <c r="J15">
        <v>3</v>
      </c>
      <c r="K15" s="10">
        <v>0</v>
      </c>
      <c r="L15" s="11"/>
      <c r="Q15" s="10"/>
      <c r="R15" s="11">
        <v>0</v>
      </c>
      <c r="S15">
        <v>1</v>
      </c>
      <c r="T15">
        <v>0</v>
      </c>
      <c r="U15">
        <v>-1</v>
      </c>
      <c r="V15">
        <v>0</v>
      </c>
      <c r="W15" s="10">
        <v>0</v>
      </c>
      <c r="X15" s="11"/>
      <c r="AC15" s="10"/>
      <c r="AD15" s="3">
        <f t="shared" si="3"/>
        <v>239.99999999999997</v>
      </c>
      <c r="AE15" s="9" t="s">
        <v>0</v>
      </c>
      <c r="AF15" s="8">
        <v>240</v>
      </c>
    </row>
    <row r="16" spans="1:32" x14ac:dyDescent="0.25">
      <c r="F16" s="7"/>
      <c r="G16" s="33"/>
      <c r="H16" t="s">
        <v>2</v>
      </c>
      <c r="I16" s="11">
        <v>0</v>
      </c>
      <c r="J16">
        <v>0</v>
      </c>
      <c r="K16" s="10">
        <v>20</v>
      </c>
      <c r="L16" s="11"/>
      <c r="Q16" s="10"/>
      <c r="R16" s="11">
        <v>0</v>
      </c>
      <c r="S16">
        <v>0</v>
      </c>
      <c r="T16">
        <v>0</v>
      </c>
      <c r="U16">
        <v>0</v>
      </c>
      <c r="V16">
        <v>-1</v>
      </c>
      <c r="W16" s="10">
        <v>-1</v>
      </c>
      <c r="X16" s="11"/>
      <c r="AC16" s="10"/>
      <c r="AD16" s="3">
        <f t="shared" si="3"/>
        <v>-9.0949470177292824E-13</v>
      </c>
      <c r="AE16" s="9" t="s">
        <v>0</v>
      </c>
      <c r="AF16" s="8">
        <v>0</v>
      </c>
    </row>
    <row r="17" spans="6:32" x14ac:dyDescent="0.25">
      <c r="F17" s="7"/>
      <c r="G17" s="34"/>
      <c r="H17" s="5" t="s">
        <v>1</v>
      </c>
      <c r="I17" s="6">
        <v>0</v>
      </c>
      <c r="J17" s="5">
        <v>0</v>
      </c>
      <c r="K17" s="4">
        <v>0</v>
      </c>
      <c r="L17" s="6"/>
      <c r="M17" s="5"/>
      <c r="N17" s="5"/>
      <c r="O17" s="5"/>
      <c r="P17" s="5"/>
      <c r="Q17" s="4"/>
      <c r="R17" s="6">
        <v>0</v>
      </c>
      <c r="S17" s="5">
        <v>0</v>
      </c>
      <c r="T17" s="5">
        <v>0</v>
      </c>
      <c r="U17" s="5">
        <v>0</v>
      </c>
      <c r="V17" s="5">
        <v>-1</v>
      </c>
      <c r="W17" s="4">
        <v>0</v>
      </c>
      <c r="X17" s="6"/>
      <c r="Y17" s="5"/>
      <c r="Z17" s="5"/>
      <c r="AA17" s="5"/>
      <c r="AB17" s="5"/>
      <c r="AC17" s="4"/>
      <c r="AD17" s="3">
        <f t="shared" si="3"/>
        <v>-5454.545454545455</v>
      </c>
      <c r="AE17" s="2" t="s">
        <v>0</v>
      </c>
      <c r="AF17" s="1">
        <v>-6000</v>
      </c>
    </row>
    <row r="18" spans="6:32" x14ac:dyDescent="0.25">
      <c r="F18" s="7"/>
      <c r="G18" s="32" t="s">
        <v>5</v>
      </c>
      <c r="H18" s="13" t="s">
        <v>4</v>
      </c>
      <c r="I18" s="14">
        <f>0.9*2.5</f>
        <v>2.25</v>
      </c>
      <c r="J18" s="13">
        <v>0</v>
      </c>
      <c r="K18" s="12">
        <v>0</v>
      </c>
      <c r="L18" s="14"/>
      <c r="M18" s="13"/>
      <c r="N18" s="13"/>
      <c r="O18" s="13"/>
      <c r="P18" s="13"/>
      <c r="Q18" s="12"/>
      <c r="R18" s="14"/>
      <c r="S18" s="13"/>
      <c r="T18" s="13"/>
      <c r="U18" s="13"/>
      <c r="V18" s="13"/>
      <c r="W18" s="12"/>
      <c r="X18" s="14">
        <v>1</v>
      </c>
      <c r="Y18" s="13">
        <v>0</v>
      </c>
      <c r="Z18" s="13">
        <v>-1</v>
      </c>
      <c r="AA18" s="13">
        <v>0</v>
      </c>
      <c r="AB18" s="13">
        <v>0</v>
      </c>
      <c r="AC18" s="12">
        <v>0</v>
      </c>
      <c r="AD18" s="3">
        <f t="shared" si="3"/>
        <v>200.00000000000017</v>
      </c>
      <c r="AE18" s="9" t="s">
        <v>0</v>
      </c>
      <c r="AF18" s="8">
        <v>200</v>
      </c>
    </row>
    <row r="19" spans="6:32" x14ac:dyDescent="0.25">
      <c r="F19" s="7"/>
      <c r="G19" s="33"/>
      <c r="H19" t="s">
        <v>3</v>
      </c>
      <c r="I19" s="11">
        <v>0</v>
      </c>
      <c r="J19">
        <f>0.9*3</f>
        <v>2.7</v>
      </c>
      <c r="K19" s="10">
        <v>0</v>
      </c>
      <c r="L19" s="11"/>
      <c r="Q19" s="10"/>
      <c r="R19" s="11"/>
      <c r="W19" s="10"/>
      <c r="X19" s="11">
        <v>0</v>
      </c>
      <c r="Y19">
        <v>1</v>
      </c>
      <c r="Z19">
        <v>0</v>
      </c>
      <c r="AA19">
        <v>-1</v>
      </c>
      <c r="AB19">
        <v>0</v>
      </c>
      <c r="AC19" s="10">
        <v>0</v>
      </c>
      <c r="AD19" s="3">
        <f t="shared" si="3"/>
        <v>240</v>
      </c>
      <c r="AE19" s="9" t="s">
        <v>0</v>
      </c>
      <c r="AF19" s="8">
        <v>240</v>
      </c>
    </row>
    <row r="20" spans="6:32" x14ac:dyDescent="0.25">
      <c r="F20" s="7"/>
      <c r="G20" s="33"/>
      <c r="H20" t="s">
        <v>2</v>
      </c>
      <c r="I20" s="11">
        <v>0</v>
      </c>
      <c r="J20">
        <v>0</v>
      </c>
      <c r="K20" s="10">
        <f>0.9*20</f>
        <v>18</v>
      </c>
      <c r="L20" s="11"/>
      <c r="Q20" s="10"/>
      <c r="R20" s="11"/>
      <c r="W20" s="10"/>
      <c r="X20" s="11">
        <v>0</v>
      </c>
      <c r="Y20">
        <v>0</v>
      </c>
      <c r="Z20">
        <v>0</v>
      </c>
      <c r="AA20">
        <v>0</v>
      </c>
      <c r="AB20">
        <v>-1</v>
      </c>
      <c r="AC20" s="10">
        <v>-1</v>
      </c>
      <c r="AD20" s="3">
        <f t="shared" si="3"/>
        <v>-9.0949470177292824E-13</v>
      </c>
      <c r="AE20" s="9" t="s">
        <v>0</v>
      </c>
      <c r="AF20" s="8">
        <v>0</v>
      </c>
    </row>
    <row r="21" spans="6:32" x14ac:dyDescent="0.25">
      <c r="F21" s="7"/>
      <c r="G21" s="34"/>
      <c r="H21" s="5" t="s">
        <v>1</v>
      </c>
      <c r="I21" s="6">
        <v>0</v>
      </c>
      <c r="J21" s="5">
        <v>0</v>
      </c>
      <c r="K21" s="4">
        <v>0</v>
      </c>
      <c r="L21" s="6"/>
      <c r="M21" s="5"/>
      <c r="N21" s="5"/>
      <c r="O21" s="5"/>
      <c r="P21" s="5"/>
      <c r="Q21" s="4"/>
      <c r="R21" s="6"/>
      <c r="S21" s="5"/>
      <c r="T21" s="5"/>
      <c r="U21" s="5"/>
      <c r="V21" s="5"/>
      <c r="W21" s="4"/>
      <c r="X21" s="6">
        <v>0</v>
      </c>
      <c r="Y21" s="5">
        <v>0</v>
      </c>
      <c r="Z21" s="5">
        <v>0</v>
      </c>
      <c r="AA21" s="5">
        <v>0</v>
      </c>
      <c r="AB21" s="5">
        <v>-1</v>
      </c>
      <c r="AC21" s="4">
        <v>0</v>
      </c>
      <c r="AD21" s="3">
        <f t="shared" si="3"/>
        <v>-4909.090909090909</v>
      </c>
      <c r="AE21" s="2" t="s">
        <v>0</v>
      </c>
      <c r="AF21" s="1">
        <v>-6000</v>
      </c>
    </row>
  </sheetData>
  <mergeCells count="3">
    <mergeCell ref="G10:G13"/>
    <mergeCell ref="G14:G17"/>
    <mergeCell ref="G18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Janpitak</dc:creator>
  <cp:lastModifiedBy>Pannatorn  Janpitak</cp:lastModifiedBy>
  <dcterms:created xsi:type="dcterms:W3CDTF">2026-10-05T06:11:33Z</dcterms:created>
  <dcterms:modified xsi:type="dcterms:W3CDTF">2026-10-05T13:21:50Z</dcterms:modified>
</cp:coreProperties>
</file>