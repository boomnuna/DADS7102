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HW5\result\"/>
    </mc:Choice>
  </mc:AlternateContent>
  <xr:revisionPtr revIDLastSave="0" documentId="13_ncr:1_{72095350-9FC6-484B-A152-247881C55592}" xr6:coauthVersionLast="47" xr6:coauthVersionMax="47" xr10:uidLastSave="{00000000-0000-0000-0000-000000000000}"/>
  <bookViews>
    <workbookView xWindow="5850" yWindow="4080" windowWidth="21600" windowHeight="11295" activeTab="1" xr2:uid="{33498688-4029-4D37-9392-6E2D196B3B0C}"/>
  </bookViews>
  <sheets>
    <sheet name="WH Location " sheetId="1" r:id="rId1"/>
    <sheet name="Uncapacitated Facility" sheetId="2" r:id="rId2"/>
  </sheets>
  <externalReferences>
    <externalReference r:id="rId3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'WH Location '!$B$6:$C$6,'WH Location '!$I$2:$J$5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'WH Location '!$I$2:$I$5</definedName>
    <definedName name="solver_lhs2" localSheetId="0" hidden="1">'WH Location '!$I$2:$I$5</definedName>
    <definedName name="solver_lhs3" localSheetId="0" hidden="1">'WH Location '!$J$2:$J$5</definedName>
    <definedName name="solver_lhs4" localSheetId="0" hidden="1">'WH Location '!$J$2:$J$5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'WH Location '!$F$7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3</definedName>
    <definedName name="solver_rel3" localSheetId="0" hidden="1">3</definedName>
    <definedName name="solver_rel4" localSheetId="0" hidden="1">3</definedName>
    <definedName name="solver_rhs1" localSheetId="0" hidden="1">'WH Location '!$E$2:$E$5</definedName>
    <definedName name="solver_rhs2" localSheetId="0" hidden="1">'WH Location '!$F$2:$F$5</definedName>
    <definedName name="solver_rhs3" localSheetId="0" hidden="1">'WH Location '!$G$2:$G$5</definedName>
    <definedName name="solver_rhs4" localSheetId="0" hidden="1">'WH Location '!$H$2:$H$5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G4" i="1"/>
  <c r="H4" i="1" s="1"/>
  <c r="G2" i="1"/>
  <c r="H2" i="1" s="1"/>
  <c r="E2" i="1"/>
  <c r="F2" i="1" s="1"/>
  <c r="G3" i="1"/>
  <c r="H3" i="1" s="1"/>
  <c r="G5" i="1"/>
  <c r="H5" i="1" s="1"/>
  <c r="E5" i="1"/>
  <c r="E4" i="1"/>
  <c r="E3" i="1"/>
  <c r="F5" i="1" l="1"/>
  <c r="F4" i="1"/>
  <c r="F3" i="1"/>
  <c r="F7" i="1" l="1"/>
</calcChain>
</file>

<file path=xl/sharedStrings.xml><?xml version="1.0" encoding="utf-8"?>
<sst xmlns="http://schemas.openxmlformats.org/spreadsheetml/2006/main" count="13" uniqueCount="13">
  <si>
    <t>WH location</t>
  </si>
  <si>
    <t>Total yearly distance from WH to customers</t>
  </si>
  <si>
    <t>Customer (j)</t>
  </si>
  <si>
    <t>yj-y</t>
  </si>
  <si>
    <t>Long (Yj)</t>
  </si>
  <si>
    <t>Lat (Xj)</t>
  </si>
  <si>
    <t xml:space="preserve">xj-x </t>
  </si>
  <si>
    <t>(yj-y)</t>
  </si>
  <si>
    <t>Sj</t>
  </si>
  <si>
    <t>Tj</t>
  </si>
  <si>
    <t>(xj-x)</t>
  </si>
  <si>
    <t>Rj(Sj+Tj)</t>
  </si>
  <si>
    <t># of shipments per year (Rj)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</si>
</sst>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NumberFormat="1"/>
    <xf numFmtId="0" fontId="0" fillId="3" borderId="1" xfId="0" applyNumberFormat="1" applyFill="1" applyBorder="1"/>
    <xf numFmtId="0" fontId="0" fillId="2" borderId="0" xfId="0" applyNumberFormat="1" applyFill="1"/>
    <xf numFmtId="0" fontId="0" fillId="4" borderId="0" xfId="0" applyNumberFormat="1" applyFill="1"/>
    <xf numFmtId="164" fontId="0" fillId="2" borderId="0" xfId="0" applyNumberForma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/Documents/GitHub/DADS7102/class_excel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F4FE-D4FD-4FAF-995E-613C0C8290EC}">
  <dimension ref="A1:K7"/>
  <sheetViews>
    <sheetView zoomScaleNormal="100" workbookViewId="0">
      <selection activeCell="G11" sqref="G11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8" bestFit="1" customWidth="1"/>
    <col min="4" max="4" width="23.5703125" bestFit="1" customWidth="1"/>
    <col min="5" max="6" width="9.140625" bestFit="1" customWidth="1"/>
    <col min="7" max="7" width="4.140625" customWidth="1"/>
    <col min="8" max="8" width="6" customWidth="1"/>
    <col min="9" max="9" width="8" bestFit="1" customWidth="1"/>
  </cols>
  <sheetData>
    <row r="1" spans="1:11" ht="30" x14ac:dyDescent="0.25">
      <c r="A1" s="1" t="s">
        <v>2</v>
      </c>
      <c r="B1" s="2" t="s">
        <v>5</v>
      </c>
      <c r="C1" s="2" t="s">
        <v>4</v>
      </c>
      <c r="D1" s="2" t="s">
        <v>12</v>
      </c>
      <c r="E1" s="2" t="s">
        <v>6</v>
      </c>
      <c r="F1" s="2" t="s">
        <v>10</v>
      </c>
      <c r="G1" s="2" t="s">
        <v>3</v>
      </c>
      <c r="H1" s="2" t="s">
        <v>7</v>
      </c>
      <c r="I1" s="2" t="s">
        <v>8</v>
      </c>
      <c r="J1" s="2" t="s">
        <v>9</v>
      </c>
      <c r="K1" s="2" t="s">
        <v>11</v>
      </c>
    </row>
    <row r="2" spans="1:11" x14ac:dyDescent="0.25">
      <c r="A2" s="3">
        <v>1</v>
      </c>
      <c r="B2" s="3">
        <v>5</v>
      </c>
      <c r="C2" s="3">
        <v>10</v>
      </c>
      <c r="D2" s="3">
        <v>200</v>
      </c>
      <c r="E2" s="6">
        <f>B2-$B$6</f>
        <v>-5</v>
      </c>
      <c r="F2" s="6">
        <f>-E2</f>
        <v>5</v>
      </c>
      <c r="G2" s="6">
        <f>C2 - $C$6</f>
        <v>5</v>
      </c>
      <c r="H2" s="6">
        <f>-G2</f>
        <v>-5</v>
      </c>
      <c r="I2" s="5">
        <v>5</v>
      </c>
      <c r="J2" s="5">
        <v>5</v>
      </c>
      <c r="K2">
        <f>SUMPRODUCT(D2,I2+J2)</f>
        <v>2000</v>
      </c>
    </row>
    <row r="3" spans="1:11" x14ac:dyDescent="0.25">
      <c r="A3" s="3">
        <v>2</v>
      </c>
      <c r="B3" s="3">
        <v>10</v>
      </c>
      <c r="C3" s="3">
        <v>5</v>
      </c>
      <c r="D3" s="3">
        <v>150</v>
      </c>
      <c r="E3" s="6">
        <f>B3-$B$6</f>
        <v>0</v>
      </c>
      <c r="F3" s="6">
        <f t="shared" ref="F3:F5" si="0">-E3</f>
        <v>0</v>
      </c>
      <c r="G3" s="6">
        <f>C3 - $C$6</f>
        <v>0</v>
      </c>
      <c r="H3" s="6">
        <f t="shared" ref="H3:H5" si="1">-G3</f>
        <v>0</v>
      </c>
      <c r="I3" s="5">
        <v>0</v>
      </c>
      <c r="J3" s="5">
        <v>0</v>
      </c>
      <c r="K3">
        <f t="shared" ref="K3:K5" si="2">SUMPRODUCT(D3,I3+J3)</f>
        <v>0</v>
      </c>
    </row>
    <row r="4" spans="1:11" x14ac:dyDescent="0.25">
      <c r="A4" s="3">
        <v>3</v>
      </c>
      <c r="B4" s="3">
        <v>0</v>
      </c>
      <c r="C4" s="3">
        <v>12</v>
      </c>
      <c r="D4" s="3">
        <v>200</v>
      </c>
      <c r="E4" s="6">
        <f>B4-$B$6</f>
        <v>-10</v>
      </c>
      <c r="F4" s="6">
        <f t="shared" si="0"/>
        <v>10</v>
      </c>
      <c r="G4" s="6">
        <f>C4 - $C$6</f>
        <v>7</v>
      </c>
      <c r="H4" s="6">
        <f t="shared" si="1"/>
        <v>-7</v>
      </c>
      <c r="I4" s="5">
        <v>10</v>
      </c>
      <c r="J4" s="5">
        <v>7</v>
      </c>
      <c r="K4">
        <f t="shared" si="2"/>
        <v>3400</v>
      </c>
    </row>
    <row r="5" spans="1:11" x14ac:dyDescent="0.25">
      <c r="A5" s="3">
        <v>4</v>
      </c>
      <c r="B5" s="3">
        <v>12</v>
      </c>
      <c r="C5" s="3">
        <v>0</v>
      </c>
      <c r="D5" s="3">
        <v>300</v>
      </c>
      <c r="E5" s="6">
        <f>B5-$B$6</f>
        <v>2</v>
      </c>
      <c r="F5" s="6">
        <f t="shared" si="0"/>
        <v>-2</v>
      </c>
      <c r="G5" s="6">
        <f>C5 - $C$6</f>
        <v>-5</v>
      </c>
      <c r="H5" s="6">
        <f t="shared" si="1"/>
        <v>5</v>
      </c>
      <c r="I5" s="5">
        <v>2</v>
      </c>
      <c r="J5" s="5">
        <v>5</v>
      </c>
      <c r="K5">
        <f t="shared" si="2"/>
        <v>2100</v>
      </c>
    </row>
    <row r="6" spans="1:11" x14ac:dyDescent="0.25">
      <c r="A6" t="s">
        <v>0</v>
      </c>
      <c r="B6" s="7">
        <v>10</v>
      </c>
      <c r="C6" s="7">
        <v>5</v>
      </c>
    </row>
    <row r="7" spans="1:11" x14ac:dyDescent="0.25">
      <c r="A7" s="8" t="s">
        <v>1</v>
      </c>
      <c r="B7" s="9"/>
      <c r="C7" s="9"/>
      <c r="D7" s="9"/>
      <c r="E7" s="10"/>
      <c r="F7" s="4">
        <f>SUM(K2:K5)</f>
        <v>7500</v>
      </c>
    </row>
  </sheetData>
  <mergeCells count="1">
    <mergeCell ref="A7:E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56CD-BB6F-471C-AEDD-324919B9EA08}">
  <dimension ref="A1"/>
  <sheetViews>
    <sheetView tabSelected="1" workbookViewId="0">
      <selection activeCell="H12" sqref="H1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WH Location </vt:lpstr>
      <vt:lpstr>Uncapacitated Facility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2026-09-05T14:40:18Z</dcterms:created>
  <dcterms:modified xsi:type="dcterms:W3CDTF">2026-09-07T01:52:12Z</dcterms:modified>
</cp:coreProperties>
</file>