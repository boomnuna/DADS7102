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una\Documents\GitHub\DADS7102\class_excel\"/>
    </mc:Choice>
  </mc:AlternateContent>
  <xr:revisionPtr revIDLastSave="0" documentId="13_ncr:1_{D510CBA6-8ABE-406F-B988-C45F43F6368E}" xr6:coauthVersionLast="47" xr6:coauthVersionMax="47" xr10:uidLastSave="{00000000-0000-0000-0000-000000000000}"/>
  <bookViews>
    <workbookView xWindow="-120" yWindow="-120" windowWidth="29040" windowHeight="15840" tabRatio="954" activeTab="7" xr2:uid="{00000000-000D-0000-FFFF-FFFF00000000}"/>
  </bookViews>
  <sheets>
    <sheet name="Advertising " sheetId="43" r:id="rId1"/>
    <sheet name="Advertising _Sensitivity Report" sheetId="42" r:id="rId2"/>
    <sheet name="monopolist" sheetId="41" r:id="rId3"/>
    <sheet name="Sensitivity Report 1" sheetId="34" r:id="rId4"/>
    <sheet name="ProductMix" sheetId="1" r:id="rId5"/>
    <sheet name="ProductMix_add_on" sheetId="32" r:id="rId6"/>
    <sheet name="ProductMix2 Sensitivity" sheetId="35" r:id="rId7"/>
    <sheet name="ProductMix2" sheetId="2" r:id="rId8"/>
    <sheet name="LM_2" sheetId="36" r:id="rId9"/>
    <sheet name="Dual" sheetId="17" r:id="rId10"/>
    <sheet name="ProdPlanning" sheetId="3" r:id="rId11"/>
    <sheet name="project" sheetId="18" r:id="rId12"/>
    <sheet name="BlendingOil" sheetId="4" r:id="rId13"/>
    <sheet name="Transport1" sheetId="5" r:id="rId14"/>
    <sheet name="AssignmentProblem" sheetId="20" r:id="rId15"/>
    <sheet name="BinPacking" sheetId="27" r:id="rId16"/>
    <sheet name="cuttingStock" sheetId="28" r:id="rId17"/>
    <sheet name="MCNF" sheetId="31" r:id="rId18"/>
    <sheet name="RedBrandLogistics" sheetId="6" r:id="rId19"/>
    <sheet name="HW3" sheetId="37" r:id="rId20"/>
    <sheet name="set_covering_model" sheetId="39" r:id="rId21"/>
    <sheet name="ShortestPath" sheetId="26" r:id="rId22"/>
    <sheet name="Aggregate1" sheetId="7" r:id="rId23"/>
    <sheet name="CapitalBudget" sheetId="8" r:id="rId24"/>
    <sheet name="FixedCost" sheetId="9" r:id="rId25"/>
    <sheet name="Hub" sheetId="10" r:id="rId26"/>
    <sheet name="WorkerScheduling" sheetId="11" r:id="rId27"/>
    <sheet name="Transport1-2" sheetId="12" r:id="rId28"/>
    <sheet name="MMULT" sheetId="13" r:id="rId29"/>
    <sheet name="MDETERM" sheetId="21" r:id="rId30"/>
    <sheet name="Peakload" sheetId="15" r:id="rId31"/>
    <sheet name="GameTheory" sheetId="40" r:id="rId32"/>
    <sheet name="Portfolio" sheetId="14" r:id="rId33"/>
    <sheet name="EOQ" sheetId="23" r:id="rId34"/>
    <sheet name="SVM1" sheetId="24" r:id="rId35"/>
    <sheet name="MLE" sheetId="25" r:id="rId36"/>
    <sheet name="OLS" sheetId="30" r:id="rId37"/>
    <sheet name="Location" sheetId="29" r:id="rId38"/>
  </sheets>
  <definedNames>
    <definedName name="AFinish">project!$K$6</definedName>
    <definedName name="AStart">project!$I$6</definedName>
    <definedName name="BFinish">project!$K$7</definedName>
    <definedName name="BStart">project!$I$7</definedName>
    <definedName name="CFinish">project!$K$8</definedName>
    <definedName name="CStart">project!$I$8</definedName>
    <definedName name="DFinish">project!$K$9</definedName>
    <definedName name="DStart">project!$I$9</definedName>
    <definedName name="EFinish">project!$K$10</definedName>
    <definedName name="EStart">project!$I$10</definedName>
    <definedName name="FFinish">project!$K$11</definedName>
    <definedName name="FStart">project!$I$11</definedName>
    <definedName name="GFinish">project!$K$12</definedName>
    <definedName name="GStart">project!$I$12</definedName>
    <definedName name="HFinish">project!$K$13</definedName>
    <definedName name="HStart">project!$I$13</definedName>
    <definedName name="IFinish">project!$K$14</definedName>
    <definedName name="invLevels">CapitalBudget!$B$10:$H$10</definedName>
    <definedName name="IStart">project!$I$14</definedName>
    <definedName name="JFinish">project!$K$15</definedName>
    <definedName name="JStart">project!$I$15</definedName>
    <definedName name="KFinish">project!$K$16</definedName>
    <definedName name="KStart">project!$I$16</definedName>
    <definedName name="LFinish">project!$K$17</definedName>
    <definedName name="LStart">project!$I$17</definedName>
    <definedName name="MFinish">project!$K$18</definedName>
    <definedName name="MStart">project!$I$18</definedName>
    <definedName name="NFinish">project!$K$19</definedName>
    <definedName name="NStart">project!$I$19</definedName>
    <definedName name="solver_adj" localSheetId="0" hidden="1">'Advertising '!$A$2:$B$2</definedName>
    <definedName name="solver_adj" localSheetId="14" hidden="1">AssignmentProblem!$C$13:$F$16</definedName>
    <definedName name="solver_adj" localSheetId="23" hidden="1">CapitalBudget!$B$10:$H$10</definedName>
    <definedName name="solver_adj" localSheetId="9" hidden="1">Dual!$I$4:$L$4</definedName>
    <definedName name="solver_adj" localSheetId="33" hidden="1">EOQ!$B$6</definedName>
    <definedName name="solver_adj" localSheetId="24" hidden="1">FixedCost!$B$14:$F$15</definedName>
    <definedName name="solver_adj" localSheetId="31" hidden="1">GameTheory!$B$2:$D$2</definedName>
    <definedName name="solver_adj" localSheetId="25" hidden="1">Hub!$B$21:$M$21</definedName>
    <definedName name="solver_adj" localSheetId="19" hidden="1">'HW3'!$E$5:$E$14</definedName>
    <definedName name="solver_adj" localSheetId="8" hidden="1">LM_2!$B$10:$I$10</definedName>
    <definedName name="solver_adj" localSheetId="37" hidden="1">Location!$B$6:$C$6</definedName>
    <definedName name="solver_adj" localSheetId="17" hidden="1">MCNF!$D$8:$D$13</definedName>
    <definedName name="solver_adj" localSheetId="2" hidden="1">monopolist!$A$2</definedName>
    <definedName name="solver_adj" localSheetId="30" hidden="1">Peakload!$B$13:$C$13,Peakload!$B$15</definedName>
    <definedName name="solver_adj" localSheetId="10" hidden="1">ProdPlanning!$B$12:$G$12</definedName>
    <definedName name="solver_adj" localSheetId="4" hidden="1">ProductMix!$B$16:$C$16</definedName>
    <definedName name="solver_adj" localSheetId="5" hidden="1">ProductMix_add_on!$B$16:$D$16</definedName>
    <definedName name="solver_adj" localSheetId="7" hidden="1">ProductMix2!$B$19:$I$20</definedName>
    <definedName name="solver_adj" localSheetId="11" hidden="1">project!$I$6:$J$19,project!$I$22</definedName>
    <definedName name="solver_adj" localSheetId="18" hidden="1">RedBrandLogistics!$D$8:$D$33</definedName>
    <definedName name="solver_adj" localSheetId="20" hidden="1">set_covering_model!$B$2:$G$2</definedName>
    <definedName name="solver_adj" localSheetId="34" hidden="1">'SVM1'!$B$2:$D$2,'SVM1'!$F$2</definedName>
    <definedName name="solver_adj" localSheetId="13" hidden="1">Transport1!$C$13:$F$15</definedName>
    <definedName name="solver_adj" localSheetId="26" hidden="1">WorkerScheduling!$N$3:$T$3</definedName>
    <definedName name="solver_cvg" localSheetId="0" hidden="1">0.0001</definedName>
    <definedName name="solver_cvg" localSheetId="14" hidden="1">0.0001</definedName>
    <definedName name="solver_cvg" localSheetId="23" hidden="1">0.0001</definedName>
    <definedName name="solver_cvg" localSheetId="9" hidden="1">0.0001</definedName>
    <definedName name="solver_cvg" localSheetId="33" hidden="1">0.0001</definedName>
    <definedName name="solver_cvg" localSheetId="24" hidden="1">0.0001</definedName>
    <definedName name="solver_cvg" localSheetId="31" hidden="1">0.0001</definedName>
    <definedName name="solver_cvg" localSheetId="25" hidden="1">0.0001</definedName>
    <definedName name="solver_cvg" localSheetId="19" hidden="1">0.0001</definedName>
    <definedName name="solver_cvg" localSheetId="8" hidden="1">0.0001</definedName>
    <definedName name="solver_cvg" localSheetId="37" hidden="1">0.0001</definedName>
    <definedName name="solver_cvg" localSheetId="17" hidden="1">0.0001</definedName>
    <definedName name="solver_cvg" localSheetId="2" hidden="1">0.0001</definedName>
    <definedName name="solver_cvg" localSheetId="30" hidden="1">0.0001</definedName>
    <definedName name="solver_cvg" localSheetId="10" hidden="1">0.0001</definedName>
    <definedName name="solver_cvg" localSheetId="4" hidden="1">0.0001</definedName>
    <definedName name="solver_cvg" localSheetId="5" hidden="1">0.0001</definedName>
    <definedName name="solver_cvg" localSheetId="7" hidden="1">0.0001</definedName>
    <definedName name="solver_cvg" localSheetId="11" hidden="1">0.0001</definedName>
    <definedName name="solver_cvg" localSheetId="18" hidden="1">0.0001</definedName>
    <definedName name="solver_cvg" localSheetId="20" hidden="1">0.0001</definedName>
    <definedName name="solver_cvg" localSheetId="13" hidden="1">0.0001</definedName>
    <definedName name="solver_cvg" localSheetId="26" hidden="1">0.0001</definedName>
    <definedName name="solver_drv" localSheetId="0" hidden="1">1</definedName>
    <definedName name="solver_drv" localSheetId="14" hidden="1">1</definedName>
    <definedName name="solver_drv" localSheetId="23" hidden="1">1</definedName>
    <definedName name="solver_drv" localSheetId="9" hidden="1">1</definedName>
    <definedName name="solver_drv" localSheetId="33" hidden="1">1</definedName>
    <definedName name="solver_drv" localSheetId="24" hidden="1">1</definedName>
    <definedName name="solver_drv" localSheetId="31" hidden="1">1</definedName>
    <definedName name="solver_drv" localSheetId="25" hidden="1">1</definedName>
    <definedName name="solver_drv" localSheetId="19" hidden="1">2</definedName>
    <definedName name="solver_drv" localSheetId="8" hidden="1">1</definedName>
    <definedName name="solver_drv" localSheetId="37" hidden="1">1</definedName>
    <definedName name="solver_drv" localSheetId="17" hidden="1">1</definedName>
    <definedName name="solver_drv" localSheetId="2" hidden="1">1</definedName>
    <definedName name="solver_drv" localSheetId="30" hidden="1">2</definedName>
    <definedName name="solver_drv" localSheetId="10" hidden="1">1</definedName>
    <definedName name="solver_drv" localSheetId="4" hidden="1">1</definedName>
    <definedName name="solver_drv" localSheetId="5" hidden="1">1</definedName>
    <definedName name="solver_drv" localSheetId="7" hidden="1">1</definedName>
    <definedName name="solver_drv" localSheetId="11" hidden="1">1</definedName>
    <definedName name="solver_drv" localSheetId="18" hidden="1">1</definedName>
    <definedName name="solver_drv" localSheetId="20" hidden="1">1</definedName>
    <definedName name="solver_drv" localSheetId="13" hidden="1">1</definedName>
    <definedName name="solver_drv" localSheetId="26" hidden="1">1</definedName>
    <definedName name="solver_eng" localSheetId="0" hidden="1">1</definedName>
    <definedName name="solver_eng" localSheetId="14" hidden="1">2</definedName>
    <definedName name="solver_eng" localSheetId="23" hidden="1">2</definedName>
    <definedName name="solver_eng" localSheetId="9" hidden="1">2</definedName>
    <definedName name="solver_eng" localSheetId="33" hidden="1">1</definedName>
    <definedName name="solver_eng" localSheetId="24" hidden="1">2</definedName>
    <definedName name="solver_eng" localSheetId="31" hidden="1">2</definedName>
    <definedName name="solver_eng" localSheetId="25" hidden="1">2</definedName>
    <definedName name="solver_eng" localSheetId="19" hidden="1">2</definedName>
    <definedName name="solver_eng" localSheetId="8" hidden="1">2</definedName>
    <definedName name="solver_eng" localSheetId="37" hidden="1">1</definedName>
    <definedName name="solver_eng" localSheetId="17" hidden="1">2</definedName>
    <definedName name="solver_eng" localSheetId="2" hidden="1">1</definedName>
    <definedName name="solver_eng" localSheetId="30" hidden="1">1</definedName>
    <definedName name="solver_eng" localSheetId="10" hidden="1">2</definedName>
    <definedName name="solver_eng" localSheetId="4" hidden="1">2</definedName>
    <definedName name="solver_eng" localSheetId="5" hidden="1">2</definedName>
    <definedName name="solver_eng" localSheetId="7" hidden="1">2</definedName>
    <definedName name="solver_eng" localSheetId="11" hidden="1">2</definedName>
    <definedName name="solver_eng" localSheetId="18" hidden="1">2</definedName>
    <definedName name="solver_eng" localSheetId="20" hidden="1">2</definedName>
    <definedName name="solver_eng" localSheetId="34" hidden="1">1</definedName>
    <definedName name="solver_eng" localSheetId="13" hidden="1">2</definedName>
    <definedName name="solver_eng" localSheetId="26" hidden="1">2</definedName>
    <definedName name="solver_est" localSheetId="0" hidden="1">1</definedName>
    <definedName name="solver_est" localSheetId="14" hidden="1">1</definedName>
    <definedName name="solver_est" localSheetId="23" hidden="1">1</definedName>
    <definedName name="solver_est" localSheetId="9" hidden="1">1</definedName>
    <definedName name="solver_est" localSheetId="33" hidden="1">1</definedName>
    <definedName name="solver_est" localSheetId="24" hidden="1">1</definedName>
    <definedName name="solver_est" localSheetId="31" hidden="1">1</definedName>
    <definedName name="solver_est" localSheetId="25" hidden="1">1</definedName>
    <definedName name="solver_est" localSheetId="19" hidden="1">1</definedName>
    <definedName name="solver_est" localSheetId="8" hidden="1">1</definedName>
    <definedName name="solver_est" localSheetId="37" hidden="1">1</definedName>
    <definedName name="solver_est" localSheetId="17" hidden="1">1</definedName>
    <definedName name="solver_est" localSheetId="2" hidden="1">1</definedName>
    <definedName name="solver_est" localSheetId="30" hidden="1">1</definedName>
    <definedName name="solver_est" localSheetId="10" hidden="1">1</definedName>
    <definedName name="solver_est" localSheetId="4" hidden="1">1</definedName>
    <definedName name="solver_est" localSheetId="5" hidden="1">1</definedName>
    <definedName name="solver_est" localSheetId="7" hidden="1">1</definedName>
    <definedName name="solver_est" localSheetId="11" hidden="1">1</definedName>
    <definedName name="solver_est" localSheetId="18" hidden="1">1</definedName>
    <definedName name="solver_est" localSheetId="20" hidden="1">1</definedName>
    <definedName name="solver_est" localSheetId="13" hidden="1">1</definedName>
    <definedName name="solver_est" localSheetId="26" hidden="1">1</definedName>
    <definedName name="solver_itr" localSheetId="0" hidden="1">2147483647</definedName>
    <definedName name="solver_itr" localSheetId="14" hidden="1">2147483647</definedName>
    <definedName name="solver_itr" localSheetId="23" hidden="1">2147483647</definedName>
    <definedName name="solver_itr" localSheetId="9" hidden="1">2147483647</definedName>
    <definedName name="solver_itr" localSheetId="33" hidden="1">2147483647</definedName>
    <definedName name="solver_itr" localSheetId="24" hidden="1">2147483647</definedName>
    <definedName name="solver_itr" localSheetId="31" hidden="1">2147483647</definedName>
    <definedName name="solver_itr" localSheetId="25" hidden="1">2147483647</definedName>
    <definedName name="solver_itr" localSheetId="19" hidden="1">2147483647</definedName>
    <definedName name="solver_itr" localSheetId="8" hidden="1">2147483647</definedName>
    <definedName name="solver_itr" localSheetId="37" hidden="1">2147483647</definedName>
    <definedName name="solver_itr" localSheetId="17" hidden="1">2147483647</definedName>
    <definedName name="solver_itr" localSheetId="2" hidden="1">2147483647</definedName>
    <definedName name="solver_itr" localSheetId="30" hidden="1">2147483647</definedName>
    <definedName name="solver_itr" localSheetId="10" hidden="1">2147483647</definedName>
    <definedName name="solver_itr" localSheetId="4" hidden="1">100</definedName>
    <definedName name="solver_itr" localSheetId="5" hidden="1">100</definedName>
    <definedName name="solver_itr" localSheetId="7" hidden="1">2147483647</definedName>
    <definedName name="solver_itr" localSheetId="11" hidden="1">2147483647</definedName>
    <definedName name="solver_itr" localSheetId="18" hidden="1">2147483647</definedName>
    <definedName name="solver_itr" localSheetId="20" hidden="1">2147483647</definedName>
    <definedName name="solver_itr" localSheetId="13" hidden="1">2147483647</definedName>
    <definedName name="solver_itr" localSheetId="26" hidden="1">2147483647</definedName>
    <definedName name="solver_lhs1" localSheetId="0" hidden="1">'Advertising '!$C$6</definedName>
    <definedName name="solver_lhs1" localSheetId="14" hidden="1">AssignmentProblem!$C$17:$F$17</definedName>
    <definedName name="solver_lhs1" localSheetId="23" hidden="1">CapitalBudget!$B$14</definedName>
    <definedName name="solver_lhs1" localSheetId="9" hidden="1">Dual!$M$6:$M$7</definedName>
    <definedName name="solver_lhs1" localSheetId="33" hidden="1">EOQ!$J$15</definedName>
    <definedName name="solver_lhs1" localSheetId="24" hidden="1">FixedCost!$B$14:$F$14</definedName>
    <definedName name="solver_lhs1" localSheetId="31" hidden="1">GameTheory!$B$2:$C$2</definedName>
    <definedName name="solver_lhs1" localSheetId="25" hidden="1">Hub!$B$21:$M$21</definedName>
    <definedName name="solver_lhs1" localSheetId="19" hidden="1">'HW3'!$L$14:$L$17</definedName>
    <definedName name="solver_lhs1" localSheetId="8" hidden="1">LM_2!$J$12:$J$14</definedName>
    <definedName name="solver_lhs1" localSheetId="17" hidden="1">MCNF!$D$8:$D$13</definedName>
    <definedName name="solver_lhs1" localSheetId="30" hidden="1">Peakload!$B$19:$C$19</definedName>
    <definedName name="solver_lhs1" localSheetId="10" hidden="1">ProdPlanning!$B$12:$G$12</definedName>
    <definedName name="solver_lhs1" localSheetId="4" hidden="1">ProductMix!$B$16:$C$16</definedName>
    <definedName name="solver_lhs1" localSheetId="5" hidden="1">ProductMix_add_on!$B$16:$D$16</definedName>
    <definedName name="solver_lhs1" localSheetId="7" hidden="1">ProductMix2!$B$21:$I$21</definedName>
    <definedName name="solver_lhs1" localSheetId="11" hidden="1">project!$I$22</definedName>
    <definedName name="solver_lhs1" localSheetId="18" hidden="1">RedBrandLogistics!$D$8:$D$33</definedName>
    <definedName name="solver_lhs1" localSheetId="20" hidden="1">set_covering_model!$B$2:$G$2</definedName>
    <definedName name="solver_lhs1" localSheetId="13" hidden="1">Transport1!$C$16:$F$16</definedName>
    <definedName name="solver_lhs1" localSheetId="26" hidden="1">WorkerScheduling!$N$3:$T$3</definedName>
    <definedName name="solver_lhs10" localSheetId="11" hidden="1">project!$I$18</definedName>
    <definedName name="solver_lhs11" localSheetId="11" hidden="1">project!$I$13</definedName>
    <definedName name="solver_lhs12" localSheetId="11" hidden="1">project!$I$15</definedName>
    <definedName name="solver_lhs13" localSheetId="11" hidden="1">project!$I$15</definedName>
    <definedName name="solver_lhs14" localSheetId="11" hidden="1">project!$I$14</definedName>
    <definedName name="solver_lhs15" localSheetId="11" hidden="1">project!$I$13</definedName>
    <definedName name="solver_lhs16" localSheetId="11" hidden="1">project!$I$7</definedName>
    <definedName name="solver_lhs17" localSheetId="11" hidden="1">project!$I$12</definedName>
    <definedName name="solver_lhs18" localSheetId="11" hidden="1">project!$I$8</definedName>
    <definedName name="solver_lhs19" localSheetId="11" hidden="1">project!$I$9</definedName>
    <definedName name="solver_lhs2" localSheetId="14" hidden="1">AssignmentProblem!$G$13:$G$16</definedName>
    <definedName name="solver_lhs2" localSheetId="23" hidden="1">CapitalBudget!$B$10:$H$10</definedName>
    <definedName name="solver_lhs2" localSheetId="24" hidden="1">FixedCost!$B$15:$F$15</definedName>
    <definedName name="solver_lhs2" localSheetId="31" hidden="1">GameTheory!$E$4:$E$5</definedName>
    <definedName name="solver_lhs2" localSheetId="25" hidden="1">Hub!$B$25:$B$36</definedName>
    <definedName name="solver_lhs2" localSheetId="19" hidden="1">'HW3'!$L$5</definedName>
    <definedName name="solver_lhs2" localSheetId="8" hidden="1">LM_2!$J$15</definedName>
    <definedName name="solver_lhs2" localSheetId="17" hidden="1">MCNF!$L$9:$L$13</definedName>
    <definedName name="solver_lhs2" localSheetId="10" hidden="1">ProdPlanning!$B$20:$G$20</definedName>
    <definedName name="solver_lhs2" localSheetId="4" hidden="1">ProductMix!$B$21:$B$22</definedName>
    <definedName name="solver_lhs2" localSheetId="5" hidden="1">ProductMix_add_on!$B$21:$B$22</definedName>
    <definedName name="solver_lhs2" localSheetId="7" hidden="1">ProductMix2!$B$26:$B$28</definedName>
    <definedName name="solver_lhs2" localSheetId="11" hidden="1">project!$I$22</definedName>
    <definedName name="solver_lhs2" localSheetId="18" hidden="1">RedBrandLogistics!$K$15:$K$16</definedName>
    <definedName name="solver_lhs2" localSheetId="20" hidden="1">set_covering_model!$H$3:$H$8</definedName>
    <definedName name="solver_lhs2" localSheetId="13" hidden="1">Transport1!$G$13:$G$15</definedName>
    <definedName name="solver_lhs2" localSheetId="26" hidden="1">WorkerScheduling!$U$5:$U$11</definedName>
    <definedName name="solver_lhs20" localSheetId="11" hidden="1">project!$I$9</definedName>
    <definedName name="solver_lhs21" localSheetId="11" hidden="1">project!$I$10</definedName>
    <definedName name="solver_lhs22" localSheetId="11" hidden="1">project!$I$11</definedName>
    <definedName name="solver_lhs3" localSheetId="23" hidden="1">CapitalBudget!$C$15</definedName>
    <definedName name="solver_lhs3" localSheetId="24" hidden="1">FixedCost!$B$23:$B$24</definedName>
    <definedName name="solver_lhs3" localSheetId="31" hidden="1">GameTheory!$E$6</definedName>
    <definedName name="solver_lhs3" localSheetId="19" hidden="1">'HW3'!$E$5:$E$6</definedName>
    <definedName name="solver_lhs3" localSheetId="8" hidden="1">LM_2!$J$15</definedName>
    <definedName name="solver_lhs3" localSheetId="17" hidden="1">MCNF!$L$20:$L$21</definedName>
    <definedName name="solver_lhs3" localSheetId="10" hidden="1">ProdPlanning!$B$20:$G$20</definedName>
    <definedName name="solver_lhs3" localSheetId="4" hidden="1">ProductMix!$C$16</definedName>
    <definedName name="solver_lhs3" localSheetId="5" hidden="1">ProductMix_add_on!$C$16</definedName>
    <definedName name="solver_lhs3" localSheetId="7" hidden="1">ProductMix2!$B$26:$B$28</definedName>
    <definedName name="solver_lhs3" localSheetId="11" hidden="1">project!$I$22</definedName>
    <definedName name="solver_lhs3" localSheetId="18" hidden="1">RedBrandLogistics!$K$20:$K$21</definedName>
    <definedName name="solver_lhs4" localSheetId="23" hidden="1">CapitalBudget!$B$10:$H$10</definedName>
    <definedName name="solver_lhs4" localSheetId="24" hidden="1">FixedCost!$B$23:$B$24</definedName>
    <definedName name="solver_lhs4" localSheetId="31" hidden="1">GameTheory!$E$6</definedName>
    <definedName name="solver_lhs4" localSheetId="19" hidden="1">'HW3'!$L$9:$L$10</definedName>
    <definedName name="solver_lhs4" localSheetId="17" hidden="1">MCNF!$L$9:$L$11</definedName>
    <definedName name="solver_lhs4" localSheetId="11" hidden="1">project!$I$22</definedName>
    <definedName name="solver_lhs4" localSheetId="18" hidden="1">RedBrandLogistics!$K$9:$K$11</definedName>
    <definedName name="solver_lhs5" localSheetId="23" hidden="1">CapitalBudget!$B$10:$H$10</definedName>
    <definedName name="solver_lhs5" localSheetId="11" hidden="1">project!$J$6:$J$19</definedName>
    <definedName name="solver_lhs6" localSheetId="11" hidden="1">project!$I$19</definedName>
    <definedName name="solver_lhs7" localSheetId="11" hidden="1">project!$I$19</definedName>
    <definedName name="solver_lhs8" localSheetId="11" hidden="1">project!$I$16</definedName>
    <definedName name="solver_lhs9" localSheetId="11" hidden="1">project!$I$17</definedName>
    <definedName name="solver_lin" localSheetId="4" hidden="1">2</definedName>
    <definedName name="solver_lin" localSheetId="5" hidden="1">2</definedName>
    <definedName name="solver_mip" localSheetId="0" hidden="1">2147483647</definedName>
    <definedName name="solver_mip" localSheetId="14" hidden="1">2147483647</definedName>
    <definedName name="solver_mip" localSheetId="23" hidden="1">2147483647</definedName>
    <definedName name="solver_mip" localSheetId="9" hidden="1">2147483647</definedName>
    <definedName name="solver_mip" localSheetId="33" hidden="1">2147483647</definedName>
    <definedName name="solver_mip" localSheetId="24" hidden="1">2147483647</definedName>
    <definedName name="solver_mip" localSheetId="31" hidden="1">2147483647</definedName>
    <definedName name="solver_mip" localSheetId="25" hidden="1">2147483647</definedName>
    <definedName name="solver_mip" localSheetId="19" hidden="1">2147483647</definedName>
    <definedName name="solver_mip" localSheetId="8" hidden="1">2147483647</definedName>
    <definedName name="solver_mip" localSheetId="37" hidden="1">2147483647</definedName>
    <definedName name="solver_mip" localSheetId="17" hidden="1">2147483647</definedName>
    <definedName name="solver_mip" localSheetId="2" hidden="1">2147483647</definedName>
    <definedName name="solver_mip" localSheetId="30" hidden="1">2147483647</definedName>
    <definedName name="solver_mip" localSheetId="10" hidden="1">2147483647</definedName>
    <definedName name="solver_mip" localSheetId="4" hidden="1">2147483647</definedName>
    <definedName name="solver_mip" localSheetId="5" hidden="1">2147483647</definedName>
    <definedName name="solver_mip" localSheetId="7" hidden="1">2147483647</definedName>
    <definedName name="solver_mip" localSheetId="11" hidden="1">2147483647</definedName>
    <definedName name="solver_mip" localSheetId="18" hidden="1">2147483647</definedName>
    <definedName name="solver_mip" localSheetId="20" hidden="1">2147483647</definedName>
    <definedName name="solver_mip" localSheetId="13" hidden="1">2147483647</definedName>
    <definedName name="solver_mip" localSheetId="26" hidden="1">2147483647</definedName>
    <definedName name="solver_mni" localSheetId="0" hidden="1">30</definedName>
    <definedName name="solver_mni" localSheetId="14" hidden="1">30</definedName>
    <definedName name="solver_mni" localSheetId="23" hidden="1">30</definedName>
    <definedName name="solver_mni" localSheetId="9" hidden="1">30</definedName>
    <definedName name="solver_mni" localSheetId="33" hidden="1">30</definedName>
    <definedName name="solver_mni" localSheetId="24" hidden="1">30</definedName>
    <definedName name="solver_mni" localSheetId="31" hidden="1">30</definedName>
    <definedName name="solver_mni" localSheetId="25" hidden="1">30</definedName>
    <definedName name="solver_mni" localSheetId="19" hidden="1">30</definedName>
    <definedName name="solver_mni" localSheetId="8" hidden="1">30</definedName>
    <definedName name="solver_mni" localSheetId="37" hidden="1">30</definedName>
    <definedName name="solver_mni" localSheetId="17" hidden="1">30</definedName>
    <definedName name="solver_mni" localSheetId="2" hidden="1">30</definedName>
    <definedName name="solver_mni" localSheetId="30" hidden="1">30</definedName>
    <definedName name="solver_mni" localSheetId="10" hidden="1">30</definedName>
    <definedName name="solver_mni" localSheetId="4" hidden="1">30</definedName>
    <definedName name="solver_mni" localSheetId="5" hidden="1">30</definedName>
    <definedName name="solver_mni" localSheetId="7" hidden="1">30</definedName>
    <definedName name="solver_mni" localSheetId="11" hidden="1">30</definedName>
    <definedName name="solver_mni" localSheetId="18" hidden="1">30</definedName>
    <definedName name="solver_mni" localSheetId="20" hidden="1">30</definedName>
    <definedName name="solver_mni" localSheetId="13" hidden="1">30</definedName>
    <definedName name="solver_mni" localSheetId="26" hidden="1">30</definedName>
    <definedName name="solver_mrt" localSheetId="0" hidden="1">0.075</definedName>
    <definedName name="solver_mrt" localSheetId="14" hidden="1">0.075</definedName>
    <definedName name="solver_mrt" localSheetId="23" hidden="1">0.075</definedName>
    <definedName name="solver_mrt" localSheetId="9" hidden="1">0.075</definedName>
    <definedName name="solver_mrt" localSheetId="33" hidden="1">0.075</definedName>
    <definedName name="solver_mrt" localSheetId="24" hidden="1">0.075</definedName>
    <definedName name="solver_mrt" localSheetId="31" hidden="1">0.075</definedName>
    <definedName name="solver_mrt" localSheetId="25" hidden="1">0.075</definedName>
    <definedName name="solver_mrt" localSheetId="19" hidden="1">0.075</definedName>
    <definedName name="solver_mrt" localSheetId="8" hidden="1">0.075</definedName>
    <definedName name="solver_mrt" localSheetId="37" hidden="1">0.075</definedName>
    <definedName name="solver_mrt" localSheetId="17" hidden="1">0.075</definedName>
    <definedName name="solver_mrt" localSheetId="2" hidden="1">0.075</definedName>
    <definedName name="solver_mrt" localSheetId="30" hidden="1">0.075</definedName>
    <definedName name="solver_mrt" localSheetId="10" hidden="1">0.075</definedName>
    <definedName name="solver_mrt" localSheetId="4" hidden="1">0.075</definedName>
    <definedName name="solver_mrt" localSheetId="5" hidden="1">0.075</definedName>
    <definedName name="solver_mrt" localSheetId="7" hidden="1">0.075</definedName>
    <definedName name="solver_mrt" localSheetId="11" hidden="1">0.075</definedName>
    <definedName name="solver_mrt" localSheetId="18" hidden="1">0.075</definedName>
    <definedName name="solver_mrt" localSheetId="20" hidden="1">0.075</definedName>
    <definedName name="solver_mrt" localSheetId="13" hidden="1">0.075</definedName>
    <definedName name="solver_mrt" localSheetId="26" hidden="1">0.075</definedName>
    <definedName name="solver_msl" localSheetId="0" hidden="1">2</definedName>
    <definedName name="solver_msl" localSheetId="14" hidden="1">2</definedName>
    <definedName name="solver_msl" localSheetId="23" hidden="1">2</definedName>
    <definedName name="solver_msl" localSheetId="9" hidden="1">2</definedName>
    <definedName name="solver_msl" localSheetId="33" hidden="1">2</definedName>
    <definedName name="solver_msl" localSheetId="24" hidden="1">2</definedName>
    <definedName name="solver_msl" localSheetId="31" hidden="1">2</definedName>
    <definedName name="solver_msl" localSheetId="25" hidden="1">2</definedName>
    <definedName name="solver_msl" localSheetId="19" hidden="1">2</definedName>
    <definedName name="solver_msl" localSheetId="8" hidden="1">2</definedName>
    <definedName name="solver_msl" localSheetId="37" hidden="1">2</definedName>
    <definedName name="solver_msl" localSheetId="17" hidden="1">2</definedName>
    <definedName name="solver_msl" localSheetId="2" hidden="1">2</definedName>
    <definedName name="solver_msl" localSheetId="30" hidden="1">2</definedName>
    <definedName name="solver_msl" localSheetId="10" hidden="1">2</definedName>
    <definedName name="solver_msl" localSheetId="4" hidden="1">2</definedName>
    <definedName name="solver_msl" localSheetId="5" hidden="1">2</definedName>
    <definedName name="solver_msl" localSheetId="7" hidden="1">2</definedName>
    <definedName name="solver_msl" localSheetId="11" hidden="1">2</definedName>
    <definedName name="solver_msl" localSheetId="18" hidden="1">2</definedName>
    <definedName name="solver_msl" localSheetId="20" hidden="1">2</definedName>
    <definedName name="solver_msl" localSheetId="13" hidden="1">2</definedName>
    <definedName name="solver_msl" localSheetId="26" hidden="1">2</definedName>
    <definedName name="solver_neg" localSheetId="0" hidden="1">1</definedName>
    <definedName name="solver_neg" localSheetId="14" hidden="1">1</definedName>
    <definedName name="solver_neg" localSheetId="23" hidden="1">1</definedName>
    <definedName name="solver_neg" localSheetId="9" hidden="1">1</definedName>
    <definedName name="solver_neg" localSheetId="33" hidden="1">1</definedName>
    <definedName name="solver_neg" localSheetId="24" hidden="1">1</definedName>
    <definedName name="solver_neg" localSheetId="31" hidden="1">2</definedName>
    <definedName name="solver_neg" localSheetId="25" hidden="1">1</definedName>
    <definedName name="solver_neg" localSheetId="19" hidden="1">1</definedName>
    <definedName name="solver_neg" localSheetId="8" hidden="1">1</definedName>
    <definedName name="solver_neg" localSheetId="37" hidden="1">1</definedName>
    <definedName name="solver_neg" localSheetId="17" hidden="1">1</definedName>
    <definedName name="solver_neg" localSheetId="2" hidden="1">1</definedName>
    <definedName name="solver_neg" localSheetId="30" hidden="1">1</definedName>
    <definedName name="solver_neg" localSheetId="10" hidden="1">1</definedName>
    <definedName name="solver_neg" localSheetId="4" hidden="1">1</definedName>
    <definedName name="solver_neg" localSheetId="5" hidden="1">1</definedName>
    <definedName name="solver_neg" localSheetId="7" hidden="1">1</definedName>
    <definedName name="solver_neg" localSheetId="11" hidden="1">1</definedName>
    <definedName name="solver_neg" localSheetId="18" hidden="1">1</definedName>
    <definedName name="solver_neg" localSheetId="20" hidden="1">1</definedName>
    <definedName name="solver_neg" localSheetId="34" hidden="1">1</definedName>
    <definedName name="solver_neg" localSheetId="13" hidden="1">1</definedName>
    <definedName name="solver_neg" localSheetId="26" hidden="1">1</definedName>
    <definedName name="solver_nod" localSheetId="0" hidden="1">2147483647</definedName>
    <definedName name="solver_nod" localSheetId="14" hidden="1">2147483647</definedName>
    <definedName name="solver_nod" localSheetId="23" hidden="1">2147483647</definedName>
    <definedName name="solver_nod" localSheetId="9" hidden="1">2147483647</definedName>
    <definedName name="solver_nod" localSheetId="33" hidden="1">2147483647</definedName>
    <definedName name="solver_nod" localSheetId="24" hidden="1">2147483647</definedName>
    <definedName name="solver_nod" localSheetId="31" hidden="1">2147483647</definedName>
    <definedName name="solver_nod" localSheetId="25" hidden="1">2147483647</definedName>
    <definedName name="solver_nod" localSheetId="19" hidden="1">2147483647</definedName>
    <definedName name="solver_nod" localSheetId="8" hidden="1">2147483647</definedName>
    <definedName name="solver_nod" localSheetId="37" hidden="1">2147483647</definedName>
    <definedName name="solver_nod" localSheetId="17" hidden="1">2147483647</definedName>
    <definedName name="solver_nod" localSheetId="2" hidden="1">2147483647</definedName>
    <definedName name="solver_nod" localSheetId="30" hidden="1">2147483647</definedName>
    <definedName name="solver_nod" localSheetId="10" hidden="1">2147483647</definedName>
    <definedName name="solver_nod" localSheetId="4" hidden="1">2147483647</definedName>
    <definedName name="solver_nod" localSheetId="5" hidden="1">2147483647</definedName>
    <definedName name="solver_nod" localSheetId="7" hidden="1">2147483647</definedName>
    <definedName name="solver_nod" localSheetId="11" hidden="1">2147483647</definedName>
    <definedName name="solver_nod" localSheetId="18" hidden="1">2147483647</definedName>
    <definedName name="solver_nod" localSheetId="20" hidden="1">2147483647</definedName>
    <definedName name="solver_nod" localSheetId="13" hidden="1">2147483647</definedName>
    <definedName name="solver_nod" localSheetId="26" hidden="1">2147483647</definedName>
    <definedName name="solver_num" localSheetId="0" hidden="1">1</definedName>
    <definedName name="solver_num" localSheetId="14" hidden="1">2</definedName>
    <definedName name="solver_num" localSheetId="23" hidden="1">2</definedName>
    <definedName name="solver_num" localSheetId="9" hidden="1">1</definedName>
    <definedName name="solver_num" localSheetId="33" hidden="1">0</definedName>
    <definedName name="solver_num" localSheetId="24" hidden="1">3</definedName>
    <definedName name="solver_num" localSheetId="31" hidden="1">3</definedName>
    <definedName name="solver_num" localSheetId="25" hidden="1">2</definedName>
    <definedName name="solver_num" localSheetId="19" hidden="1">4</definedName>
    <definedName name="solver_num" localSheetId="8" hidden="1">2</definedName>
    <definedName name="solver_num" localSheetId="37" hidden="1">0</definedName>
    <definedName name="solver_num" localSheetId="17" hidden="1">2</definedName>
    <definedName name="solver_num" localSheetId="2" hidden="1">0</definedName>
    <definedName name="solver_num" localSheetId="30" hidden="1">1</definedName>
    <definedName name="solver_num" localSheetId="10" hidden="1">3</definedName>
    <definedName name="solver_num" localSheetId="4" hidden="1">2</definedName>
    <definedName name="solver_num" localSheetId="5" hidden="1">2</definedName>
    <definedName name="solver_num" localSheetId="7" hidden="1">2</definedName>
    <definedName name="solver_num" localSheetId="11" hidden="1">22</definedName>
    <definedName name="solver_num" localSheetId="18" hidden="1">4</definedName>
    <definedName name="solver_num" localSheetId="20" hidden="1">2</definedName>
    <definedName name="solver_num" localSheetId="34" hidden="1">0</definedName>
    <definedName name="solver_num" localSheetId="13" hidden="1">2</definedName>
    <definedName name="solver_num" localSheetId="26" hidden="1">2</definedName>
    <definedName name="solver_nwt" localSheetId="0" hidden="1">1</definedName>
    <definedName name="solver_nwt" localSheetId="14" hidden="1">1</definedName>
    <definedName name="solver_nwt" localSheetId="23" hidden="1">1</definedName>
    <definedName name="solver_nwt" localSheetId="9" hidden="1">1</definedName>
    <definedName name="solver_nwt" localSheetId="33" hidden="1">1</definedName>
    <definedName name="solver_nwt" localSheetId="24" hidden="1">1</definedName>
    <definedName name="solver_nwt" localSheetId="31" hidden="1">1</definedName>
    <definedName name="solver_nwt" localSheetId="25" hidden="1">1</definedName>
    <definedName name="solver_nwt" localSheetId="19" hidden="1">1</definedName>
    <definedName name="solver_nwt" localSheetId="8" hidden="1">1</definedName>
    <definedName name="solver_nwt" localSheetId="37" hidden="1">1</definedName>
    <definedName name="solver_nwt" localSheetId="17" hidden="1">1</definedName>
    <definedName name="solver_nwt" localSheetId="2" hidden="1">1</definedName>
    <definedName name="solver_nwt" localSheetId="30" hidden="1">1</definedName>
    <definedName name="solver_nwt" localSheetId="10" hidden="1">1</definedName>
    <definedName name="solver_nwt" localSheetId="4" hidden="1">1</definedName>
    <definedName name="solver_nwt" localSheetId="5" hidden="1">1</definedName>
    <definedName name="solver_nwt" localSheetId="7" hidden="1">1</definedName>
    <definedName name="solver_nwt" localSheetId="11" hidden="1">1</definedName>
    <definedName name="solver_nwt" localSheetId="18" hidden="1">1</definedName>
    <definedName name="solver_nwt" localSheetId="20" hidden="1">1</definedName>
    <definedName name="solver_nwt" localSheetId="13" hidden="1">1</definedName>
    <definedName name="solver_nwt" localSheetId="26" hidden="1">1</definedName>
    <definedName name="solver_opt" localSheetId="0" hidden="1">'Advertising '!$C$2</definedName>
    <definedName name="solver_opt" localSheetId="14" hidden="1">AssignmentProblem!$B$22</definedName>
    <definedName name="solver_opt" localSheetId="23" hidden="1">CapitalBudget!$B$17</definedName>
    <definedName name="solver_opt" localSheetId="9" hidden="1">Dual!$M$5</definedName>
    <definedName name="solver_opt" localSheetId="33" hidden="1">EOQ!$B$11</definedName>
    <definedName name="solver_opt" localSheetId="24" hidden="1">FixedCost!$B$30</definedName>
    <definedName name="solver_opt" localSheetId="31" hidden="1">GameTheory!$E$3</definedName>
    <definedName name="solver_opt" localSheetId="25" hidden="1">Hub!$B$39</definedName>
    <definedName name="solver_opt" localSheetId="19" hidden="1">'HW3'!$B$17</definedName>
    <definedName name="solver_opt" localSheetId="8" hidden="1">LM_2!$K$11</definedName>
    <definedName name="solver_opt" localSheetId="37" hidden="1">Location!$F$7</definedName>
    <definedName name="solver_opt" localSheetId="17" hidden="1">MCNF!$B$17</definedName>
    <definedName name="solver_opt" localSheetId="2" hidden="1">monopolist!$E$2</definedName>
    <definedName name="solver_opt" localSheetId="30" hidden="1">Peakload!$B$26</definedName>
    <definedName name="solver_opt" localSheetId="10" hidden="1">ProdPlanning!$H$28</definedName>
    <definedName name="solver_opt" localSheetId="4" hidden="1">ProductMix!$D$25</definedName>
    <definedName name="solver_opt" localSheetId="5" hidden="1">ProductMix_add_on!$D$26</definedName>
    <definedName name="solver_opt" localSheetId="7" hidden="1">ProductMix2!$J$33</definedName>
    <definedName name="solver_opt" localSheetId="11" hidden="1">project!$I$24</definedName>
    <definedName name="solver_opt" localSheetId="18" hidden="1">RedBrandLogistics!$B$36</definedName>
    <definedName name="solver_opt" localSheetId="20" hidden="1">set_covering_model!$C$10</definedName>
    <definedName name="solver_opt" localSheetId="34" hidden="1">'SVM1'!$F$2</definedName>
    <definedName name="solver_opt" localSheetId="13" hidden="1">Transport1!$B$21</definedName>
    <definedName name="solver_opt" localSheetId="26" hidden="1">WorkerScheduling!$U$4</definedName>
    <definedName name="solver_pre" localSheetId="0" hidden="1">0.000001</definedName>
    <definedName name="solver_pre" localSheetId="14" hidden="1">0.000001</definedName>
    <definedName name="solver_pre" localSheetId="23" hidden="1">0.000001</definedName>
    <definedName name="solver_pre" localSheetId="9" hidden="1">0.000001</definedName>
    <definedName name="solver_pre" localSheetId="33" hidden="1">0.000001</definedName>
    <definedName name="solver_pre" localSheetId="24" hidden="1">0.000001</definedName>
    <definedName name="solver_pre" localSheetId="31" hidden="1">0.000001</definedName>
    <definedName name="solver_pre" localSheetId="25" hidden="1">0.000001</definedName>
    <definedName name="solver_pre" localSheetId="19" hidden="1">0.000001</definedName>
    <definedName name="solver_pre" localSheetId="8" hidden="1">0.000001</definedName>
    <definedName name="solver_pre" localSheetId="37" hidden="1">0.000001</definedName>
    <definedName name="solver_pre" localSheetId="17" hidden="1">0.000001</definedName>
    <definedName name="solver_pre" localSheetId="2" hidden="1">0.000001</definedName>
    <definedName name="solver_pre" localSheetId="30" hidden="1">0.000001</definedName>
    <definedName name="solver_pre" localSheetId="10" hidden="1">0.000001</definedName>
    <definedName name="solver_pre" localSheetId="4" hidden="1">0.000001</definedName>
    <definedName name="solver_pre" localSheetId="5" hidden="1">0.000001</definedName>
    <definedName name="solver_pre" localSheetId="7" hidden="1">0.000001</definedName>
    <definedName name="solver_pre" localSheetId="11" hidden="1">0.000001</definedName>
    <definedName name="solver_pre" localSheetId="18" hidden="1">0.000001</definedName>
    <definedName name="solver_pre" localSheetId="20" hidden="1">0.000001</definedName>
    <definedName name="solver_pre" localSheetId="13" hidden="1">0.000001</definedName>
    <definedName name="solver_pre" localSheetId="26" hidden="1">0.000001</definedName>
    <definedName name="solver_rbv" localSheetId="0" hidden="1">1</definedName>
    <definedName name="solver_rbv" localSheetId="14" hidden="1">1</definedName>
    <definedName name="solver_rbv" localSheetId="23" hidden="1">1</definedName>
    <definedName name="solver_rbv" localSheetId="9" hidden="1">1</definedName>
    <definedName name="solver_rbv" localSheetId="33" hidden="1">1</definedName>
    <definedName name="solver_rbv" localSheetId="24" hidden="1">1</definedName>
    <definedName name="solver_rbv" localSheetId="31" hidden="1">1</definedName>
    <definedName name="solver_rbv" localSheetId="25" hidden="1">1</definedName>
    <definedName name="solver_rbv" localSheetId="19" hidden="1">2</definedName>
    <definedName name="solver_rbv" localSheetId="8" hidden="1">1</definedName>
    <definedName name="solver_rbv" localSheetId="37" hidden="1">1</definedName>
    <definedName name="solver_rbv" localSheetId="17" hidden="1">1</definedName>
    <definedName name="solver_rbv" localSheetId="2" hidden="1">1</definedName>
    <definedName name="solver_rbv" localSheetId="30" hidden="1">2</definedName>
    <definedName name="solver_rbv" localSheetId="10" hidden="1">1</definedName>
    <definedName name="solver_rbv" localSheetId="4" hidden="1">1</definedName>
    <definedName name="solver_rbv" localSheetId="5" hidden="1">1</definedName>
    <definedName name="solver_rbv" localSheetId="7" hidden="1">1</definedName>
    <definedName name="solver_rbv" localSheetId="11" hidden="1">1</definedName>
    <definedName name="solver_rbv" localSheetId="18" hidden="1">1</definedName>
    <definedName name="solver_rbv" localSheetId="20" hidden="1">1</definedName>
    <definedName name="solver_rbv" localSheetId="13" hidden="1">1</definedName>
    <definedName name="solver_rbv" localSheetId="26" hidden="1">1</definedName>
    <definedName name="solver_rel1" localSheetId="0" hidden="1">1</definedName>
    <definedName name="solver_rel1" localSheetId="14" hidden="1">2</definedName>
    <definedName name="solver_rel1" localSheetId="23" hidden="1">1</definedName>
    <definedName name="solver_rel1" localSheetId="9" hidden="1">3</definedName>
    <definedName name="solver_rel1" localSheetId="33" hidden="1">1</definedName>
    <definedName name="solver_rel1" localSheetId="24" hidden="1">5</definedName>
    <definedName name="solver_rel1" localSheetId="31" hidden="1">3</definedName>
    <definedName name="solver_rel1" localSheetId="25" hidden="1">5</definedName>
    <definedName name="solver_rel1" localSheetId="19" hidden="1">3</definedName>
    <definedName name="solver_rel1" localSheetId="8" hidden="1">2</definedName>
    <definedName name="solver_rel1" localSheetId="17" hidden="1">1</definedName>
    <definedName name="solver_rel1" localSheetId="30" hidden="1">1</definedName>
    <definedName name="solver_rel1" localSheetId="10" hidden="1">1</definedName>
    <definedName name="solver_rel1" localSheetId="4" hidden="1">1</definedName>
    <definedName name="solver_rel1" localSheetId="5" hidden="1">1</definedName>
    <definedName name="solver_rel1" localSheetId="7" hidden="1">1</definedName>
    <definedName name="solver_rel1" localSheetId="11" hidden="1">3</definedName>
    <definedName name="solver_rel1" localSheetId="18" hidden="1">1</definedName>
    <definedName name="solver_rel1" localSheetId="20" hidden="1">5</definedName>
    <definedName name="solver_rel1" localSheetId="13" hidden="1">3</definedName>
    <definedName name="solver_rel1" localSheetId="26" hidden="1">4</definedName>
    <definedName name="solver_rel10" localSheetId="11" hidden="1">3</definedName>
    <definedName name="solver_rel11" localSheetId="11" hidden="1">3</definedName>
    <definedName name="solver_rel12" localSheetId="11" hidden="1">3</definedName>
    <definedName name="solver_rel13" localSheetId="11" hidden="1">3</definedName>
    <definedName name="solver_rel14" localSheetId="11" hidden="1">3</definedName>
    <definedName name="solver_rel15" localSheetId="11" hidden="1">3</definedName>
    <definedName name="solver_rel16" localSheetId="11" hidden="1">3</definedName>
    <definedName name="solver_rel17" localSheetId="11" hidden="1">3</definedName>
    <definedName name="solver_rel18" localSheetId="11" hidden="1">3</definedName>
    <definedName name="solver_rel19" localSheetId="11" hidden="1">3</definedName>
    <definedName name="solver_rel2" localSheetId="14" hidden="1">2</definedName>
    <definedName name="solver_rel2" localSheetId="23" hidden="1">5</definedName>
    <definedName name="solver_rel2" localSheetId="24" hidden="1">1</definedName>
    <definedName name="solver_rel2" localSheetId="31" hidden="1">3</definedName>
    <definedName name="solver_rel2" localSheetId="25" hidden="1">3</definedName>
    <definedName name="solver_rel2" localSheetId="19" hidden="1">2</definedName>
    <definedName name="solver_rel2" localSheetId="8" hidden="1">1</definedName>
    <definedName name="solver_rel2" localSheetId="17" hidden="1">2</definedName>
    <definedName name="solver_rel2" localSheetId="10" hidden="1">1</definedName>
    <definedName name="solver_rel2" localSheetId="4" hidden="1">1</definedName>
    <definedName name="solver_rel2" localSheetId="5" hidden="1">1</definedName>
    <definedName name="solver_rel2" localSheetId="7" hidden="1">1</definedName>
    <definedName name="solver_rel2" localSheetId="11" hidden="1">3</definedName>
    <definedName name="solver_rel2" localSheetId="18" hidden="1">2</definedName>
    <definedName name="solver_rel2" localSheetId="20" hidden="1">3</definedName>
    <definedName name="solver_rel2" localSheetId="13" hidden="1">1</definedName>
    <definedName name="solver_rel2" localSheetId="26" hidden="1">3</definedName>
    <definedName name="solver_rel20" localSheetId="11" hidden="1">3</definedName>
    <definedName name="solver_rel21" localSheetId="11" hidden="1">3</definedName>
    <definedName name="solver_rel22" localSheetId="11" hidden="1">3</definedName>
    <definedName name="solver_rel3" localSheetId="23" hidden="1">1</definedName>
    <definedName name="solver_rel3" localSheetId="24" hidden="1">1</definedName>
    <definedName name="solver_rel3" localSheetId="31" hidden="1">2</definedName>
    <definedName name="solver_rel3" localSheetId="19" hidden="1">1</definedName>
    <definedName name="solver_rel3" localSheetId="8" hidden="1">1</definedName>
    <definedName name="solver_rel3" localSheetId="17" hidden="1">3</definedName>
    <definedName name="solver_rel3" localSheetId="10" hidden="1">3</definedName>
    <definedName name="solver_rel3" localSheetId="4" hidden="1">1</definedName>
    <definedName name="solver_rel3" localSheetId="5" hidden="1">1</definedName>
    <definedName name="solver_rel3" localSheetId="7" hidden="1">1</definedName>
    <definedName name="solver_rel3" localSheetId="11" hidden="1">2</definedName>
    <definedName name="solver_rel3" localSheetId="18" hidden="1">3</definedName>
    <definedName name="solver_rel4" localSheetId="23" hidden="1">1</definedName>
    <definedName name="solver_rel4" localSheetId="24" hidden="1">1</definedName>
    <definedName name="solver_rel4" localSheetId="31" hidden="1">3</definedName>
    <definedName name="solver_rel4" localSheetId="19" hidden="1">2</definedName>
    <definedName name="solver_rel4" localSheetId="17" hidden="1">1</definedName>
    <definedName name="solver_rel4" localSheetId="11" hidden="1">1</definedName>
    <definedName name="solver_rel4" localSheetId="18" hidden="1">1</definedName>
    <definedName name="solver_rel5" localSheetId="23" hidden="1">5</definedName>
    <definedName name="solver_rel5" localSheetId="11" hidden="1">1</definedName>
    <definedName name="solver_rel6" localSheetId="11" hidden="1">3</definedName>
    <definedName name="solver_rel7" localSheetId="11" hidden="1">3</definedName>
    <definedName name="solver_rel8" localSheetId="11" hidden="1">3</definedName>
    <definedName name="solver_rel9" localSheetId="11" hidden="1">3</definedName>
    <definedName name="solver_rhs1" localSheetId="0" hidden="1">'Advertising '!$E$6</definedName>
    <definedName name="solver_rhs1" localSheetId="14" hidden="1">1</definedName>
    <definedName name="solver_rhs1" localSheetId="23" hidden="1">CapitalBudget!$D$14</definedName>
    <definedName name="solver_rhs1" localSheetId="9" hidden="1">Dual!$O$6:$O$7</definedName>
    <definedName name="solver_rhs1" localSheetId="33" hidden="1">EOQ!$L$15</definedName>
    <definedName name="solver_rhs1" localSheetId="24" hidden="1">"binary"</definedName>
    <definedName name="solver_rhs1" localSheetId="31" hidden="1">0</definedName>
    <definedName name="solver_rhs1" localSheetId="25" hidden="1">binary</definedName>
    <definedName name="solver_rhs1" localSheetId="19" hidden="1">'HW3'!$N$14:$N$17</definedName>
    <definedName name="solver_rhs1" localSheetId="8" hidden="1">LM_2!$L$12:$L$14</definedName>
    <definedName name="solver_rhs1" localSheetId="17" hidden="1">MCNF!$F$8:$F$13</definedName>
    <definedName name="solver_rhs1" localSheetId="30" hidden="1">Peakload!$B$21:$C$21</definedName>
    <definedName name="solver_rhs1" localSheetId="10" hidden="1">ProdPlanning!$B$14:$G$14</definedName>
    <definedName name="solver_rhs1" localSheetId="4" hidden="1">ProductMix!$B$18:$C$18</definedName>
    <definedName name="solver_rhs1" localSheetId="5" hidden="1">ProductMix_add_on!$B$18:$D$18</definedName>
    <definedName name="solver_rhs1" localSheetId="7" hidden="1">ProductMix2!$B$23:$I$23</definedName>
    <definedName name="solver_rhs1" localSheetId="11" hidden="1">NFinish</definedName>
    <definedName name="solver_rhs1" localSheetId="18" hidden="1">RedBrandLogistics!$F$8:$F$33</definedName>
    <definedName name="solver_rhs1" localSheetId="20" hidden="1">"binary"</definedName>
    <definedName name="solver_rhs1" localSheetId="13" hidden="1">Transport1!$C$18:$F$18</definedName>
    <definedName name="solver_rhs1" localSheetId="26" hidden="1">"integer"</definedName>
    <definedName name="solver_rhs10" localSheetId="11" hidden="1">HFinish</definedName>
    <definedName name="solver_rhs11" localSheetId="11" hidden="1">EFinish</definedName>
    <definedName name="solver_rhs12" localSheetId="11" hidden="1">IFinish</definedName>
    <definedName name="solver_rhs13" localSheetId="11" hidden="1">FFinish</definedName>
    <definedName name="solver_rhs14" localSheetId="11" hidden="1">CFinish</definedName>
    <definedName name="solver_rhs15" localSheetId="11" hidden="1">GFinish</definedName>
    <definedName name="solver_rhs16" localSheetId="11" hidden="1">AFinish</definedName>
    <definedName name="solver_rhs17" localSheetId="11" hidden="1">DFinish</definedName>
    <definedName name="solver_rhs18" localSheetId="11" hidden="1">BFinish</definedName>
    <definedName name="solver_rhs19" localSheetId="11" hidden="1">CFinish</definedName>
    <definedName name="solver_rhs2" localSheetId="14" hidden="1">1</definedName>
    <definedName name="solver_rhs2" localSheetId="23" hidden="1">"binary"</definedName>
    <definedName name="solver_rhs2" localSheetId="24" hidden="1">FixedCost!$B$17:$F$17</definedName>
    <definedName name="solver_rhs2" localSheetId="31" hidden="1">GameTheory!$G$4:$G$5</definedName>
    <definedName name="solver_rhs2" localSheetId="25" hidden="1">Hub!$D$25:$D$36</definedName>
    <definedName name="solver_rhs2" localSheetId="19" hidden="1">'HW3'!$N$5</definedName>
    <definedName name="solver_rhs2" localSheetId="8" hidden="1">LM_2!$L$15</definedName>
    <definedName name="solver_rhs2" localSheetId="17" hidden="1">MCNF!$N$9:$N$13</definedName>
    <definedName name="solver_rhs2" localSheetId="10" hidden="1">ProdPlanning!$B$22:$G$22</definedName>
    <definedName name="solver_rhs2" localSheetId="4" hidden="1">ProductMix!$D$21:$D$22</definedName>
    <definedName name="solver_rhs2" localSheetId="5" hidden="1">ProductMix_add_on!$D$21:$D$22</definedName>
    <definedName name="solver_rhs2" localSheetId="7" hidden="1">ProductMix2!$D$26:$D$28</definedName>
    <definedName name="solver_rhs2" localSheetId="11" hidden="1">MFinish</definedName>
    <definedName name="solver_rhs2" localSheetId="18" hidden="1">RedBrandLogistics!$M$15:$M$16</definedName>
    <definedName name="solver_rhs2" localSheetId="20" hidden="1">set_covering_model!$J$3:$J$8</definedName>
    <definedName name="solver_rhs2" localSheetId="13" hidden="1">Transport1!$I$13:$I$15</definedName>
    <definedName name="solver_rhs2" localSheetId="26" hidden="1">WorkerScheduling!$W$5:$W$11</definedName>
    <definedName name="solver_rhs20" localSheetId="11" hidden="1">CFinish</definedName>
    <definedName name="solver_rhs21" localSheetId="11" hidden="1">CFinish</definedName>
    <definedName name="solver_rhs22" localSheetId="11" hidden="1">EFinish</definedName>
    <definedName name="solver_rhs3" localSheetId="23" hidden="1">0</definedName>
    <definedName name="solver_rhs3" localSheetId="24" hidden="1">FixedCost!$D$23:$D$24</definedName>
    <definedName name="solver_rhs3" localSheetId="31" hidden="1">1</definedName>
    <definedName name="solver_rhs3" localSheetId="19" hidden="1">'HW3'!$G$5:$G$6</definedName>
    <definedName name="solver_rhs3" localSheetId="8" hidden="1">LM_2!$L$15</definedName>
    <definedName name="solver_rhs3" localSheetId="17" hidden="1">MCNF!$N$20:$N$21</definedName>
    <definedName name="solver_rhs3" localSheetId="10" hidden="1">0</definedName>
    <definedName name="solver_rhs3" localSheetId="4" hidden="1">ProductMix!$C$18</definedName>
    <definedName name="solver_rhs3" localSheetId="5" hidden="1">ProductMix_add_on!$C$18</definedName>
    <definedName name="solver_rhs3" localSheetId="7" hidden="1">ProductMix2!$D$26:$D$28</definedName>
    <definedName name="solver_rhs3" localSheetId="11" hidden="1">NFinish</definedName>
    <definedName name="solver_rhs3" localSheetId="18" hidden="1">RedBrandLogistics!$M$20:$M$21</definedName>
    <definedName name="solver_rhs4" localSheetId="23" hidden="1">1</definedName>
    <definedName name="solver_rhs4" localSheetId="24" hidden="1">FixedCost!$D$23:$D$24</definedName>
    <definedName name="solver_rhs4" localSheetId="31" hidden="1">1</definedName>
    <definedName name="solver_rhs4" localSheetId="19" hidden="1">'HW3'!$N$9:$N$10</definedName>
    <definedName name="solver_rhs4" localSheetId="17" hidden="1">MCNF!$N$9:$N$11</definedName>
    <definedName name="solver_rhs4" localSheetId="11" hidden="1">project!$K$22</definedName>
    <definedName name="solver_rhs4" localSheetId="18" hidden="1">RedBrandLogistics!$M$9:$M$11</definedName>
    <definedName name="solver_rhs5" localSheetId="23" hidden="1">binary</definedName>
    <definedName name="solver_rhs5" localSheetId="11" hidden="1">project!$G$6:$G$19</definedName>
    <definedName name="solver_rhs6" localSheetId="11" hidden="1">KFinish</definedName>
    <definedName name="solver_rhs7" localSheetId="11" hidden="1">LFinish</definedName>
    <definedName name="solver_rhs8" localSheetId="11" hidden="1">JFinish</definedName>
    <definedName name="solver_rhs9" localSheetId="11" hidden="1">JFinish</definedName>
    <definedName name="solver_rlx" localSheetId="0" hidden="1">2</definedName>
    <definedName name="solver_rlx" localSheetId="14" hidden="1">2</definedName>
    <definedName name="solver_rlx" localSheetId="23" hidden="1">2</definedName>
    <definedName name="solver_rlx" localSheetId="9" hidden="1">2</definedName>
    <definedName name="solver_rlx" localSheetId="33" hidden="1">2</definedName>
    <definedName name="solver_rlx" localSheetId="24" hidden="1">2</definedName>
    <definedName name="solver_rlx" localSheetId="31" hidden="1">2</definedName>
    <definedName name="solver_rlx" localSheetId="25" hidden="1">2</definedName>
    <definedName name="solver_rlx" localSheetId="19" hidden="1">2</definedName>
    <definedName name="solver_rlx" localSheetId="8" hidden="1">2</definedName>
    <definedName name="solver_rlx" localSheetId="37" hidden="1">2</definedName>
    <definedName name="solver_rlx" localSheetId="17" hidden="1">2</definedName>
    <definedName name="solver_rlx" localSheetId="2" hidden="1">2</definedName>
    <definedName name="solver_rlx" localSheetId="30" hidden="1">2</definedName>
    <definedName name="solver_rlx" localSheetId="10" hidden="1">2</definedName>
    <definedName name="solver_rlx" localSheetId="4" hidden="1">1</definedName>
    <definedName name="solver_rlx" localSheetId="5" hidden="1">1</definedName>
    <definedName name="solver_rlx" localSheetId="7" hidden="1">2</definedName>
    <definedName name="solver_rlx" localSheetId="11" hidden="1">2</definedName>
    <definedName name="solver_rlx" localSheetId="18" hidden="1">2</definedName>
    <definedName name="solver_rlx" localSheetId="20" hidden="1">2</definedName>
    <definedName name="solver_rlx" localSheetId="13" hidden="1">2</definedName>
    <definedName name="solver_rlx" localSheetId="26" hidden="1">2</definedName>
    <definedName name="solver_rsd" localSheetId="0" hidden="1">0</definedName>
    <definedName name="solver_rsd" localSheetId="14" hidden="1">0</definedName>
    <definedName name="solver_rsd" localSheetId="23" hidden="1">0</definedName>
    <definedName name="solver_rsd" localSheetId="9" hidden="1">0</definedName>
    <definedName name="solver_rsd" localSheetId="33" hidden="1">0</definedName>
    <definedName name="solver_rsd" localSheetId="24" hidden="1">0</definedName>
    <definedName name="solver_rsd" localSheetId="31" hidden="1">0</definedName>
    <definedName name="solver_rsd" localSheetId="25" hidden="1">0</definedName>
    <definedName name="solver_rsd" localSheetId="19" hidden="1">0</definedName>
    <definedName name="solver_rsd" localSheetId="8" hidden="1">0</definedName>
    <definedName name="solver_rsd" localSheetId="37" hidden="1">0</definedName>
    <definedName name="solver_rsd" localSheetId="17" hidden="1">0</definedName>
    <definedName name="solver_rsd" localSheetId="2" hidden="1">0</definedName>
    <definedName name="solver_rsd" localSheetId="30" hidden="1">0</definedName>
    <definedName name="solver_rsd" localSheetId="10" hidden="1">0</definedName>
    <definedName name="solver_rsd" localSheetId="4" hidden="1">0</definedName>
    <definedName name="solver_rsd" localSheetId="5" hidden="1">0</definedName>
    <definedName name="solver_rsd" localSheetId="7" hidden="1">0</definedName>
    <definedName name="solver_rsd" localSheetId="11" hidden="1">0</definedName>
    <definedName name="solver_rsd" localSheetId="18" hidden="1">0</definedName>
    <definedName name="solver_rsd" localSheetId="20" hidden="1">0</definedName>
    <definedName name="solver_rsd" localSheetId="13" hidden="1">0</definedName>
    <definedName name="solver_rsd" localSheetId="26" hidden="1">0</definedName>
    <definedName name="solver_scl" localSheetId="0" hidden="1">1</definedName>
    <definedName name="solver_scl" localSheetId="14" hidden="1">1</definedName>
    <definedName name="solver_scl" localSheetId="23" hidden="1">1</definedName>
    <definedName name="solver_scl" localSheetId="9" hidden="1">1</definedName>
    <definedName name="solver_scl" localSheetId="33" hidden="1">1</definedName>
    <definedName name="solver_scl" localSheetId="24" hidden="1">1</definedName>
    <definedName name="solver_scl" localSheetId="31" hidden="1">1</definedName>
    <definedName name="solver_scl" localSheetId="25" hidden="1">1</definedName>
    <definedName name="solver_scl" localSheetId="19" hidden="1">2</definedName>
    <definedName name="solver_scl" localSheetId="8" hidden="1">1</definedName>
    <definedName name="solver_scl" localSheetId="37" hidden="1">1</definedName>
    <definedName name="solver_scl" localSheetId="17" hidden="1">1</definedName>
    <definedName name="solver_scl" localSheetId="2" hidden="1">1</definedName>
    <definedName name="solver_scl" localSheetId="30" hidden="1">2</definedName>
    <definedName name="solver_scl" localSheetId="10" hidden="1">1</definedName>
    <definedName name="solver_scl" localSheetId="4" hidden="1">2</definedName>
    <definedName name="solver_scl" localSheetId="5" hidden="1">2</definedName>
    <definedName name="solver_scl" localSheetId="7" hidden="1">1</definedName>
    <definedName name="solver_scl" localSheetId="11" hidden="1">1</definedName>
    <definedName name="solver_scl" localSheetId="18" hidden="1">1</definedName>
    <definedName name="solver_scl" localSheetId="20" hidden="1">1</definedName>
    <definedName name="solver_scl" localSheetId="13" hidden="1">1</definedName>
    <definedName name="solver_scl" localSheetId="26" hidden="1">1</definedName>
    <definedName name="solver_sho" localSheetId="0" hidden="1">2</definedName>
    <definedName name="solver_sho" localSheetId="14" hidden="1">2</definedName>
    <definedName name="solver_sho" localSheetId="23" hidden="1">2</definedName>
    <definedName name="solver_sho" localSheetId="9" hidden="1">2</definedName>
    <definedName name="solver_sho" localSheetId="33" hidden="1">2</definedName>
    <definedName name="solver_sho" localSheetId="24" hidden="1">2</definedName>
    <definedName name="solver_sho" localSheetId="31" hidden="1">2</definedName>
    <definedName name="solver_sho" localSheetId="25" hidden="1">2</definedName>
    <definedName name="solver_sho" localSheetId="19" hidden="1">2</definedName>
    <definedName name="solver_sho" localSheetId="8" hidden="1">2</definedName>
    <definedName name="solver_sho" localSheetId="37" hidden="1">2</definedName>
    <definedName name="solver_sho" localSheetId="17" hidden="1">2</definedName>
    <definedName name="solver_sho" localSheetId="2" hidden="1">2</definedName>
    <definedName name="solver_sho" localSheetId="30" hidden="1">2</definedName>
    <definedName name="solver_sho" localSheetId="10" hidden="1">2</definedName>
    <definedName name="solver_sho" localSheetId="4" hidden="1">2</definedName>
    <definedName name="solver_sho" localSheetId="5" hidden="1">2</definedName>
    <definedName name="solver_sho" localSheetId="7" hidden="1">2</definedName>
    <definedName name="solver_sho" localSheetId="11" hidden="1">2</definedName>
    <definedName name="solver_sho" localSheetId="18" hidden="1">2</definedName>
    <definedName name="solver_sho" localSheetId="20" hidden="1">2</definedName>
    <definedName name="solver_sho" localSheetId="13" hidden="1">2</definedName>
    <definedName name="solver_sho" localSheetId="26" hidden="1">2</definedName>
    <definedName name="solver_ssz" localSheetId="0" hidden="1">100</definedName>
    <definedName name="solver_ssz" localSheetId="14" hidden="1">100</definedName>
    <definedName name="solver_ssz" localSheetId="23" hidden="1">100</definedName>
    <definedName name="solver_ssz" localSheetId="9" hidden="1">100</definedName>
    <definedName name="solver_ssz" localSheetId="33" hidden="1">100</definedName>
    <definedName name="solver_ssz" localSheetId="24" hidden="1">100</definedName>
    <definedName name="solver_ssz" localSheetId="31" hidden="1">100</definedName>
    <definedName name="solver_ssz" localSheetId="25" hidden="1">100</definedName>
    <definedName name="solver_ssz" localSheetId="19" hidden="1">100</definedName>
    <definedName name="solver_ssz" localSheetId="8" hidden="1">100</definedName>
    <definedName name="solver_ssz" localSheetId="37" hidden="1">100</definedName>
    <definedName name="solver_ssz" localSheetId="17" hidden="1">100</definedName>
    <definedName name="solver_ssz" localSheetId="2" hidden="1">100</definedName>
    <definedName name="solver_ssz" localSheetId="30" hidden="1">100</definedName>
    <definedName name="solver_ssz" localSheetId="10" hidden="1">100</definedName>
    <definedName name="solver_ssz" localSheetId="4" hidden="1">100</definedName>
    <definedName name="solver_ssz" localSheetId="5" hidden="1">100</definedName>
    <definedName name="solver_ssz" localSheetId="7" hidden="1">100</definedName>
    <definedName name="solver_ssz" localSheetId="11" hidden="1">100</definedName>
    <definedName name="solver_ssz" localSheetId="18" hidden="1">100</definedName>
    <definedName name="solver_ssz" localSheetId="20" hidden="1">100</definedName>
    <definedName name="solver_ssz" localSheetId="13" hidden="1">100</definedName>
    <definedName name="solver_ssz" localSheetId="26" hidden="1">100</definedName>
    <definedName name="solver_tim" localSheetId="0" hidden="1">2147483647</definedName>
    <definedName name="solver_tim" localSheetId="14" hidden="1">2147483647</definedName>
    <definedName name="solver_tim" localSheetId="23" hidden="1">2147483647</definedName>
    <definedName name="solver_tim" localSheetId="9" hidden="1">2147483647</definedName>
    <definedName name="solver_tim" localSheetId="33" hidden="1">2147483647</definedName>
    <definedName name="solver_tim" localSheetId="24" hidden="1">2147483647</definedName>
    <definedName name="solver_tim" localSheetId="31" hidden="1">2147483647</definedName>
    <definedName name="solver_tim" localSheetId="25" hidden="1">2147483647</definedName>
    <definedName name="solver_tim" localSheetId="19" hidden="1">2147483647</definedName>
    <definedName name="solver_tim" localSheetId="8" hidden="1">2147483647</definedName>
    <definedName name="solver_tim" localSheetId="37" hidden="1">2147483647</definedName>
    <definedName name="solver_tim" localSheetId="17" hidden="1">2147483647</definedName>
    <definedName name="solver_tim" localSheetId="2" hidden="1">2147483647</definedName>
    <definedName name="solver_tim" localSheetId="30" hidden="1">2147483647</definedName>
    <definedName name="solver_tim" localSheetId="10" hidden="1">2147483647</definedName>
    <definedName name="solver_tim" localSheetId="4" hidden="1">100</definedName>
    <definedName name="solver_tim" localSheetId="5" hidden="1">100</definedName>
    <definedName name="solver_tim" localSheetId="7" hidden="1">2147483647</definedName>
    <definedName name="solver_tim" localSheetId="11" hidden="1">2147483647</definedName>
    <definedName name="solver_tim" localSheetId="18" hidden="1">2147483647</definedName>
    <definedName name="solver_tim" localSheetId="20" hidden="1">2147483647</definedName>
    <definedName name="solver_tim" localSheetId="13" hidden="1">2147483647</definedName>
    <definedName name="solver_tim" localSheetId="26" hidden="1">2147483647</definedName>
    <definedName name="solver_tol" localSheetId="0" hidden="1">0.01</definedName>
    <definedName name="solver_tol" localSheetId="14" hidden="1">0.01</definedName>
    <definedName name="solver_tol" localSheetId="23" hidden="1">0.01</definedName>
    <definedName name="solver_tol" localSheetId="9" hidden="1">0.01</definedName>
    <definedName name="solver_tol" localSheetId="33" hidden="1">0.01</definedName>
    <definedName name="solver_tol" localSheetId="24" hidden="1">0.01</definedName>
    <definedName name="solver_tol" localSheetId="31" hidden="1">0.01</definedName>
    <definedName name="solver_tol" localSheetId="25" hidden="1">0.01</definedName>
    <definedName name="solver_tol" localSheetId="19" hidden="1">0.01</definedName>
    <definedName name="solver_tol" localSheetId="8" hidden="1">0.01</definedName>
    <definedName name="solver_tol" localSheetId="37" hidden="1">0.01</definedName>
    <definedName name="solver_tol" localSheetId="17" hidden="1">0.01</definedName>
    <definedName name="solver_tol" localSheetId="2" hidden="1">0.01</definedName>
    <definedName name="solver_tol" localSheetId="30" hidden="1">0.01</definedName>
    <definedName name="solver_tol" localSheetId="10" hidden="1">0.01</definedName>
    <definedName name="solver_tol" localSheetId="4" hidden="1">0.05</definedName>
    <definedName name="solver_tol" localSheetId="5" hidden="1">0.05</definedName>
    <definedName name="solver_tol" localSheetId="7" hidden="1">0.01</definedName>
    <definedName name="solver_tol" localSheetId="11" hidden="1">0.01</definedName>
    <definedName name="solver_tol" localSheetId="18" hidden="1">0.01</definedName>
    <definedName name="solver_tol" localSheetId="20" hidden="1">0.01</definedName>
    <definedName name="solver_tol" localSheetId="13" hidden="1">0.01</definedName>
    <definedName name="solver_tol" localSheetId="26" hidden="1">0.01</definedName>
    <definedName name="solver_typ" localSheetId="0" hidden="1">1</definedName>
    <definedName name="solver_typ" localSheetId="14" hidden="1">2</definedName>
    <definedName name="solver_typ" localSheetId="23" hidden="1">1</definedName>
    <definedName name="solver_typ" localSheetId="9" hidden="1">2</definedName>
    <definedName name="solver_typ" localSheetId="33" hidden="1">2</definedName>
    <definedName name="solver_typ" localSheetId="24" hidden="1">1</definedName>
    <definedName name="solver_typ" localSheetId="31" hidden="1">1</definedName>
    <definedName name="solver_typ" localSheetId="25" hidden="1">2</definedName>
    <definedName name="solver_typ" localSheetId="19" hidden="1">2</definedName>
    <definedName name="solver_typ" localSheetId="8" hidden="1">2</definedName>
    <definedName name="solver_typ" localSheetId="37" hidden="1">2</definedName>
    <definedName name="solver_typ" localSheetId="17" hidden="1">2</definedName>
    <definedName name="solver_typ" localSheetId="2" hidden="1">1</definedName>
    <definedName name="solver_typ" localSheetId="30" hidden="1">1</definedName>
    <definedName name="solver_typ" localSheetId="10" hidden="1">2</definedName>
    <definedName name="solver_typ" localSheetId="4" hidden="1">1</definedName>
    <definedName name="solver_typ" localSheetId="5" hidden="1">1</definedName>
    <definedName name="solver_typ" localSheetId="7" hidden="1">1</definedName>
    <definedName name="solver_typ" localSheetId="11" hidden="1">2</definedName>
    <definedName name="solver_typ" localSheetId="18" hidden="1">2</definedName>
    <definedName name="solver_typ" localSheetId="20" hidden="1">2</definedName>
    <definedName name="solver_typ" localSheetId="34" hidden="1">1</definedName>
    <definedName name="solver_typ" localSheetId="13" hidden="1">2</definedName>
    <definedName name="solver_typ" localSheetId="26" hidden="1">2</definedName>
    <definedName name="solver_val" localSheetId="0" hidden="1">0</definedName>
    <definedName name="solver_val" localSheetId="14" hidden="1">0</definedName>
    <definedName name="solver_val" localSheetId="23" hidden="1">0</definedName>
    <definedName name="solver_val" localSheetId="9" hidden="1">0</definedName>
    <definedName name="solver_val" localSheetId="33" hidden="1">0</definedName>
    <definedName name="solver_val" localSheetId="24" hidden="1">0</definedName>
    <definedName name="solver_val" localSheetId="31" hidden="1">0</definedName>
    <definedName name="solver_val" localSheetId="25" hidden="1">0</definedName>
    <definedName name="solver_val" localSheetId="19" hidden="1">0</definedName>
    <definedName name="solver_val" localSheetId="8" hidden="1">0</definedName>
    <definedName name="solver_val" localSheetId="37" hidden="1">0</definedName>
    <definedName name="solver_val" localSheetId="17" hidden="1">0</definedName>
    <definedName name="solver_val" localSheetId="2" hidden="1">0</definedName>
    <definedName name="solver_val" localSheetId="30" hidden="1">0</definedName>
    <definedName name="solver_val" localSheetId="10" hidden="1">0</definedName>
    <definedName name="solver_val" localSheetId="4" hidden="1">0</definedName>
    <definedName name="solver_val" localSheetId="5" hidden="1">0</definedName>
    <definedName name="solver_val" localSheetId="7" hidden="1">0</definedName>
    <definedName name="solver_val" localSheetId="11" hidden="1">0</definedName>
    <definedName name="solver_val" localSheetId="18" hidden="1">0</definedName>
    <definedName name="solver_val" localSheetId="20" hidden="1">0</definedName>
    <definedName name="solver_val" localSheetId="34" hidden="1">0</definedName>
    <definedName name="solver_val" localSheetId="13" hidden="1">0</definedName>
    <definedName name="solver_val" localSheetId="26" hidden="1">0</definedName>
    <definedName name="solver_ver" localSheetId="0" hidden="1">3</definedName>
    <definedName name="solver_ver" localSheetId="14" hidden="1">3</definedName>
    <definedName name="solver_ver" localSheetId="23" hidden="1">3</definedName>
    <definedName name="solver_ver" localSheetId="9" hidden="1">3</definedName>
    <definedName name="solver_ver" localSheetId="33" hidden="1">3</definedName>
    <definedName name="solver_ver" localSheetId="24" hidden="1">3</definedName>
    <definedName name="solver_ver" localSheetId="31" hidden="1">3</definedName>
    <definedName name="solver_ver" localSheetId="25" hidden="1">3</definedName>
    <definedName name="solver_ver" localSheetId="19" hidden="1">3</definedName>
    <definedName name="solver_ver" localSheetId="8" hidden="1">3</definedName>
    <definedName name="solver_ver" localSheetId="37" hidden="1">3</definedName>
    <definedName name="solver_ver" localSheetId="17" hidden="1">3</definedName>
    <definedName name="solver_ver" localSheetId="2" hidden="1">3</definedName>
    <definedName name="solver_ver" localSheetId="30" hidden="1">3</definedName>
    <definedName name="solver_ver" localSheetId="10" hidden="1">3</definedName>
    <definedName name="solver_ver" localSheetId="4" hidden="1">3</definedName>
    <definedName name="solver_ver" localSheetId="5" hidden="1">3</definedName>
    <definedName name="solver_ver" localSheetId="7" hidden="1">3</definedName>
    <definedName name="solver_ver" localSheetId="11" hidden="1">3</definedName>
    <definedName name="solver_ver" localSheetId="18" hidden="1">3</definedName>
    <definedName name="solver_ver" localSheetId="20" hidden="1">3</definedName>
    <definedName name="solver_ver" localSheetId="34" hidden="1">3</definedName>
    <definedName name="solver_ver" localSheetId="13" hidden="1">3</definedName>
    <definedName name="solver_ver" localSheetId="26" hidden="1">3</definedName>
    <definedName name="yFinish">project!$I$22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3" l="1"/>
  <c r="C6" i="43"/>
  <c r="B2" i="41"/>
  <c r="C2" i="41" s="1"/>
  <c r="E2" i="41" s="1"/>
  <c r="D2" i="41"/>
  <c r="E3" i="40"/>
  <c r="E4" i="40"/>
  <c r="E5" i="40"/>
  <c r="E6" i="40"/>
  <c r="C19" i="15"/>
  <c r="B19" i="15"/>
  <c r="B25" i="15"/>
  <c r="C21" i="15"/>
  <c r="B21" i="15"/>
  <c r="B9" i="23"/>
  <c r="B8" i="23"/>
  <c r="B10" i="23" s="1"/>
  <c r="B7" i="23"/>
  <c r="B23" i="9"/>
  <c r="B24" i="9"/>
  <c r="B27" i="9"/>
  <c r="B28" i="9"/>
  <c r="B29" i="9"/>
  <c r="B17" i="8"/>
  <c r="B14" i="8"/>
  <c r="B7" i="8"/>
  <c r="B17" i="9"/>
  <c r="U4" i="11"/>
  <c r="U5" i="11"/>
  <c r="U6" i="11"/>
  <c r="U7" i="11"/>
  <c r="U8" i="11"/>
  <c r="U9" i="11"/>
  <c r="U10" i="11"/>
  <c r="U11" i="11"/>
  <c r="C10" i="39"/>
  <c r="H4" i="39"/>
  <c r="H3" i="39"/>
  <c r="H2" i="39"/>
  <c r="H5" i="39"/>
  <c r="H6" i="39"/>
  <c r="H7" i="39"/>
  <c r="H8" i="39"/>
  <c r="C7" i="8"/>
  <c r="D7" i="8"/>
  <c r="E7" i="8"/>
  <c r="F7" i="8"/>
  <c r="G7" i="8"/>
  <c r="H7" i="8"/>
  <c r="F2" i="9"/>
  <c r="C17" i="9" s="1"/>
  <c r="D17" i="9"/>
  <c r="E17" i="9"/>
  <c r="F17" i="9"/>
  <c r="B17" i="37"/>
  <c r="L12" i="31"/>
  <c r="K12" i="31"/>
  <c r="J14" i="37"/>
  <c r="J9" i="37"/>
  <c r="J5" i="37"/>
  <c r="K5" i="37"/>
  <c r="B24" i="15" l="1"/>
  <c r="B26" i="15" s="1"/>
  <c r="B11" i="23"/>
  <c r="B30" i="9"/>
  <c r="L5" i="37"/>
  <c r="K17" i="37" l="1"/>
  <c r="K14" i="37"/>
  <c r="K15" i="37"/>
  <c r="K16" i="37"/>
  <c r="K10" i="37"/>
  <c r="K9" i="37"/>
  <c r="J16" i="37"/>
  <c r="J15" i="37"/>
  <c r="J17" i="37"/>
  <c r="J10" i="37"/>
  <c r="J11" i="6"/>
  <c r="K9" i="31"/>
  <c r="K11" i="31"/>
  <c r="K10" i="31"/>
  <c r="I15" i="6"/>
  <c r="B17" i="31"/>
  <c r="H27" i="3"/>
  <c r="C9" i="3"/>
  <c r="D9" i="3"/>
  <c r="E9" i="3"/>
  <c r="F9" i="3"/>
  <c r="G9" i="3"/>
  <c r="B9" i="3"/>
  <c r="B20" i="3"/>
  <c r="C20" i="3" s="1"/>
  <c r="D20" i="3" s="1"/>
  <c r="E20" i="3" s="1"/>
  <c r="F20" i="3" s="1"/>
  <c r="G20" i="3" s="1"/>
  <c r="R13" i="31"/>
  <c r="X11" i="31"/>
  <c r="X8" i="31"/>
  <c r="X9" i="31"/>
  <c r="X10" i="31"/>
  <c r="X7" i="31"/>
  <c r="F11" i="31"/>
  <c r="F9" i="31"/>
  <c r="K13" i="31"/>
  <c r="J10" i="31"/>
  <c r="J11" i="31"/>
  <c r="J12" i="31"/>
  <c r="J13" i="31"/>
  <c r="J9" i="31"/>
  <c r="B36" i="6"/>
  <c r="J21" i="6"/>
  <c r="J20" i="6"/>
  <c r="I21" i="6"/>
  <c r="I20" i="6"/>
  <c r="F1" i="6"/>
  <c r="J16" i="6"/>
  <c r="J15" i="6"/>
  <c r="I16" i="6"/>
  <c r="J10" i="6"/>
  <c r="I10" i="6"/>
  <c r="I11" i="6"/>
  <c r="J9" i="6"/>
  <c r="I9" i="6"/>
  <c r="J15" i="36"/>
  <c r="K11" i="36"/>
  <c r="J13" i="36"/>
  <c r="J14" i="36"/>
  <c r="J12" i="36"/>
  <c r="E5" i="36"/>
  <c r="E6" i="36"/>
  <c r="E4" i="36"/>
  <c r="D4" i="36" a="1"/>
  <c r="G3" i="36"/>
  <c r="F3" i="36" a="1"/>
  <c r="L15" i="37" l="1"/>
  <c r="L14" i="37"/>
  <c r="L9" i="37"/>
  <c r="L17" i="37"/>
  <c r="L10" i="37"/>
  <c r="L16" i="37"/>
  <c r="H26" i="3"/>
  <c r="H28" i="3" s="1"/>
  <c r="L11" i="31"/>
  <c r="L10" i="31"/>
  <c r="L13" i="31"/>
  <c r="L9" i="31"/>
  <c r="K15" i="6"/>
  <c r="K21" i="6"/>
  <c r="K20" i="6"/>
  <c r="K16" i="6"/>
  <c r="K10" i="6"/>
  <c r="K11" i="6"/>
  <c r="K9" i="6"/>
  <c r="I24" i="2"/>
  <c r="C24" i="2"/>
  <c r="D24" i="2"/>
  <c r="E24" i="2"/>
  <c r="F24" i="2"/>
  <c r="G24" i="2"/>
  <c r="H24" i="2"/>
  <c r="B24" i="2"/>
  <c r="B28" i="2"/>
  <c r="B27" i="2"/>
  <c r="H21" i="2"/>
  <c r="C21" i="2"/>
  <c r="D21" i="2"/>
  <c r="E21" i="2"/>
  <c r="F21" i="2"/>
  <c r="G21" i="2"/>
  <c r="I21" i="2"/>
  <c r="B21" i="2"/>
  <c r="J33" i="2"/>
  <c r="C15" i="2"/>
  <c r="D15" i="2"/>
  <c r="E15" i="2"/>
  <c r="F15" i="2"/>
  <c r="G15" i="2"/>
  <c r="H15" i="2"/>
  <c r="I15" i="2"/>
  <c r="B15" i="2"/>
  <c r="D14" i="2"/>
  <c r="C14" i="2"/>
  <c r="E14" i="2"/>
  <c r="F14" i="2"/>
  <c r="G14" i="2"/>
  <c r="H14" i="2"/>
  <c r="I14" i="2"/>
  <c r="B14" i="2"/>
  <c r="D26" i="32"/>
  <c r="B22" i="32"/>
  <c r="B21" i="32"/>
  <c r="D12" i="32"/>
  <c r="C12" i="32"/>
  <c r="C25" i="32" s="1"/>
  <c r="B12" i="32"/>
  <c r="B26" i="2" l="1"/>
  <c r="B25" i="32"/>
  <c r="D25" i="32" s="1"/>
  <c r="B22" i="1" l="1"/>
  <c r="B21" i="1"/>
  <c r="D26" i="1"/>
  <c r="D25" i="1"/>
  <c r="C25" i="1"/>
  <c r="B25" i="1"/>
  <c r="H18" i="3"/>
  <c r="C12" i="1"/>
  <c r="B12" i="1"/>
  <c r="E4" i="29"/>
  <c r="E3" i="29"/>
  <c r="E5" i="29"/>
  <c r="E2" i="29"/>
  <c r="D3" i="29"/>
  <c r="D4" i="29"/>
  <c r="D5" i="29"/>
  <c r="D2" i="29"/>
  <c r="F7" i="29" l="1"/>
  <c r="F6" i="28"/>
  <c r="F5" i="28"/>
  <c r="F4" i="28"/>
  <c r="F3" i="28"/>
  <c r="I7" i="25" l="1"/>
  <c r="J7" i="25" s="1"/>
  <c r="I8" i="25"/>
  <c r="J8" i="25" s="1"/>
  <c r="I9" i="25"/>
  <c r="J9" i="25" s="1"/>
  <c r="I10" i="25"/>
  <c r="J10" i="25" s="1"/>
  <c r="I11" i="25"/>
  <c r="J11" i="25" s="1"/>
  <c r="I12" i="25"/>
  <c r="J12" i="25" s="1"/>
  <c r="I13" i="25"/>
  <c r="J13" i="25" s="1"/>
  <c r="I14" i="25"/>
  <c r="J14" i="25" s="1"/>
  <c r="I15" i="25"/>
  <c r="J15" i="25" s="1"/>
  <c r="I6" i="25"/>
  <c r="J6" i="25" s="1"/>
  <c r="J3" i="25" s="1"/>
  <c r="H19" i="25"/>
  <c r="D16" i="24" l="1"/>
  <c r="I14" i="24"/>
  <c r="E14" i="24"/>
  <c r="G14" i="24" s="1"/>
  <c r="I13" i="24"/>
  <c r="E13" i="24"/>
  <c r="G13" i="24" s="1"/>
  <c r="I12" i="24"/>
  <c r="E12" i="24"/>
  <c r="G12" i="24" s="1"/>
  <c r="I11" i="24"/>
  <c r="E11" i="24"/>
  <c r="G11" i="24" s="1"/>
  <c r="I10" i="24"/>
  <c r="E10" i="24"/>
  <c r="G10" i="24" s="1"/>
  <c r="I9" i="24"/>
  <c r="E9" i="24"/>
  <c r="G9" i="24" s="1"/>
  <c r="I8" i="24"/>
  <c r="E8" i="24"/>
  <c r="G8" i="24" s="1"/>
  <c r="I7" i="24"/>
  <c r="E7" i="24"/>
  <c r="G7" i="24" s="1"/>
  <c r="I6" i="24"/>
  <c r="E6" i="24"/>
  <c r="G6" i="24" s="1"/>
  <c r="I5" i="24"/>
  <c r="E5" i="24"/>
  <c r="G5" i="24" s="1"/>
  <c r="O7" i="15" l="1"/>
  <c r="O6" i="15"/>
  <c r="N7" i="15" s="1"/>
  <c r="N6" i="15"/>
  <c r="Q6" i="15" s="1"/>
  <c r="G7" i="21" a="1"/>
  <c r="G7" i="21" s="1"/>
  <c r="G3" i="21"/>
  <c r="K6" i="18" l="1"/>
  <c r="G16" i="20"/>
  <c r="D17" i="20"/>
  <c r="E17" i="20"/>
  <c r="F17" i="20"/>
  <c r="C17" i="20"/>
  <c r="C9" i="20"/>
  <c r="D9" i="20"/>
  <c r="E9" i="20"/>
  <c r="F9" i="20"/>
  <c r="C7" i="20"/>
  <c r="D7" i="20"/>
  <c r="E7" i="20"/>
  <c r="F7" i="20"/>
  <c r="C8" i="20"/>
  <c r="D8" i="20"/>
  <c r="E8" i="20"/>
  <c r="F8" i="20"/>
  <c r="D6" i="20"/>
  <c r="E6" i="20"/>
  <c r="F6" i="20"/>
  <c r="C6" i="20"/>
  <c r="B22" i="20" s="1"/>
  <c r="G15" i="20"/>
  <c r="G14" i="20"/>
  <c r="G13" i="20"/>
  <c r="K7" i="18" l="1"/>
  <c r="K8" i="18"/>
  <c r="K9" i="18"/>
  <c r="K10" i="18"/>
  <c r="K11" i="18"/>
  <c r="K12" i="18"/>
  <c r="K13" i="18"/>
  <c r="K14" i="18"/>
  <c r="K15" i="18"/>
  <c r="K16" i="18"/>
  <c r="K17" i="18"/>
  <c r="K18" i="18"/>
  <c r="K19" i="18"/>
  <c r="H12" i="18"/>
  <c r="H6" i="18"/>
  <c r="G7" i="18"/>
  <c r="H7" i="18" s="1"/>
  <c r="G8" i="18"/>
  <c r="H8" i="18" s="1"/>
  <c r="G9" i="18"/>
  <c r="H9" i="18" s="1"/>
  <c r="G10" i="18"/>
  <c r="H10" i="18" s="1"/>
  <c r="G11" i="18"/>
  <c r="H11" i="18" s="1"/>
  <c r="G12" i="18"/>
  <c r="G13" i="18"/>
  <c r="H13" i="18" s="1"/>
  <c r="G14" i="18"/>
  <c r="H14" i="18" s="1"/>
  <c r="G15" i="18"/>
  <c r="H15" i="18" s="1"/>
  <c r="G16" i="18"/>
  <c r="H16" i="18" s="1"/>
  <c r="G17" i="18"/>
  <c r="H17" i="18" s="1"/>
  <c r="G18" i="18"/>
  <c r="H18" i="18" s="1"/>
  <c r="G19" i="18"/>
  <c r="H19" i="18" s="1"/>
  <c r="G6" i="18"/>
  <c r="I24" i="18" l="1"/>
  <c r="O6" i="17" a="1"/>
  <c r="O6" i="17" s="1"/>
  <c r="I6" i="17" a="1"/>
  <c r="I6" i="17" s="1"/>
  <c r="I5" i="17" a="1"/>
  <c r="I5" i="17" s="1"/>
  <c r="D6" i="17"/>
  <c r="D7" i="17"/>
  <c r="D8" i="17"/>
  <c r="D9" i="17"/>
  <c r="D5" i="17"/>
  <c r="O7" i="17" l="1"/>
  <c r="L6" i="17"/>
  <c r="K6" i="17"/>
  <c r="J6" i="17"/>
  <c r="M6" i="17" s="1"/>
  <c r="L7" i="17"/>
  <c r="K7" i="17"/>
  <c r="J7" i="17"/>
  <c r="I7" i="17"/>
  <c r="L5" i="17"/>
  <c r="K5" i="17"/>
  <c r="J5" i="17"/>
  <c r="M5" i="17" s="1"/>
  <c r="M7" i="17" l="1"/>
  <c r="B27" i="11"/>
  <c r="C23" i="11"/>
  <c r="D23" i="11"/>
  <c r="E23" i="11"/>
  <c r="F23" i="11"/>
  <c r="G23" i="11"/>
  <c r="H23" i="11"/>
  <c r="B23" i="11"/>
  <c r="F9" i="6" l="1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8" i="6"/>
  <c r="B39" i="10" l="1"/>
  <c r="B32" i="10"/>
  <c r="B26" i="10"/>
  <c r="B27" i="10"/>
  <c r="B28" i="10"/>
  <c r="B29" i="10"/>
  <c r="B30" i="10"/>
  <c r="B31" i="10"/>
  <c r="B33" i="10"/>
  <c r="B34" i="10"/>
  <c r="B35" i="10"/>
  <c r="B36" i="10"/>
  <c r="B25" i="10"/>
  <c r="D4" i="36"/>
  <c r="F3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10" authorId="0" shapeId="0" xr:uid="{00000000-0006-0000-0B00-000001000000}">
      <text>
        <r>
          <rPr>
            <b/>
            <sz val="8"/>
            <color indexed="81"/>
            <rFont val="Tahoma"/>
            <family val="2"/>
          </rPr>
          <t>1 if we invest, 0 if not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 Albright</author>
  </authors>
  <commentList>
    <comment ref="A21" authorId="0" shapeId="0" xr:uid="{00000000-0006-0000-0D00-000001000000}">
      <text>
        <r>
          <rPr>
            <b/>
            <sz val="8"/>
            <color indexed="81"/>
            <rFont val="Tahoma"/>
            <family val="2"/>
          </rPr>
          <t>1 if yes, 0 if no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<sst xmlns="http://schemas.openxmlformats.org/spreadsheetml/2006/main" count="1099" uniqueCount="621">
  <si>
    <t>Assembling and testing computers</t>
  </si>
  <si>
    <t>Basic</t>
  </si>
  <si>
    <t>XP</t>
  </si>
  <si>
    <t>Inputs for assembling and testing a computer</t>
  </si>
  <si>
    <t>Labor hours for assembly</t>
  </si>
  <si>
    <t>Labor hours for testing</t>
  </si>
  <si>
    <t>Cost of component parts</t>
  </si>
  <si>
    <t>Selling price</t>
  </si>
  <si>
    <t>Unit margin</t>
  </si>
  <si>
    <t>Assembling, testing plan (# of computers)</t>
  </si>
  <si>
    <t>Total</t>
  </si>
  <si>
    <t>Cost per labor hour assembling</t>
  </si>
  <si>
    <t>Cost per labor hour testing</t>
  </si>
  <si>
    <t>Labor availability for assembling</t>
  </si>
  <si>
    <t>Labor availability for testing</t>
  </si>
  <si>
    <t>Constraints (hours per month)</t>
  </si>
  <si>
    <t>Number to produce</t>
  </si>
  <si>
    <t>Maximum sales</t>
  </si>
  <si>
    <t>Net profit ($ this month)</t>
  </si>
  <si>
    <t>Hours used</t>
  </si>
  <si>
    <t>Hours available</t>
  </si>
  <si>
    <t>Cost per labor hour testing, line 1</t>
  </si>
  <si>
    <t>Cost per labor hour testing, line 2</t>
  </si>
  <si>
    <t>Model 1</t>
  </si>
  <si>
    <t>Model 2</t>
  </si>
  <si>
    <t>Model 3</t>
  </si>
  <si>
    <t>Model 4</t>
  </si>
  <si>
    <t>Model 5</t>
  </si>
  <si>
    <t>Model 6</t>
  </si>
  <si>
    <t>Model 7</t>
  </si>
  <si>
    <t>Model 8</t>
  </si>
  <si>
    <t>Labor hours for testing, line 1</t>
  </si>
  <si>
    <t>Labor hours for testing, line 2</t>
  </si>
  <si>
    <t>Unit margin, tested on line 1</t>
  </si>
  <si>
    <t>Unit margin, tested on line 2</t>
  </si>
  <si>
    <t>Number tested on line 1</t>
  </si>
  <si>
    <t>Number tested on line 2</t>
  </si>
  <si>
    <t>Total computers produced</t>
  </si>
  <si>
    <t>Labor availability for testing, line 1</t>
  </si>
  <si>
    <t>Labor availability for testing, line 2</t>
  </si>
  <si>
    <t>Net profit ($ per month)</t>
  </si>
  <si>
    <t>Totals</t>
  </si>
  <si>
    <t>Tested on line 1</t>
  </si>
  <si>
    <t>Tested on line 2</t>
  </si>
  <si>
    <t>Multiperiod production model</t>
  </si>
  <si>
    <t>Input data</t>
  </si>
  <si>
    <t>Initial inventory</t>
  </si>
  <si>
    <t>Holding cost as % of prod cost</t>
  </si>
  <si>
    <t>Month</t>
  </si>
  <si>
    <t>Production cost/unit</t>
  </si>
  <si>
    <t>Production plan (all quantities are in 100s of footballs)</t>
  </si>
  <si>
    <t>Units produced</t>
  </si>
  <si>
    <t>Production capacity</t>
  </si>
  <si>
    <t>On hand after production</t>
  </si>
  <si>
    <t>Demand</t>
  </si>
  <si>
    <t>Ending inventory</t>
  </si>
  <si>
    <t>Storage capacity</t>
  </si>
  <si>
    <t>Summary of costs (all costs are in hundreds of dollars)</t>
  </si>
  <si>
    <t>Chandler oil blending model</t>
  </si>
  <si>
    <t>Monetary inputs</t>
  </si>
  <si>
    <t>Gasoline</t>
  </si>
  <si>
    <t>Heating oil</t>
  </si>
  <si>
    <t>Selling price/barrel</t>
  </si>
  <si>
    <t>Quality level per barrel of crudes</t>
  </si>
  <si>
    <t>Crude oil 1</t>
  </si>
  <si>
    <t>Crude oil 2</t>
  </si>
  <si>
    <t>Required quality level per barrel of product</t>
  </si>
  <si>
    <t>Blending plan (barrels of crudes in each product)</t>
  </si>
  <si>
    <t>Barrels used</t>
  </si>
  <si>
    <t>Barrels available</t>
  </si>
  <si>
    <t>Barrels sold</t>
  </si>
  <si>
    <t>Constraints on quality</t>
  </si>
  <si>
    <t>Quality points obtained</t>
  </si>
  <si>
    <t>Quality points required</t>
  </si>
  <si>
    <t>Objective to maximize</t>
  </si>
  <si>
    <t>Revenue</t>
  </si>
  <si>
    <t>Grand Prix transportation model</t>
  </si>
  <si>
    <t>Unit shipping costs</t>
  </si>
  <si>
    <t>To</t>
  </si>
  <si>
    <t>Region 1</t>
  </si>
  <si>
    <t>Region 2</t>
  </si>
  <si>
    <t>Region 3</t>
  </si>
  <si>
    <t>Region 4</t>
  </si>
  <si>
    <t>From</t>
  </si>
  <si>
    <t>Plant 1</t>
  </si>
  <si>
    <t>Plant 2</t>
  </si>
  <si>
    <t>Plant 3</t>
  </si>
  <si>
    <t>Shipping plan, and constraints on supply and demand</t>
  </si>
  <si>
    <t>Total shipped</t>
  </si>
  <si>
    <t>Capacity</t>
  </si>
  <si>
    <t>Total received</t>
  </si>
  <si>
    <t>Objective to minimize</t>
  </si>
  <si>
    <t>Total cost</t>
  </si>
  <si>
    <t>RedBrand shipping model</t>
  </si>
  <si>
    <t>Inputs</t>
  </si>
  <si>
    <t>Common arc capacity</t>
  </si>
  <si>
    <t>Network structure, flows, and arc capacity constraints</t>
  </si>
  <si>
    <t>Node balance constraints</t>
  </si>
  <si>
    <t>Origin</t>
  </si>
  <si>
    <t>Destination</t>
  </si>
  <si>
    <t>Unit Cost</t>
  </si>
  <si>
    <t>Flow</t>
  </si>
  <si>
    <t>Arc Capacity</t>
  </si>
  <si>
    <t>Plant constraints</t>
  </si>
  <si>
    <t>Node</t>
  </si>
  <si>
    <t>Plant net outflow</t>
  </si>
  <si>
    <t>Plant capacity</t>
  </si>
  <si>
    <t>Warehouse constraints</t>
  </si>
  <si>
    <t>Warehouse net outflow</t>
  </si>
  <si>
    <t>Required</t>
  </si>
  <si>
    <t>Customer constraints</t>
  </si>
  <si>
    <t>Customer net inflow</t>
  </si>
  <si>
    <t>Customer demand</t>
  </si>
  <si>
    <t>SureStep aggregate planning model</t>
  </si>
  <si>
    <t>Initial inventory of shoes</t>
  </si>
  <si>
    <t>Initial number of workers</t>
  </si>
  <si>
    <t>Regular hours/worker/month</t>
  </si>
  <si>
    <t>Maximum overtime hours/worker/month</t>
  </si>
  <si>
    <t>Hiring cost/worker</t>
  </si>
  <si>
    <t>Firing cost/worker</t>
  </si>
  <si>
    <t>Regular wages/worker/month</t>
  </si>
  <si>
    <t>Overtime wage rate/hour</t>
  </si>
  <si>
    <t>Labor hours/pair of shoes</t>
  </si>
  <si>
    <t>Raw material cost/pair of shoes</t>
  </si>
  <si>
    <t>Holding cost/pair of shoes in inventory/month</t>
  </si>
  <si>
    <t>Worker plan</t>
  </si>
  <si>
    <t>Month 1</t>
  </si>
  <si>
    <t>Month 2</t>
  </si>
  <si>
    <t>Month 3</t>
  </si>
  <si>
    <t>Month 4</t>
  </si>
  <si>
    <t>Workers from previous month</t>
  </si>
  <si>
    <t>Workers hired</t>
  </si>
  <si>
    <t>Workers fired</t>
  </si>
  <si>
    <t>Workers available after hiring and firing</t>
  </si>
  <si>
    <t>Regular-time hours available</t>
  </si>
  <si>
    <t>Overtime labor hours used</t>
  </si>
  <si>
    <t>Maximum overtime labor hours available</t>
  </si>
  <si>
    <t>Total hours for production</t>
  </si>
  <si>
    <t>Production plan</t>
  </si>
  <si>
    <t>Shoes produced</t>
  </si>
  <si>
    <t>Inventory after production</t>
  </si>
  <si>
    <t>Forecasted demand</t>
  </si>
  <si>
    <t>Monetary outputs</t>
  </si>
  <si>
    <t>Hiring cost</t>
  </si>
  <si>
    <t>Firing cost</t>
  </si>
  <si>
    <t>Regular-time wages</t>
  </si>
  <si>
    <t>Overtime wages</t>
  </si>
  <si>
    <t>Raw material cost</t>
  </si>
  <si>
    <t>Holding cost</t>
  </si>
  <si>
    <t>Tatham capital budgeting model</t>
  </si>
  <si>
    <t>Input data on potential investments</t>
  </si>
  <si>
    <t>Investment</t>
  </si>
  <si>
    <t>Investment cost</t>
  </si>
  <si>
    <t>NPV</t>
  </si>
  <si>
    <t>NPV per investment dollar</t>
  </si>
  <si>
    <t>Decisions: whether to invest</t>
  </si>
  <si>
    <t>Investment levels</t>
  </si>
  <si>
    <t>Budget constraint</t>
  </si>
  <si>
    <t>Amount invested</t>
  </si>
  <si>
    <t>Budget</t>
  </si>
  <si>
    <t>Total NPV</t>
  </si>
  <si>
    <t>Great Threads fixed cost clothing model</t>
  </si>
  <si>
    <t>Input data on products</t>
  </si>
  <si>
    <t>Shirts</t>
  </si>
  <si>
    <t>Shorts</t>
  </si>
  <si>
    <t>Pants</t>
  </si>
  <si>
    <t>Skirts</t>
  </si>
  <si>
    <t>Jackets</t>
  </si>
  <si>
    <t>Labor hours/unit</t>
  </si>
  <si>
    <t>Cloth (sq. yd.)/unit</t>
  </si>
  <si>
    <t>Selling price/unit</t>
  </si>
  <si>
    <t>Variable cost/unit</t>
  </si>
  <si>
    <t>Fixed cost for equipment</t>
  </si>
  <si>
    <t>Production plan, constraints on capacity</t>
  </si>
  <si>
    <t>Produce any?</t>
  </si>
  <si>
    <t>Constraints on resources</t>
  </si>
  <si>
    <t>Resource used</t>
  </si>
  <si>
    <t>Available</t>
  </si>
  <si>
    <t>Labor hours</t>
  </si>
  <si>
    <t>Cloth</t>
  </si>
  <si>
    <t>Variable cost</t>
  </si>
  <si>
    <t>Profit</t>
  </si>
  <si>
    <t>Western Airlines hub location model</t>
  </si>
  <si>
    <t>Input data: which cities are covered by which potential hubs</t>
  </si>
  <si>
    <t>Potential hub</t>
  </si>
  <si>
    <t>City</t>
  </si>
  <si>
    <t>AT</t>
  </si>
  <si>
    <t>BO</t>
  </si>
  <si>
    <t>CH</t>
  </si>
  <si>
    <t>DE</t>
  </si>
  <si>
    <t>HO</t>
  </si>
  <si>
    <t>LA</t>
  </si>
  <si>
    <t>NO</t>
  </si>
  <si>
    <t>NY</t>
  </si>
  <si>
    <t>PI</t>
  </si>
  <si>
    <t>SL</t>
  </si>
  <si>
    <t>SF</t>
  </si>
  <si>
    <t>SE</t>
  </si>
  <si>
    <t>Decisions: which cities to use as hubs</t>
  </si>
  <si>
    <t>Used as hub?</t>
  </si>
  <si>
    <t>Constraints that each city must be covered by at least one hub</t>
  </si>
  <si>
    <t>Covered by</t>
  </si>
  <si>
    <t>Total hubs</t>
  </si>
  <si>
    <t>Worker scheduling model</t>
  </si>
  <si>
    <t>Decision variables: number of employees starting their five-day shift on various days</t>
  </si>
  <si>
    <t>Mon</t>
  </si>
  <si>
    <t>Tue</t>
  </si>
  <si>
    <t>Wed</t>
  </si>
  <si>
    <t>Thu</t>
  </si>
  <si>
    <t>Fri</t>
  </si>
  <si>
    <t>Sat</t>
  </si>
  <si>
    <t>Sun</t>
  </si>
  <si>
    <t>Constraint on worker availabilities</t>
  </si>
  <si>
    <t>Employees available</t>
  </si>
  <si>
    <t>Employees required</t>
  </si>
  <si>
    <t>Total employees</t>
  </si>
  <si>
    <t>cap from cloth</t>
  </si>
  <si>
    <t>cap from labor</t>
  </si>
  <si>
    <t>cap*binary</t>
  </si>
  <si>
    <t>cap</t>
  </si>
  <si>
    <t>&gt;=</t>
  </si>
  <si>
    <t>0-1 matrix</t>
  </si>
  <si>
    <t>origin</t>
  </si>
  <si>
    <t>destination</t>
  </si>
  <si>
    <t>unit cost</t>
  </si>
  <si>
    <t>flow</t>
  </si>
  <si>
    <t>Plant</t>
  </si>
  <si>
    <t>Outflow</t>
  </si>
  <si>
    <t>Region</t>
  </si>
  <si>
    <t>Inflow</t>
  </si>
  <si>
    <t>total cost</t>
  </si>
  <si>
    <t>outflow</t>
  </si>
  <si>
    <t>inflow</t>
  </si>
  <si>
    <t>starting\working</t>
  </si>
  <si>
    <t>Matrix multiplication in Excel</t>
  </si>
  <si>
    <t>Typical multiplication of two matrices</t>
  </si>
  <si>
    <t>Multiplication of a matrix and a column</t>
  </si>
  <si>
    <t>Matrix 1</t>
  </si>
  <si>
    <t>Column 1</t>
  </si>
  <si>
    <t>Matrix 2</t>
  </si>
  <si>
    <t>Matrix 1 times Column 1, with formula =MMULT(B4:D5,I4:I6)</t>
  </si>
  <si>
    <t>Select range with 2 rows, 1 column, enter formula, press Ctrl-Shift-Enter</t>
  </si>
  <si>
    <t>Matrix 1 times Matrix 2, with formula =MMULT(B4:D5,B7:C9)</t>
  </si>
  <si>
    <t>Select range with 2 rows, 2 columns, enter formula, press Ctrl-Shift-Enter.</t>
  </si>
  <si>
    <t>Multiplication of a row and a matrix</t>
  </si>
  <si>
    <t>Row 1</t>
  </si>
  <si>
    <t>Multiplication of a quadratic form (row times matrix times column)</t>
  </si>
  <si>
    <t>Row 1 times Matrix 1, with formula =MMULT(I14:J14,B4:D5)</t>
  </si>
  <si>
    <t>Matrix 3</t>
  </si>
  <si>
    <t>Select range with 1 row, 3 columns, enter formula, press Ctrl-Shift-Enter</t>
  </si>
  <si>
    <t>Multiplication of a row and a column</t>
  </si>
  <si>
    <t>Transpose of Column 1 times Matrix 3 times Column 1</t>
  </si>
  <si>
    <t>Row 2</t>
  </si>
  <si>
    <t>Formula is =MMULT(TRANSPOSE(I4:I6),MMULT(B17:D19,I4:I6))</t>
  </si>
  <si>
    <t>Select range with 1 row, 1 column, enter formula, press Ctrl-Shift-Enter</t>
  </si>
  <si>
    <t>Row 2 times Column 1, with formula =MMULT(I22:K22,I4:I6)</t>
  </si>
  <si>
    <t>Notes on quadratic form example:</t>
  </si>
  <si>
    <t xml:space="preserve">Two MMULT's are required because MMULT works on only two ranges at a time. </t>
  </si>
  <si>
    <t>TRANSPOSE is needed to change a column into a row.</t>
  </si>
  <si>
    <t>Portfolio selection model</t>
  </si>
  <si>
    <t>Stock input data</t>
  </si>
  <si>
    <t>Stock 1</t>
  </si>
  <si>
    <t>Stock 2</t>
  </si>
  <si>
    <t>Stock 3</t>
  </si>
  <si>
    <t>Mean return</t>
  </si>
  <si>
    <t>StDev of return</t>
  </si>
  <si>
    <t>Correlations</t>
  </si>
  <si>
    <t>Covariances</t>
  </si>
  <si>
    <t>Investment decisions</t>
  </si>
  <si>
    <t>Fractions to invest</t>
  </si>
  <si>
    <t>Constraint on investing everything</t>
  </si>
  <si>
    <t>Total invested</t>
  </si>
  <si>
    <t>Required value</t>
  </si>
  <si>
    <t>Constraint on expected portfolio return</t>
  </si>
  <si>
    <t>Actual return</t>
  </si>
  <si>
    <t>Required return</t>
  </si>
  <si>
    <t>Portfolio variance</t>
  </si>
  <si>
    <t>Portfolio stdev</t>
  </si>
  <si>
    <t>&lt;=</t>
  </si>
  <si>
    <t>Florida Power &amp; Light peak-load pricing model</t>
  </si>
  <si>
    <t>Coefficients of demand functions</t>
  </si>
  <si>
    <t>Constant</t>
  </si>
  <si>
    <t>Peak price</t>
  </si>
  <si>
    <t>Off-peak price</t>
  </si>
  <si>
    <t>Peak-load demand</t>
  </si>
  <si>
    <t>Off-peak demand</t>
  </si>
  <si>
    <t>Cost of capacity/kwh</t>
  </si>
  <si>
    <t>Decisions</t>
  </si>
  <si>
    <t>Peak-load</t>
  </si>
  <si>
    <t>Off-peak</t>
  </si>
  <si>
    <t>Prices</t>
  </si>
  <si>
    <t>Constraints on demand</t>
  </si>
  <si>
    <t>Monetary summary</t>
  </si>
  <si>
    <t>Cost of capacity</t>
  </si>
  <si>
    <t>Cost</t>
  </si>
  <si>
    <t>Primal problem</t>
  </si>
  <si>
    <t>x1</t>
  </si>
  <si>
    <t>x2</t>
  </si>
  <si>
    <t>con1</t>
  </si>
  <si>
    <t>con2</t>
  </si>
  <si>
    <t>con3</t>
  </si>
  <si>
    <t>con4</t>
  </si>
  <si>
    <t>objective coef</t>
  </si>
  <si>
    <t>Dual problem</t>
  </si>
  <si>
    <t>y1</t>
  </si>
  <si>
    <t>y2</t>
  </si>
  <si>
    <t>y3</t>
  </si>
  <si>
    <t>y4</t>
  </si>
  <si>
    <t>decision variables</t>
  </si>
  <si>
    <t>Activity</t>
  </si>
  <si>
    <t>Normal</t>
  </si>
  <si>
    <t>Crash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</si>
  <si>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</si>
  <si>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</si>
  <si>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</si>
  <si>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</si>
  <si>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</si>
  <si>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</si>
  <si>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</si>
  <si>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</si>
  <si>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</si>
  <si>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</si>
  <si>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</si>
  <si>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</si>
  <si>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</si>
  <si>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</si>
  <si>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Time</t>
  </si>
  <si>
    <t>Maximum</t>
  </si>
  <si>
    <t>Reduction</t>
  </si>
  <si>
    <t>Crash Cost</t>
  </si>
  <si>
    <t>per week</t>
  </si>
  <si>
    <t>saved</t>
  </si>
  <si>
    <t>Start</t>
  </si>
  <si>
    <t xml:space="preserve">Time </t>
  </si>
  <si>
    <t>Finish</t>
  </si>
  <si>
    <t>Project Finish Time</t>
  </si>
  <si>
    <t>Max Time</t>
  </si>
  <si>
    <t>Word processing</t>
  </si>
  <si>
    <t>Graphics</t>
  </si>
  <si>
    <t>Packets</t>
  </si>
  <si>
    <t>Registrations</t>
  </si>
  <si>
    <t>Hourly Wages</t>
  </si>
  <si>
    <t>Ann</t>
  </si>
  <si>
    <t>Ian</t>
  </si>
  <si>
    <t>Joan</t>
  </si>
  <si>
    <t>Sean</t>
  </si>
  <si>
    <t>P1</t>
  </si>
  <si>
    <t>P2</t>
  </si>
  <si>
    <t>P3</t>
  </si>
  <si>
    <t>P4</t>
  </si>
  <si>
    <t>J1</t>
  </si>
  <si>
    <t>J2</t>
  </si>
  <si>
    <t>J3</t>
  </si>
  <si>
    <t>J4</t>
  </si>
  <si>
    <t>=</t>
  </si>
  <si>
    <t>a1</t>
  </si>
  <si>
    <t>b1</t>
  </si>
  <si>
    <t>c1</t>
  </si>
  <si>
    <t>a2</t>
  </si>
  <si>
    <t>c2</t>
  </si>
  <si>
    <t>b2</t>
  </si>
  <si>
    <t>2-by-2 matrix</t>
  </si>
  <si>
    <t>3-by-3 matrix</t>
  </si>
  <si>
    <t>=MDETERM(A2:B3)</t>
  </si>
  <si>
    <t>determinant</t>
  </si>
  <si>
    <t>Hessian of the revenue term</t>
  </si>
  <si>
    <t>2b1</t>
  </si>
  <si>
    <t>(c1+c2)</t>
  </si>
  <si>
    <t>2b2</t>
  </si>
  <si>
    <t>Item</t>
  </si>
  <si>
    <t>Unit cost</t>
  </si>
  <si>
    <t>Holding cost factor</t>
  </si>
  <si>
    <t>Q</t>
  </si>
  <si>
    <t>Space</t>
  </si>
  <si>
    <t>Avg setup cost</t>
  </si>
  <si>
    <t>Avg holding cost</t>
  </si>
  <si>
    <t>Avg total cost</t>
  </si>
  <si>
    <t>Demand rate, d</t>
  </si>
  <si>
    <t>Setup cost, K</t>
  </si>
  <si>
    <t>Unt holding cost, h</t>
  </si>
  <si>
    <t>Space requirement, w</t>
  </si>
  <si>
    <t>margin</t>
  </si>
  <si>
    <t>ID i</t>
  </si>
  <si>
    <t>Ones</t>
  </si>
  <si>
    <r>
      <t>y</t>
    </r>
    <r>
      <rPr>
        <vertAlign val="subscript"/>
        <sz val="11"/>
        <rFont val="Calibri"/>
        <family val="2"/>
        <scheme val="minor"/>
      </rPr>
      <t>i</t>
    </r>
  </si>
  <si>
    <r>
      <rPr>
        <sz val="11"/>
        <color theme="1"/>
        <rFont val="Symbol"/>
        <family val="1"/>
        <charset val="2"/>
      </rPr>
      <t>b</t>
    </r>
    <r>
      <rPr>
        <vertAlign val="subscript"/>
        <sz val="11"/>
        <color theme="1"/>
        <rFont val="Calibri"/>
        <family val="2"/>
        <scheme val="minor"/>
      </rPr>
      <t>1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</t>
    </r>
    <r>
      <rPr>
        <sz val="11"/>
        <color theme="1"/>
        <rFont val="Symbol"/>
        <family val="1"/>
        <charset val="2"/>
      </rPr>
      <t>b</t>
    </r>
    <r>
      <rPr>
        <vertAlign val="subscript"/>
        <sz val="11"/>
        <color theme="1"/>
        <rFont val="Calibri"/>
        <family val="2"/>
        <scheme val="minor"/>
      </rPr>
      <t>2</t>
    </r>
    <r>
      <rPr>
        <vertAlign val="superscript"/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</si>
  <si>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Symbol"/>
        <family val="1"/>
        <charset val="2"/>
      </rPr>
      <t>b</t>
    </r>
    <r>
      <rPr>
        <vertAlign val="subscript"/>
        <sz val="11"/>
        <color theme="1"/>
        <rFont val="Calibri"/>
        <family val="2"/>
        <scheme val="minor"/>
      </rPr>
      <t>0</t>
    </r>
  </si>
  <si>
    <r>
      <rPr>
        <sz val="11"/>
        <color theme="1"/>
        <rFont val="Symbol"/>
        <family val="1"/>
        <charset val="2"/>
      </rPr>
      <t>b</t>
    </r>
    <r>
      <rPr>
        <vertAlign val="subscript"/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</si>
  <si>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Symbol"/>
        <family val="1"/>
        <charset val="2"/>
      </rPr>
      <t>b</t>
    </r>
    <r>
      <rPr>
        <vertAlign val="subscript"/>
        <sz val="11"/>
        <color theme="1"/>
        <rFont val="Calibri"/>
        <family val="2"/>
        <scheme val="minor"/>
      </rPr>
      <t>2</t>
    </r>
  </si>
  <si>
    <r>
      <t>x</t>
    </r>
    <r>
      <rPr>
        <vertAlign val="subscript"/>
        <sz val="11"/>
        <rFont val="Calibri"/>
        <family val="2"/>
        <scheme val="minor"/>
      </rPr>
      <t>i1</t>
    </r>
  </si>
  <si>
    <r>
      <t>x</t>
    </r>
    <r>
      <rPr>
        <vertAlign val="subscript"/>
        <sz val="11"/>
        <rFont val="Calibri"/>
        <family val="2"/>
        <scheme val="minor"/>
      </rPr>
      <t>i2</t>
    </r>
  </si>
  <si>
    <r>
      <rPr>
        <sz val="11"/>
        <rFont val="Symbol"/>
        <family val="1"/>
        <charset val="2"/>
      </rPr>
      <t>b</t>
    </r>
    <r>
      <rPr>
        <vertAlign val="superscript"/>
        <sz val="11"/>
        <rFont val="Calibri"/>
        <family val="2"/>
        <scheme val="minor"/>
      </rPr>
      <t>T</t>
    </r>
    <r>
      <rPr>
        <sz val="11"/>
        <rFont val="Calibri"/>
        <family val="2"/>
        <scheme val="minor"/>
      </rPr>
      <t xml:space="preserve">x + </t>
    </r>
    <r>
      <rPr>
        <sz val="11"/>
        <rFont val="Symbol"/>
        <family val="1"/>
        <charset val="2"/>
      </rPr>
      <t>b</t>
    </r>
    <r>
      <rPr>
        <vertAlign val="subscript"/>
        <sz val="11"/>
        <rFont val="Calibri"/>
        <family val="2"/>
        <scheme val="minor"/>
      </rPr>
      <t>0</t>
    </r>
  </si>
  <si>
    <r>
      <t>y(</t>
    </r>
    <r>
      <rPr>
        <sz val="11"/>
        <color rgb="FF000000"/>
        <rFont val="Symbol"/>
        <family val="1"/>
        <charset val="2"/>
      </rPr>
      <t>b</t>
    </r>
    <r>
      <rPr>
        <vertAlign val="superscript"/>
        <sz val="11"/>
        <color rgb="FF000000"/>
        <rFont val="Calibri"/>
        <family val="2"/>
        <scheme val="minor"/>
      </rPr>
      <t>T</t>
    </r>
    <r>
      <rPr>
        <sz val="11"/>
        <color rgb="FF000000"/>
        <rFont val="Calibri"/>
        <family val="2"/>
        <scheme val="minor"/>
      </rPr>
      <t xml:space="preserve">x + </t>
    </r>
    <r>
      <rPr>
        <sz val="11"/>
        <color rgb="FF000000"/>
        <rFont val="Symbol"/>
        <family val="1"/>
        <charset val="2"/>
      </rPr>
      <t>b</t>
    </r>
    <r>
      <rPr>
        <vertAlign val="subscript"/>
        <sz val="11"/>
        <color rgb="FF000000"/>
        <rFont val="Symbol"/>
        <family val="1"/>
        <charset val="2"/>
      </rPr>
      <t>0</t>
    </r>
    <r>
      <rPr>
        <sz val="11"/>
        <color rgb="FF000000"/>
        <rFont val="Symbol"/>
        <family val="1"/>
        <charset val="2"/>
      </rPr>
      <t>)</t>
    </r>
  </si>
  <si>
    <t>Multi-item with constrained resource</t>
  </si>
  <si>
    <t>Single item</t>
  </si>
  <si>
    <t>demand rate, d (unit/year)</t>
  </si>
  <si>
    <t>Setup cost, K (THB/order)</t>
  </si>
  <si>
    <t>Unit holding cost, h (THB/unit/year)</t>
  </si>
  <si>
    <t>Avg holding cost (THB/year)</t>
  </si>
  <si>
    <t>Avg total cost (THB/year)</t>
  </si>
  <si>
    <t>Observation</t>
  </si>
  <si>
    <t>a</t>
  </si>
  <si>
    <t>b</t>
  </si>
  <si>
    <t>c</t>
  </si>
  <si>
    <t>e</t>
  </si>
  <si>
    <t>d</t>
  </si>
  <si>
    <t>f</t>
  </si>
  <si>
    <t>g</t>
  </si>
  <si>
    <t>intercept</t>
  </si>
  <si>
    <t>slope</t>
  </si>
  <si>
    <t>Predicted</t>
  </si>
  <si>
    <t>Error</t>
  </si>
  <si>
    <t>SSE</t>
  </si>
  <si>
    <t>No</t>
  </si>
  <si>
    <t>BinCap</t>
  </si>
  <si>
    <t>Total bins used</t>
  </si>
  <si>
    <t>Size</t>
  </si>
  <si>
    <t>Bin use ind</t>
  </si>
  <si>
    <t>Bin1</t>
  </si>
  <si>
    <t>Bin2</t>
  </si>
  <si>
    <t>Bin3</t>
  </si>
  <si>
    <t>Bin4</t>
  </si>
  <si>
    <t>Bin5</t>
  </si>
  <si>
    <t>Bin6</t>
  </si>
  <si>
    <t>Bin7</t>
  </si>
  <si>
    <t>BinCap*Ind</t>
  </si>
  <si>
    <t>Total size</t>
  </si>
  <si>
    <t>Pattern1</t>
  </si>
  <si>
    <t>Pattern2</t>
  </si>
  <si>
    <t>Pattern3</t>
  </si>
  <si>
    <t>Pattern4</t>
  </si>
  <si>
    <t>Decision variable</t>
  </si>
  <si>
    <t xml:space="preserve">Objective </t>
  </si>
  <si>
    <t>Yellow</t>
  </si>
  <si>
    <t>Pink</t>
  </si>
  <si>
    <t>Blue</t>
  </si>
  <si>
    <t>Lat</t>
  </si>
  <si>
    <t>Long</t>
  </si>
  <si>
    <t>Customer</t>
  </si>
  <si>
    <t>WH location</t>
  </si>
  <si>
    <t># of shipments per year</t>
  </si>
  <si>
    <t>Total yearly distance from WH to customers</t>
  </si>
  <si>
    <t>Week</t>
  </si>
  <si>
    <t>Sales</t>
  </si>
  <si>
    <t>Balance constraints</t>
  </si>
  <si>
    <t>Net outflow</t>
  </si>
  <si>
    <t>RHS</t>
  </si>
  <si>
    <t>ProblemB</t>
  </si>
  <si>
    <t>ProblemA</t>
  </si>
  <si>
    <t>Matrix notation</t>
  </si>
  <si>
    <t>Node1</t>
  </si>
  <si>
    <t>Node2</t>
  </si>
  <si>
    <t>Node3</t>
  </si>
  <si>
    <t>Node4</t>
  </si>
  <si>
    <t>Node5</t>
  </si>
  <si>
    <t>SUMIF</t>
  </si>
  <si>
    <t>UB</t>
  </si>
  <si>
    <t>Var</t>
  </si>
  <si>
    <t>x3</t>
  </si>
  <si>
    <t>x4</t>
  </si>
  <si>
    <t>x5</t>
  </si>
  <si>
    <t>x6</t>
  </si>
  <si>
    <t>x7</t>
  </si>
  <si>
    <t>ObjCoef</t>
  </si>
  <si>
    <t>ConMon</t>
  </si>
  <si>
    <t>ConTue</t>
  </si>
  <si>
    <t>ConWed</t>
  </si>
  <si>
    <t>ConThu</t>
  </si>
  <si>
    <t>ConFri</t>
  </si>
  <si>
    <t>ConSat</t>
  </si>
  <si>
    <t>ConSun</t>
  </si>
  <si>
    <t>Distance b/w WH and customer (Form.1)</t>
  </si>
  <si>
    <t>Form.2</t>
  </si>
  <si>
    <t>normal formulas</t>
  </si>
  <si>
    <t>sum product</t>
  </si>
  <si>
    <t>VXP</t>
  </si>
  <si>
    <t>Microsoft Excel 16.0 Sensitivity Report</t>
  </si>
  <si>
    <t>Variable Cells</t>
  </si>
  <si>
    <t>Cell</t>
  </si>
  <si>
    <t>Name</t>
  </si>
  <si>
    <t>Final</t>
  </si>
  <si>
    <t>Value</t>
  </si>
  <si>
    <t>Reduced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</si>
  <si>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</si>
  <si>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</si>
  <si>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</si>
  <si>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</si>
  <si>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</si>
  <si>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</si>
  <si>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</si>
  <si>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</si>
  <si>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</si>
  <si>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</si>
  <si>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$B$16</t>
  </si>
  <si>
    <t>Number to produce Basic</t>
  </si>
  <si>
    <t>$C$16</t>
  </si>
  <si>
    <t>Number to produce XP</t>
  </si>
  <si>
    <t>$B$21</t>
  </si>
  <si>
    <t>Labor availability for assembling Hours used</t>
  </si>
  <si>
    <t>$B$22</t>
  </si>
  <si>
    <t>Labor availability for testing Hours used</t>
  </si>
  <si>
    <t>Worksheet: [data-files-optimization.xlsx]ProductMix</t>
  </si>
  <si>
    <t>Report Created: 8/17/2026 10:21:04 PM</t>
  </si>
  <si>
    <t>Worksheet: [data-files-optimization.xlsx]ProductMix2</t>
  </si>
  <si>
    <t>Report Created: 8/18/2026 7:50:00 PM</t>
  </si>
  <si>
    <t>$B$19</t>
  </si>
  <si>
    <t>Number tested on line 1 Model 1</t>
  </si>
  <si>
    <t>$C$19</t>
  </si>
  <si>
    <t>Number tested on line 1 Model 2</t>
  </si>
  <si>
    <t>$D$19</t>
  </si>
  <si>
    <t>Number tested on line 1 Model 3</t>
  </si>
  <si>
    <t>$E$19</t>
  </si>
  <si>
    <t>Number tested on line 1 Model 4</t>
  </si>
  <si>
    <t>$F$19</t>
  </si>
  <si>
    <t>Number tested on line 1 Model 5</t>
  </si>
  <si>
    <t>$G$19</t>
  </si>
  <si>
    <t>Number tested on line 1 Model 6</t>
  </si>
  <si>
    <t>$H$19</t>
  </si>
  <si>
    <t>Number tested on line 1 Model 7</t>
  </si>
  <si>
    <t>$I$19</t>
  </si>
  <si>
    <t>Number tested on line 1 Model 8</t>
  </si>
  <si>
    <t>$B$20</t>
  </si>
  <si>
    <t>Number tested on line 2 Model 1</t>
  </si>
  <si>
    <t>$C$20</t>
  </si>
  <si>
    <t>Number tested on line 2 Model 2</t>
  </si>
  <si>
    <t>$D$20</t>
  </si>
  <si>
    <t>Number tested on line 2 Model 3</t>
  </si>
  <si>
    <t>$E$20</t>
  </si>
  <si>
    <t>Number tested on line 2 Model 4</t>
  </si>
  <si>
    <t>$F$20</t>
  </si>
  <si>
    <t>Number tested on line 2 Model 5</t>
  </si>
  <si>
    <t>$G$20</t>
  </si>
  <si>
    <t>Number tested on line 2 Model 6</t>
  </si>
  <si>
    <t>$H$20</t>
  </si>
  <si>
    <t>Number tested on line 2 Model 7</t>
  </si>
  <si>
    <t>$I$20</t>
  </si>
  <si>
    <t>Number tested on line 2 Model 8</t>
  </si>
  <si>
    <t>Total computers produced Model 1</t>
  </si>
  <si>
    <t>$C$21</t>
  </si>
  <si>
    <t>Total computers produced Model 2</t>
  </si>
  <si>
    <t>$D$21</t>
  </si>
  <si>
    <t>Total computers produced Model 3</t>
  </si>
  <si>
    <t>$E$21</t>
  </si>
  <si>
    <t>Total computers produced Model 4</t>
  </si>
  <si>
    <t>$F$21</t>
  </si>
  <si>
    <t>Total computers produced Model 5</t>
  </si>
  <si>
    <t>$G$21</t>
  </si>
  <si>
    <t>Total computers produced Model 6</t>
  </si>
  <si>
    <t>$H$21</t>
  </si>
  <si>
    <t>Total computers produced Model 7</t>
  </si>
  <si>
    <t>$I$21</t>
  </si>
  <si>
    <t>Total computers produced Model 8</t>
  </si>
  <si>
    <t>$B$26</t>
  </si>
  <si>
    <t>$B$27</t>
  </si>
  <si>
    <t>Labor availability for testing, line 1 Hours used</t>
  </si>
  <si>
    <t>$B$28</t>
  </si>
  <si>
    <t>Labor availability for testing, line 2 Hours used</t>
  </si>
  <si>
    <t xml:space="preserve">var </t>
  </si>
  <si>
    <t xml:space="preserve">coef </t>
  </si>
  <si>
    <t>cons1</t>
  </si>
  <si>
    <t>cons2</t>
  </si>
  <si>
    <t>cons3</t>
  </si>
  <si>
    <t>cons4</t>
  </si>
  <si>
    <t>result</t>
  </si>
  <si>
    <t xml:space="preserve"> = </t>
  </si>
  <si>
    <t>s1+</t>
  </si>
  <si>
    <t>s1-</t>
  </si>
  <si>
    <t>s2+</t>
  </si>
  <si>
    <t>s3+</t>
  </si>
  <si>
    <t>s3-</t>
  </si>
  <si>
    <t>s2-</t>
  </si>
  <si>
    <t>Goal Programming</t>
  </si>
  <si>
    <t>&gt;= 0</t>
  </si>
  <si>
    <t>Holding cost/unit</t>
  </si>
  <si>
    <t xml:space="preserve">Production cost </t>
  </si>
  <si>
    <t xml:space="preserve">for shortage condition </t>
  </si>
  <si>
    <t>inventory condition</t>
  </si>
  <si>
    <t xml:space="preserve">produce capacity </t>
  </si>
  <si>
    <t xml:space="preserve">origin </t>
  </si>
  <si>
    <t xml:space="preserve">unit_cost </t>
  </si>
  <si>
    <t>information</t>
  </si>
  <si>
    <t>objective</t>
  </si>
  <si>
    <t>minimize_cost</t>
  </si>
  <si>
    <t xml:space="preserve">plant constraint </t>
  </si>
  <si>
    <t xml:space="preserve">warehouse constraint </t>
  </si>
  <si>
    <t>node</t>
  </si>
  <si>
    <t>total</t>
  </si>
  <si>
    <t xml:space="preserve">capacity </t>
  </si>
  <si>
    <t xml:space="preserve">customer constraint </t>
  </si>
  <si>
    <t>[GhianiLaportMusmanno p.334]</t>
  </si>
  <si>
    <t>Big M</t>
  </si>
  <si>
    <t xml:space="preserve">B </t>
  </si>
  <si>
    <t>j</t>
  </si>
  <si>
    <t>Xj</t>
  </si>
  <si>
    <t>objective function</t>
  </si>
  <si>
    <t>assume เป็นค่าแรงที่ต้องจ่ายแต่ละวัน</t>
  </si>
  <si>
    <t>Q (จะผลิตครั้งละเท่าไหร)</t>
  </si>
  <si>
    <t>Avg setup cost (THB/year) 
[จำนวนครั้งที่ผลิต*ราคาต่อครั้ง]</t>
  </si>
  <si>
    <t>Order frequency (order/year) 
[ปีนึงผลิตกี่ครั้ง]</t>
  </si>
  <si>
    <t>Avg inv (unit)
[เฉลี่ยจำนวน unit ที่มีทั้งปี]</t>
  </si>
  <si>
    <t>*ถ้า ไป-กลับ ก็เอา distance คูณสอง</t>
  </si>
  <si>
    <t>v</t>
  </si>
  <si>
    <t>Obj</t>
  </si>
  <si>
    <t>Con1</t>
  </si>
  <si>
    <t>Con2</t>
  </si>
  <si>
    <t>Con3</t>
  </si>
  <si>
    <t>profit</t>
  </si>
  <si>
    <t>cost</t>
  </si>
  <si>
    <t xml:space="preserve">revenue </t>
  </si>
  <si>
    <t>price</t>
  </si>
  <si>
    <t>x (qty)</t>
  </si>
  <si>
    <t>$B$6</t>
  </si>
  <si>
    <t>Multiplier</t>
  </si>
  <si>
    <t>Lagrange</t>
  </si>
  <si>
    <t>$B$2</t>
  </si>
  <si>
    <t>$A$2</t>
  </si>
  <si>
    <t>Gradient</t>
  </si>
  <si>
    <t>Report Created: 12/9/2569 11:20:01</t>
  </si>
  <si>
    <t xml:space="preserve">Worksheet: [monopolist.xlsx]Advertising </t>
  </si>
  <si>
    <t>budget</t>
  </si>
  <si>
    <t xml:space="preserve">f(x) 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</si>
</sst>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000"/>
    <numFmt numFmtId="166" formatCode="0.000"/>
    <numFmt numFmtId="167" formatCode="&quot;$&quot;#,##0.000_);\(&quot;$&quot;#,##0.000\)"/>
    <numFmt numFmtId="168" formatCode="&quot;$&quot;#,##0;\-&quot;$&quot;#,##0"/>
    <numFmt numFmtId="169" formatCode="&quot;$&quot;#,##0.0;\-&quot;$&quot;#,##0.0"/>
    <numFmt numFmtId="170" formatCode="_(&quot;$&quot;* #,##0_);_(&quot;$&quot;* \(#,##0\);_(&quot;$&quot;* &quot;-&quot;??_);_(@_)"/>
    <numFmt numFmtId="171" formatCode="&quot;$&quot;#,##0.00;\-&quot;$&quot;#,##0.00"/>
    <numFmt numFmtId="172" formatCode="&quot;฿&quot;#,##0.00"/>
    <numFmt numFmtId="173" formatCode="_(* #,##0_);_(* \(#,##0\);_(* &quot;-&quot;??_);_(@_)"/>
    <numFmt numFmtId="174" formatCode="0.0%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indexed="12"/>
      <name val="Calibri"/>
      <family val="2"/>
      <scheme val="minor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vertAlign val="superscript"/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  <font>
      <sz val="11"/>
      <name val="Symbol"/>
      <family val="1"/>
      <charset val="2"/>
    </font>
    <font>
      <sz val="11"/>
      <name val="Calibri"/>
      <family val="1"/>
      <charset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Symbol"/>
      <family val="1"/>
      <charset val="2"/>
    </font>
    <font>
      <vertAlign val="superscript"/>
      <sz val="11"/>
      <color rgb="FF000000"/>
      <name val="Calibri"/>
      <family val="2"/>
      <scheme val="minor"/>
    </font>
    <font>
      <vertAlign val="subscript"/>
      <sz val="11"/>
      <color rgb="FF000000"/>
      <name val="Symbol"/>
      <family val="1"/>
      <charset val="2"/>
    </font>
    <font>
      <b/>
      <sz val="15"/>
      <color theme="3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indexed="18"/>
      <name val="Calibri"/>
      <family val="2"/>
      <charset val="22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9">
    <xf numFmtId="0" fontId="0" fillId="0" borderId="0"/>
    <xf numFmtId="0" fontId="3" fillId="0" borderId="0"/>
    <xf numFmtId="8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44" fontId="11" fillId="0" borderId="0" applyFont="0" applyFill="0" applyBorder="0" applyAlignment="0" applyProtection="0"/>
    <xf numFmtId="0" fontId="27" fillId="0" borderId="16" applyNumberFormat="0" applyFill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43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164" fontId="0" fillId="2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0" borderId="0" xfId="1" quotePrefix="1" applyFont="1" applyAlignment="1">
      <alignment horizontal="left"/>
    </xf>
    <xf numFmtId="0" fontId="5" fillId="0" borderId="0" xfId="1" applyFont="1"/>
    <xf numFmtId="165" fontId="5" fillId="0" borderId="0" xfId="1" applyNumberFormat="1" applyFont="1"/>
    <xf numFmtId="0" fontId="5" fillId="2" borderId="0" xfId="1" applyFont="1" applyFill="1"/>
    <xf numFmtId="9" fontId="5" fillId="2" borderId="0" xfId="1" applyNumberFormat="1" applyFont="1" applyFill="1"/>
    <xf numFmtId="1" fontId="5" fillId="0" borderId="0" xfId="1" applyNumberFormat="1" applyFont="1" applyAlignment="1">
      <alignment horizontal="right"/>
    </xf>
    <xf numFmtId="166" fontId="5" fillId="0" borderId="0" xfId="1" applyNumberFormat="1" applyFont="1"/>
    <xf numFmtId="0" fontId="5" fillId="0" borderId="0" xfId="1" quotePrefix="1" applyFont="1" applyAlignment="1">
      <alignment horizontal="left"/>
    </xf>
    <xf numFmtId="8" fontId="5" fillId="2" borderId="0" xfId="2" applyFont="1" applyFill="1" applyBorder="1"/>
    <xf numFmtId="167" fontId="5" fillId="0" borderId="0" xfId="1" applyNumberFormat="1" applyFont="1"/>
    <xf numFmtId="0" fontId="4" fillId="0" borderId="0" xfId="1" applyFont="1"/>
    <xf numFmtId="0" fontId="5" fillId="0" borderId="0" xfId="1" quotePrefix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1" fontId="5" fillId="0" borderId="0" xfId="1" quotePrefix="1" applyNumberFormat="1" applyFont="1" applyAlignment="1">
      <alignment horizontal="right"/>
    </xf>
    <xf numFmtId="0" fontId="4" fillId="0" borderId="0" xfId="1" applyFont="1" applyAlignment="1">
      <alignment horizontal="left"/>
    </xf>
    <xf numFmtId="164" fontId="5" fillId="2" borderId="0" xfId="1" applyNumberFormat="1" applyFont="1" applyFill="1"/>
    <xf numFmtId="0" fontId="4" fillId="0" borderId="0" xfId="1" applyFont="1" applyAlignment="1">
      <alignment horizontal="right"/>
    </xf>
    <xf numFmtId="1" fontId="5" fillId="0" borderId="0" xfId="1" applyNumberFormat="1" applyFont="1"/>
    <xf numFmtId="0" fontId="5" fillId="0" borderId="0" xfId="1" applyFont="1" applyAlignment="1">
      <alignment horizontal="center"/>
    </xf>
    <xf numFmtId="0" fontId="5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Continuous"/>
    </xf>
    <xf numFmtId="168" fontId="5" fillId="0" borderId="0" xfId="1" applyNumberFormat="1" applyFont="1"/>
    <xf numFmtId="0" fontId="7" fillId="0" borderId="0" xfId="3" applyFont="1" applyAlignment="1" applyProtection="1"/>
    <xf numFmtId="0" fontId="5" fillId="0" borderId="0" xfId="1" applyFont="1" applyAlignment="1">
      <alignment horizontal="centerContinuous"/>
    </xf>
    <xf numFmtId="5" fontId="5" fillId="2" borderId="0" xfId="1" applyNumberFormat="1" applyFont="1" applyFill="1"/>
    <xf numFmtId="0" fontId="5" fillId="0" borderId="0" xfId="1" quotePrefix="1" applyFont="1" applyAlignment="1">
      <alignment horizontal="center"/>
    </xf>
    <xf numFmtId="9" fontId="5" fillId="0" borderId="0" xfId="1" applyNumberFormat="1" applyFont="1"/>
    <xf numFmtId="5" fontId="5" fillId="0" borderId="0" xfId="1" applyNumberFormat="1" applyFont="1"/>
    <xf numFmtId="168" fontId="5" fillId="2" borderId="0" xfId="1" applyNumberFormat="1" applyFont="1" applyFill="1"/>
    <xf numFmtId="2" fontId="5" fillId="0" borderId="0" xfId="1" applyNumberFormat="1" applyFont="1"/>
    <xf numFmtId="6" fontId="5" fillId="0" borderId="0" xfId="1" applyNumberFormat="1" applyFont="1"/>
    <xf numFmtId="6" fontId="5" fillId="0" borderId="0" xfId="1" applyNumberFormat="1" applyFont="1" applyAlignment="1">
      <alignment horizontal="right"/>
    </xf>
    <xf numFmtId="168" fontId="5" fillId="0" borderId="0" xfId="1" applyNumberFormat="1" applyFont="1" applyAlignment="1">
      <alignment horizontal="right"/>
    </xf>
    <xf numFmtId="168" fontId="5" fillId="0" borderId="0" xfId="1" quotePrefix="1" applyNumberFormat="1" applyFont="1" applyAlignment="1">
      <alignment horizontal="center"/>
    </xf>
    <xf numFmtId="6" fontId="5" fillId="2" borderId="0" xfId="1" applyNumberFormat="1" applyFont="1" applyFill="1"/>
    <xf numFmtId="1" fontId="5" fillId="5" borderId="0" xfId="1" applyNumberFormat="1" applyFont="1" applyFill="1"/>
    <xf numFmtId="0" fontId="5" fillId="5" borderId="0" xfId="1" applyFont="1" applyFill="1"/>
    <xf numFmtId="6" fontId="5" fillId="0" borderId="1" xfId="1" applyNumberFormat="1" applyFont="1" applyBorder="1"/>
    <xf numFmtId="0" fontId="10" fillId="2" borderId="0" xfId="1" applyFont="1" applyFill="1"/>
    <xf numFmtId="1" fontId="5" fillId="0" borderId="1" xfId="1" applyNumberFormat="1" applyFont="1" applyBorder="1" applyAlignment="1">
      <alignment horizontal="right"/>
    </xf>
    <xf numFmtId="0" fontId="0" fillId="0" borderId="1" xfId="0" applyBorder="1"/>
    <xf numFmtId="0" fontId="0" fillId="5" borderId="0" xfId="0" applyFill="1"/>
    <xf numFmtId="0" fontId="0" fillId="0" borderId="0" xfId="0" applyAlignment="1">
      <alignment vertical="center"/>
    </xf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5" fillId="0" borderId="5" xfId="1" applyFont="1" applyBorder="1"/>
    <xf numFmtId="0" fontId="5" fillId="0" borderId="6" xfId="1" applyFont="1" applyBorder="1"/>
    <xf numFmtId="0" fontId="5" fillId="0" borderId="7" xfId="1" applyFont="1" applyBorder="1"/>
    <xf numFmtId="0" fontId="5" fillId="0" borderId="8" xfId="1" applyFont="1" applyBorder="1"/>
    <xf numFmtId="0" fontId="5" fillId="0" borderId="9" xfId="1" applyFont="1" applyBorder="1"/>
    <xf numFmtId="0" fontId="5" fillId="0" borderId="10" xfId="1" applyFont="1" applyBorder="1"/>
    <xf numFmtId="0" fontId="5" fillId="0" borderId="11" xfId="1" applyFont="1" applyBorder="1"/>
    <xf numFmtId="0" fontId="5" fillId="0" borderId="12" xfId="1" applyFont="1" applyBorder="1"/>
    <xf numFmtId="0" fontId="5" fillId="0" borderId="13" xfId="1" applyFont="1" applyBorder="1"/>
    <xf numFmtId="0" fontId="5" fillId="0" borderId="14" xfId="1" applyFont="1" applyBorder="1"/>
    <xf numFmtId="0" fontId="5" fillId="0" borderId="15" xfId="1" applyFont="1" applyBorder="1"/>
    <xf numFmtId="2" fontId="5" fillId="2" borderId="0" xfId="1" applyNumberFormat="1" applyFont="1" applyFill="1"/>
    <xf numFmtId="6" fontId="5" fillId="2" borderId="0" xfId="1" applyNumberFormat="1" applyFont="1" applyFill="1" applyAlignment="1">
      <alignment horizontal="right"/>
    </xf>
    <xf numFmtId="8" fontId="5" fillId="0" borderId="0" xfId="1" applyNumberFormat="1" applyFont="1"/>
    <xf numFmtId="7" fontId="5" fillId="0" borderId="0" xfId="1" applyNumberFormat="1" applyFont="1"/>
    <xf numFmtId="169" fontId="5" fillId="2" borderId="0" xfId="1" applyNumberFormat="1" applyFont="1" applyFill="1"/>
    <xf numFmtId="0" fontId="0" fillId="0" borderId="0" xfId="0" quotePrefix="1"/>
    <xf numFmtId="170" fontId="0" fillId="0" borderId="0" xfId="0" applyNumberFormat="1"/>
    <xf numFmtId="0" fontId="0" fillId="6" borderId="0" xfId="0" applyFill="1"/>
    <xf numFmtId="170" fontId="0" fillId="6" borderId="0" xfId="4" applyNumberFormat="1" applyFont="1" applyFill="1"/>
    <xf numFmtId="170" fontId="0" fillId="0" borderId="1" xfId="0" applyNumberFormat="1" applyBorder="1"/>
    <xf numFmtId="0" fontId="0" fillId="0" borderId="0" xfId="0" quotePrefix="1" applyAlignment="1">
      <alignment horizontal="center"/>
    </xf>
    <xf numFmtId="0" fontId="0" fillId="7" borderId="0" xfId="0" applyFill="1"/>
    <xf numFmtId="0" fontId="13" fillId="0" borderId="0" xfId="0" applyFont="1" applyAlignment="1">
      <alignment horizontal="center" wrapText="1" readingOrder="1"/>
    </xf>
    <xf numFmtId="0" fontId="5" fillId="0" borderId="0" xfId="0" applyFont="1"/>
    <xf numFmtId="0" fontId="14" fillId="0" borderId="0" xfId="0" applyFont="1" applyAlignment="1">
      <alignment horizontal="center" wrapText="1" readingOrder="1"/>
    </xf>
    <xf numFmtId="0" fontId="5" fillId="0" borderId="0" xfId="0" quotePrefix="1" applyFont="1"/>
    <xf numFmtId="0" fontId="5" fillId="7" borderId="0" xfId="0" applyFont="1" applyFill="1"/>
    <xf numFmtId="0" fontId="14" fillId="7" borderId="0" xfId="0" applyFont="1" applyFill="1" applyAlignment="1">
      <alignment horizontal="center" wrapText="1" readingOrder="1"/>
    </xf>
    <xf numFmtId="0" fontId="20" fillId="0" borderId="0" xfId="0" applyFont="1"/>
    <xf numFmtId="0" fontId="22" fillId="0" borderId="0" xfId="0" applyFont="1"/>
    <xf numFmtId="0" fontId="23" fillId="0" borderId="0" xfId="0" applyFont="1"/>
    <xf numFmtId="0" fontId="27" fillId="0" borderId="16" xfId="5"/>
    <xf numFmtId="2" fontId="0" fillId="2" borderId="0" xfId="0" applyNumberFormat="1" applyFill="1"/>
    <xf numFmtId="43" fontId="0" fillId="0" borderId="0" xfId="6" applyFont="1"/>
    <xf numFmtId="43" fontId="0" fillId="0" borderId="0" xfId="0" applyNumberFormat="1"/>
    <xf numFmtId="0" fontId="0" fillId="0" borderId="0" xfId="0" applyAlignment="1">
      <alignment horizontal="right" wrapText="1"/>
    </xf>
    <xf numFmtId="171" fontId="5" fillId="0" borderId="0" xfId="1" applyNumberFormat="1" applyFont="1" applyAlignment="1">
      <alignment horizontal="right"/>
    </xf>
    <xf numFmtId="169" fontId="5" fillId="0" borderId="1" xfId="1" applyNumberFormat="1" applyFont="1" applyBorder="1" applyAlignment="1">
      <alignment horizontal="right"/>
    </xf>
    <xf numFmtId="0" fontId="5" fillId="0" borderId="0" xfId="1" quotePrefix="1" applyFont="1"/>
    <xf numFmtId="0" fontId="0" fillId="0" borderId="19" xfId="0" applyBorder="1"/>
    <xf numFmtId="0" fontId="0" fillId="0" borderId="20" xfId="0" applyBorder="1"/>
    <xf numFmtId="0" fontId="28" fillId="0" borderId="17" xfId="0" applyFont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0" fillId="8" borderId="0" xfId="0" applyFill="1"/>
    <xf numFmtId="172" fontId="5" fillId="0" borderId="0" xfId="1" applyNumberFormat="1" applyFont="1"/>
    <xf numFmtId="168" fontId="5" fillId="8" borderId="0" xfId="1" applyNumberFormat="1" applyFont="1" applyFill="1"/>
    <xf numFmtId="172" fontId="5" fillId="8" borderId="0" xfId="1" applyNumberFormat="1" applyFont="1" applyFill="1"/>
    <xf numFmtId="43" fontId="5" fillId="0" borderId="0" xfId="6" applyFont="1"/>
    <xf numFmtId="43" fontId="5" fillId="8" borderId="11" xfId="6" applyFont="1" applyFill="1" applyBorder="1"/>
    <xf numFmtId="173" fontId="0" fillId="0" borderId="0" xfId="6" applyNumberFormat="1" applyFont="1" applyBorder="1" applyAlignment="1">
      <alignment horizontal="right" indent="2"/>
    </xf>
    <xf numFmtId="0" fontId="0" fillId="9" borderId="0" xfId="0" applyFill="1"/>
    <xf numFmtId="173" fontId="0" fillId="0" borderId="0" xfId="6" applyNumberFormat="1" applyFont="1" applyBorder="1" applyAlignment="1">
      <alignment horizontal="left" indent="2"/>
    </xf>
    <xf numFmtId="173" fontId="0" fillId="0" borderId="0" xfId="0" applyNumberFormat="1"/>
    <xf numFmtId="0" fontId="0" fillId="6" borderId="0" xfId="6" applyNumberFormat="1" applyFont="1" applyFill="1" applyBorder="1" applyAlignment="1">
      <alignment horizontal="left" indent="2"/>
    </xf>
    <xf numFmtId="0" fontId="0" fillId="0" borderId="15" xfId="0" applyBorder="1"/>
    <xf numFmtId="0" fontId="29" fillId="0" borderId="4" xfId="0" applyFont="1" applyBorder="1"/>
    <xf numFmtId="0" fontId="0" fillId="0" borderId="12" xfId="0" applyBorder="1"/>
    <xf numFmtId="0" fontId="0" fillId="0" borderId="5" xfId="0" applyBorder="1"/>
    <xf numFmtId="0" fontId="0" fillId="0" borderId="13" xfId="0" applyBorder="1"/>
    <xf numFmtId="0" fontId="0" fillId="0" borderId="14" xfId="0" applyBorder="1"/>
    <xf numFmtId="0" fontId="2" fillId="0" borderId="13" xfId="0" applyFont="1" applyBorder="1"/>
    <xf numFmtId="0" fontId="0" fillId="0" borderId="6" xfId="0" applyBorder="1"/>
    <xf numFmtId="0" fontId="0" fillId="0" borderId="7" xfId="0" applyBorder="1"/>
    <xf numFmtId="44" fontId="0" fillId="8" borderId="11" xfId="0" applyNumberFormat="1" applyFill="1" applyBorder="1"/>
    <xf numFmtId="173" fontId="0" fillId="6" borderId="0" xfId="6" applyNumberFormat="1" applyFont="1" applyFill="1" applyBorder="1"/>
    <xf numFmtId="174" fontId="5" fillId="0" borderId="0" xfId="7" applyNumberFormat="1" applyFont="1"/>
    <xf numFmtId="0" fontId="0" fillId="10" borderId="0" xfId="0" applyFill="1"/>
    <xf numFmtId="0" fontId="0" fillId="10" borderId="0" xfId="0" applyFill="1" applyAlignment="1">
      <alignment horizontal="center"/>
    </xf>
    <xf numFmtId="0" fontId="5" fillId="8" borderId="0" xfId="1" applyFont="1" applyFill="1"/>
    <xf numFmtId="0" fontId="5" fillId="6" borderId="0" xfId="1" applyFont="1" applyFill="1"/>
    <xf numFmtId="0" fontId="0" fillId="11" borderId="0" xfId="0" applyFill="1"/>
    <xf numFmtId="0" fontId="0" fillId="0" borderId="0" xfId="0" applyAlignment="1">
      <alignment wrapText="1"/>
    </xf>
    <xf numFmtId="8" fontId="5" fillId="5" borderId="0" xfId="1" applyNumberFormat="1" applyFont="1" applyFill="1"/>
    <xf numFmtId="2" fontId="5" fillId="5" borderId="0" xfId="1" applyNumberFormat="1" applyFont="1" applyFill="1"/>
    <xf numFmtId="7" fontId="5" fillId="8" borderId="0" xfId="1" applyNumberFormat="1" applyFont="1" applyFill="1"/>
    <xf numFmtId="0" fontId="1" fillId="0" borderId="0" xfId="8"/>
    <xf numFmtId="0" fontId="1" fillId="5" borderId="0" xfId="8" applyFill="1"/>
    <xf numFmtId="0" fontId="1" fillId="0" borderId="20" xfId="8" applyBorder="1"/>
    <xf numFmtId="0" fontId="30" fillId="0" borderId="18" xfId="8" applyFont="1" applyBorder="1" applyAlignment="1">
      <alignment horizontal="center"/>
    </xf>
    <xf numFmtId="0" fontId="30" fillId="0" borderId="17" xfId="8" applyFont="1" applyBorder="1" applyAlignment="1">
      <alignment horizontal="center"/>
    </xf>
    <xf numFmtId="0" fontId="1" fillId="0" borderId="19" xfId="8" applyBorder="1"/>
    <xf numFmtId="0" fontId="2" fillId="0" borderId="0" xfId="8" applyFont="1"/>
    <xf numFmtId="0" fontId="1" fillId="12" borderId="0" xfId="8" applyFill="1"/>
    <xf numFmtId="0" fontId="1" fillId="9" borderId="0" xfId="8" applyFill="1"/>
    <xf numFmtId="0" fontId="0" fillId="0" borderId="0" xfId="0" applyAlignment="1">
      <alignment horizontal="left"/>
    </xf>
  </cellXfs>
  <cellStyles count="9">
    <cellStyle name="Comma" xfId="6" builtinId="3"/>
    <cellStyle name="Currency" xfId="4" builtinId="4"/>
    <cellStyle name="Currency 2" xfId="2" xr:uid="{00000000-0005-0000-0000-000001000000}"/>
    <cellStyle name="Heading 1" xfId="5" builtinId="16"/>
    <cellStyle name="Hyperlink" xfId="3" builtinId="8"/>
    <cellStyle name="Normal" xfId="0" builtinId="0"/>
    <cellStyle name="Normal 2" xfId="1" xr:uid="{00000000-0005-0000-0000-000004000000}"/>
    <cellStyle name="Normal 3" xfId="8" xr:uid="{DED1A930-E856-4B42-8A68-9187EAEBCC94}"/>
    <cellStyle name="Percent" xfId="7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MLE!$H$5</c:f>
              <c:strCache>
                <c:ptCount val="1"/>
                <c:pt idx="0">
                  <c:v>Demand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499459335393102"/>
                  <c:y val="6.32928043899047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MLE!$G$6:$G$15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MLE!$H$6:$H$15</c:f>
              <c:numCache>
                <c:formatCode>General</c:formatCode>
                <c:ptCount val="10"/>
                <c:pt idx="0">
                  <c:v>1.3</c:v>
                </c:pt>
                <c:pt idx="1">
                  <c:v>2</c:v>
                </c:pt>
                <c:pt idx="2">
                  <c:v>2.4</c:v>
                </c:pt>
                <c:pt idx="3">
                  <c:v>2.7</c:v>
                </c:pt>
                <c:pt idx="4">
                  <c:v>3</c:v>
                </c:pt>
                <c:pt idx="5">
                  <c:v>4.2</c:v>
                </c:pt>
                <c:pt idx="6">
                  <c:v>5</c:v>
                </c:pt>
                <c:pt idx="7">
                  <c:v>6</c:v>
                </c:pt>
                <c:pt idx="8">
                  <c:v>9</c:v>
                </c:pt>
                <c:pt idx="9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5C-4E76-BFD5-09123B510503}"/>
            </c:ext>
          </c:extLst>
        </c:ser>
        <c:ser>
          <c:idx val="1"/>
          <c:order val="1"/>
          <c:tx>
            <c:strRef>
              <c:f>MLE!$I$5</c:f>
              <c:strCache>
                <c:ptCount val="1"/>
                <c:pt idx="0">
                  <c:v>Predicted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MLE!$G$6:$G$15</c:f>
              <c:numCache>
                <c:formatCode>General</c:formatCod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</c:numCache>
            </c:numRef>
          </c:xVal>
          <c:yVal>
            <c:numRef>
              <c:f>MLE!$I$6:$I$15</c:f>
              <c:numCache>
                <c:formatCode>General</c:formatCode>
                <c:ptCount val="10"/>
                <c:pt idx="0">
                  <c:v>3</c:v>
                </c:pt>
                <c:pt idx="1">
                  <c:v>4.2000000000000011</c:v>
                </c:pt>
                <c:pt idx="2">
                  <c:v>5.4</c:v>
                </c:pt>
                <c:pt idx="3">
                  <c:v>6.6</c:v>
                </c:pt>
                <c:pt idx="4">
                  <c:v>7.8000000000000007</c:v>
                </c:pt>
                <c:pt idx="5">
                  <c:v>9</c:v>
                </c:pt>
                <c:pt idx="6">
                  <c:v>10.199999999999999</c:v>
                </c:pt>
                <c:pt idx="7">
                  <c:v>11.4</c:v>
                </c:pt>
                <c:pt idx="8">
                  <c:v>12.6</c:v>
                </c:pt>
                <c:pt idx="9">
                  <c:v>13.8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5C-4E76-BFD5-09123B510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304000"/>
        <c:axId val="406699152"/>
      </c:scatterChart>
      <c:valAx>
        <c:axId val="79330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99152"/>
        <c:crosses val="autoZero"/>
        <c:crossBetween val="midCat"/>
      </c:valAx>
      <c:valAx>
        <c:axId val="406699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304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495300</xdr:colOff>
      <xdr:row>2</xdr:row>
      <xdr:rowOff>125082</xdr:rowOff>
    </xdr:from>
    <xdr:to>
      <xdr:col>19</xdr:col>
      <xdr:colOff>481831</xdr:colOff>
      <xdr:row>17</xdr:row>
      <xdr:rowOff>110689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6B57D9-D41D-4B89-B1AA-D0F403C22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8700" y="493382"/>
          <a:ext cx="4863331" cy="2747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47624</xdr:colOff>
      <xdr:row>0</xdr:row>
      <xdr:rowOff>81915</xdr:rowOff>
    </xdr:from>
    <xdr:to>
      <xdr:col>19</xdr:col>
      <xdr:colOff>226694</xdr:colOff>
      <xdr:row>18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ED8793-DC07-49FA-9F41-8A5361420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51BD-032D-4C79-B55A-18F6864F9BF0}">
  <dimension ref="A1:E6"/>
  <sheetViews>
    <sheetView topLeftCell="A13" workbookViewId="0">
      <selection activeCell="H9" sqref="H9"/>
    </sheetView>
  </sheetViews>
  <sheetFormatPr defaultColWidth="9" defaultRowHeight="15"/>
  <cols>
    <col min="1" max="16384" width="9" style="133"/>
  </cols>
  <sheetData>
    <row r="1" spans="1:5">
      <c r="A1" s="133" t="s">
        <v>296</v>
      </c>
      <c r="B1" s="133" t="s">
        <v>297</v>
      </c>
      <c r="C1" s="133" t="s">
        <v>620</v>
      </c>
    </row>
    <row r="2" spans="1:5">
      <c r="A2" s="134">
        <v>2.4642857142857153</v>
      </c>
      <c r="B2" s="134">
        <v>2.6071428571428554</v>
      </c>
      <c r="C2" s="141">
        <f>(-2*A2^2) - (B2^2) + (A2*B2) + (8*A2) + (3*B2)</f>
        <v>15.017857142857146</v>
      </c>
    </row>
    <row r="5" spans="1:5">
      <c r="A5" s="133" t="s">
        <v>619</v>
      </c>
    </row>
    <row r="6" spans="1:5">
      <c r="A6" s="133">
        <v>3</v>
      </c>
      <c r="B6" s="133">
        <v>1</v>
      </c>
      <c r="C6" s="133">
        <f>SUMPRODUCT(A6:B6,A2:B2)</f>
        <v>10.000000000000002</v>
      </c>
      <c r="D6" s="133" t="s">
        <v>278</v>
      </c>
      <c r="E6" s="140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E6086-7CC8-4035-82C0-4B5E0BB66C79}">
  <dimension ref="A1:E15"/>
  <sheetViews>
    <sheetView showGridLines="0" workbookViewId="0">
      <selection activeCell="J15" sqref="J15"/>
    </sheetView>
  </sheetViews>
  <sheetFormatPr defaultColWidth="9" defaultRowHeight="15"/>
  <cols>
    <col min="1" max="1" width="2" style="133" customWidth="1"/>
    <col min="2" max="2" width="4.7109375" style="133" bestFit="1" customWidth="1"/>
    <col min="3" max="3" width="6" style="133" bestFit="1" customWidth="1"/>
    <col min="4" max="5" width="11.7109375" style="133" bestFit="1" customWidth="1"/>
    <col min="6" max="16384" width="9" style="133"/>
  </cols>
  <sheetData>
    <row r="1" spans="1:5">
      <c r="A1" s="139" t="s">
        <v>476</v>
      </c>
    </row>
    <row r="2" spans="1:5">
      <c r="A2" s="139" t="s">
        <v>618</v>
      </c>
    </row>
    <row r="3" spans="1:5">
      <c r="A3" s="139" t="s">
        <v>617</v>
      </c>
    </row>
    <row r="6" spans="1:5" ht="15.75" thickBot="1">
      <c r="A6" s="133" t="s">
        <v>477</v>
      </c>
    </row>
    <row r="7" spans="1:5">
      <c r="B7" s="137"/>
      <c r="C7" s="137"/>
      <c r="D7" s="137" t="s">
        <v>480</v>
      </c>
      <c r="E7" s="137" t="s">
        <v>482</v>
      </c>
    </row>
    <row r="8" spans="1:5" ht="15.75" thickBot="1">
      <c r="B8" s="136" t="s">
        <v>478</v>
      </c>
      <c r="C8" s="136" t="s">
        <v>479</v>
      </c>
      <c r="D8" s="136" t="s">
        <v>481</v>
      </c>
      <c r="E8" s="136" t="s">
        <v>616</v>
      </c>
    </row>
    <row r="9" spans="1:5">
      <c r="B9" s="138" t="s">
        <v>615</v>
      </c>
      <c r="C9" s="138" t="s">
        <v>296</v>
      </c>
      <c r="D9" s="138">
        <v>2.4642857142857153</v>
      </c>
      <c r="E9" s="138">
        <v>0</v>
      </c>
    </row>
    <row r="10" spans="1:5" ht="15.75" thickBot="1">
      <c r="B10" s="135" t="s">
        <v>614</v>
      </c>
      <c r="C10" s="135" t="s">
        <v>297</v>
      </c>
      <c r="D10" s="135">
        <v>2.6071428571428554</v>
      </c>
      <c r="E10" s="135">
        <v>0</v>
      </c>
    </row>
    <row r="12" spans="1:5" ht="15.75" thickBot="1">
      <c r="A12" s="133" t="s">
        <v>488</v>
      </c>
    </row>
    <row r="13" spans="1:5">
      <c r="B13" s="137"/>
      <c r="C13" s="137"/>
      <c r="D13" s="137" t="s">
        <v>480</v>
      </c>
      <c r="E13" s="137" t="s">
        <v>613</v>
      </c>
    </row>
    <row r="14" spans="1:5" ht="15.75" thickBot="1">
      <c r="B14" s="136" t="s">
        <v>478</v>
      </c>
      <c r="C14" s="136" t="s">
        <v>479</v>
      </c>
      <c r="D14" s="136" t="s">
        <v>481</v>
      </c>
      <c r="E14" s="136" t="s">
        <v>612</v>
      </c>
    </row>
    <row r="15" spans="1:5" ht="15.75" thickBot="1">
      <c r="B15" s="135" t="s">
        <v>611</v>
      </c>
      <c r="C15" s="135" t="s">
        <v>297</v>
      </c>
      <c r="D15" s="135">
        <v>10.000000000000002</v>
      </c>
      <c r="E15" s="135">
        <v>0.24999671274622132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3F1C-5A45-43E5-A048-56060299D179}">
  <dimension ref="A1:E2"/>
  <sheetViews>
    <sheetView workbookViewId="0">
      <selection activeCell="C23" sqref="C23"/>
    </sheetView>
  </sheetViews>
  <sheetFormatPr defaultColWidth="9" defaultRowHeight="15"/>
  <cols>
    <col min="1" max="16384" width="9" style="133"/>
  </cols>
  <sheetData>
    <row r="1" spans="1:5">
      <c r="A1" s="133" t="s">
        <v>610</v>
      </c>
      <c r="B1" s="133" t="s">
        <v>609</v>
      </c>
      <c r="C1" s="133" t="s">
        <v>608</v>
      </c>
      <c r="D1" s="133" t="s">
        <v>607</v>
      </c>
      <c r="E1" s="133" t="s">
        <v>606</v>
      </c>
    </row>
    <row r="2" spans="1:5">
      <c r="A2" s="134">
        <v>2.5</v>
      </c>
      <c r="B2" s="133">
        <f>(10-A2)</f>
        <v>7.5</v>
      </c>
      <c r="C2" s="133">
        <f>B2*A2</f>
        <v>18.75</v>
      </c>
      <c r="D2" s="133">
        <f>5 *A2</f>
        <v>12.5</v>
      </c>
      <c r="E2" s="133">
        <f>C2-D2</f>
        <v>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4E085-F6DB-4A3E-8201-010CC9E37480}">
  <dimension ref="A1:H16"/>
  <sheetViews>
    <sheetView showGridLines="0" workbookViewId="0">
      <selection activeCell="I32" sqref="I32"/>
    </sheetView>
  </sheetViews>
  <sheetFormatPr defaultRowHeight="15"/>
  <cols>
    <col min="1" max="1" width="2.28515625" customWidth="1"/>
    <col min="2" max="2" width="6.140625" bestFit="1" customWidth="1"/>
    <col min="3" max="3" width="40.7109375" bestFit="1" customWidth="1"/>
    <col min="4" max="4" width="6.140625" bestFit="1" customWidth="1"/>
    <col min="5" max="5" width="8.7109375" bestFit="1" customWidth="1"/>
    <col min="6" max="6" width="10.85546875" bestFit="1" customWidth="1"/>
    <col min="7" max="8" width="10" bestFit="1" customWidth="1"/>
  </cols>
  <sheetData>
    <row r="1" spans="1:8">
      <c r="A1" s="1" t="s">
        <v>476</v>
      </c>
    </row>
    <row r="2" spans="1:8">
      <c r="A2" s="1" t="s">
        <v>501</v>
      </c>
    </row>
    <row r="3" spans="1:8">
      <c r="A3" s="1" t="s">
        <v>502</v>
      </c>
    </row>
    <row r="6" spans="1:8" ht="15.75" thickBot="1">
      <c r="A6" t="s">
        <v>477</v>
      </c>
    </row>
    <row r="7" spans="1:8">
      <c r="B7" s="99"/>
      <c r="C7" s="99"/>
      <c r="D7" s="99" t="s">
        <v>480</v>
      </c>
      <c r="E7" s="99" t="s">
        <v>482</v>
      </c>
      <c r="F7" s="99" t="s">
        <v>483</v>
      </c>
      <c r="G7" s="99" t="s">
        <v>485</v>
      </c>
      <c r="H7" s="99" t="s">
        <v>485</v>
      </c>
    </row>
    <row r="8" spans="1:8" ht="15.75" thickBot="1">
      <c r="B8" s="100" t="s">
        <v>478</v>
      </c>
      <c r="C8" s="100" t="s">
        <v>479</v>
      </c>
      <c r="D8" s="100" t="s">
        <v>481</v>
      </c>
      <c r="E8" s="100" t="s">
        <v>294</v>
      </c>
      <c r="F8" s="100" t="s">
        <v>484</v>
      </c>
      <c r="G8" s="100" t="s">
        <v>486</v>
      </c>
      <c r="H8" s="100" t="s">
        <v>487</v>
      </c>
    </row>
    <row r="9" spans="1:8">
      <c r="B9" s="97" t="s">
        <v>493</v>
      </c>
      <c r="C9" s="97" t="s">
        <v>494</v>
      </c>
      <c r="D9" s="97">
        <v>560</v>
      </c>
      <c r="E9" s="97">
        <v>0</v>
      </c>
      <c r="F9" s="97">
        <v>80</v>
      </c>
      <c r="G9" s="97">
        <v>27.499999999999986</v>
      </c>
      <c r="H9" s="97">
        <v>80</v>
      </c>
    </row>
    <row r="10" spans="1:8" ht="15.75" thickBot="1">
      <c r="B10" s="98" t="s">
        <v>495</v>
      </c>
      <c r="C10" s="98" t="s">
        <v>496</v>
      </c>
      <c r="D10" s="98">
        <v>1200</v>
      </c>
      <c r="E10" s="98">
        <v>32.999999999999986</v>
      </c>
      <c r="F10" s="98">
        <v>129</v>
      </c>
      <c r="G10" s="98">
        <v>1E+30</v>
      </c>
      <c r="H10" s="98">
        <v>32.999999999999986</v>
      </c>
    </row>
    <row r="12" spans="1:8" ht="15.75" thickBot="1">
      <c r="A12" t="s">
        <v>488</v>
      </c>
    </row>
    <row r="13" spans="1:8">
      <c r="B13" s="99"/>
      <c r="C13" s="99"/>
      <c r="D13" s="99" t="s">
        <v>480</v>
      </c>
      <c r="E13" s="99" t="s">
        <v>489</v>
      </c>
      <c r="F13" s="99" t="s">
        <v>491</v>
      </c>
      <c r="G13" s="99" t="s">
        <v>485</v>
      </c>
      <c r="H13" s="99" t="s">
        <v>485</v>
      </c>
    </row>
    <row r="14" spans="1:8" ht="15.75" thickBot="1">
      <c r="B14" s="100" t="s">
        <v>478</v>
      </c>
      <c r="C14" s="100" t="s">
        <v>479</v>
      </c>
      <c r="D14" s="100" t="s">
        <v>481</v>
      </c>
      <c r="E14" s="100" t="s">
        <v>490</v>
      </c>
      <c r="F14" s="100" t="s">
        <v>492</v>
      </c>
      <c r="G14" s="100" t="s">
        <v>486</v>
      </c>
      <c r="H14" s="100" t="s">
        <v>487</v>
      </c>
    </row>
    <row r="15" spans="1:8">
      <c r="B15" s="97" t="s">
        <v>497</v>
      </c>
      <c r="C15" s="97" t="s">
        <v>498</v>
      </c>
      <c r="D15" s="97">
        <v>10000</v>
      </c>
      <c r="E15" s="97">
        <v>16</v>
      </c>
      <c r="F15" s="97">
        <v>10000</v>
      </c>
      <c r="G15" s="97">
        <v>200</v>
      </c>
      <c r="H15" s="97">
        <v>2800</v>
      </c>
    </row>
    <row r="16" spans="1:8" ht="15.75" thickBot="1">
      <c r="B16" s="98" t="s">
        <v>499</v>
      </c>
      <c r="C16" s="98" t="s">
        <v>500</v>
      </c>
      <c r="D16" s="98">
        <v>2960</v>
      </c>
      <c r="E16" s="98">
        <v>0</v>
      </c>
      <c r="F16" s="98">
        <v>3000</v>
      </c>
      <c r="G16" s="98">
        <v>1E+30</v>
      </c>
      <c r="H16" s="98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E26"/>
  <sheetViews>
    <sheetView zoomScale="80" zoomScaleNormal="80" workbookViewId="0">
      <selection activeCell="H34" sqref="H34"/>
    </sheetView>
  </sheetViews>
  <sheetFormatPr defaultRowHeight="15"/>
  <cols>
    <col min="1" max="1" width="47.140625" bestFit="1" customWidth="1"/>
    <col min="2" max="2" width="12.28515625" bestFit="1" customWidth="1"/>
    <col min="3" max="3" width="8.140625" bestFit="1" customWidth="1"/>
    <col min="4" max="4" width="17" bestFit="1" customWidth="1"/>
    <col min="5" max="5" width="17.7109375" bestFit="1" customWidth="1"/>
    <col min="16" max="16" width="13.7109375" bestFit="1" customWidth="1"/>
  </cols>
  <sheetData>
    <row r="1" spans="1:3">
      <c r="A1" s="1" t="s">
        <v>0</v>
      </c>
    </row>
    <row r="3" spans="1:3">
      <c r="A3" t="s">
        <v>11</v>
      </c>
      <c r="B3" s="5">
        <v>11</v>
      </c>
    </row>
    <row r="4" spans="1:3">
      <c r="A4" t="s">
        <v>12</v>
      </c>
      <c r="B4" s="5">
        <v>15</v>
      </c>
    </row>
    <row r="6" spans="1:3">
      <c r="A6" t="s">
        <v>3</v>
      </c>
    </row>
    <row r="7" spans="1:3">
      <c r="B7" s="2" t="s">
        <v>1</v>
      </c>
      <c r="C7" s="2" t="s">
        <v>2</v>
      </c>
    </row>
    <row r="8" spans="1:3">
      <c r="A8" t="s">
        <v>4</v>
      </c>
      <c r="B8" s="3">
        <v>5</v>
      </c>
      <c r="C8" s="3">
        <v>6</v>
      </c>
    </row>
    <row r="9" spans="1:3">
      <c r="A9" t="s">
        <v>5</v>
      </c>
      <c r="B9" s="3">
        <v>1</v>
      </c>
      <c r="C9" s="3">
        <v>2</v>
      </c>
    </row>
    <row r="10" spans="1:3">
      <c r="A10" t="s">
        <v>6</v>
      </c>
      <c r="B10" s="5">
        <v>150</v>
      </c>
      <c r="C10" s="5">
        <v>225</v>
      </c>
    </row>
    <row r="11" spans="1:3">
      <c r="A11" t="s">
        <v>7</v>
      </c>
      <c r="B11" s="5">
        <v>300</v>
      </c>
      <c r="C11" s="5">
        <v>450</v>
      </c>
    </row>
    <row r="12" spans="1:3">
      <c r="A12" t="s">
        <v>8</v>
      </c>
      <c r="B12" s="6">
        <f>B11-(B10+SUMPRODUCT($B$3:$B$4,B8:B9))</f>
        <v>80</v>
      </c>
      <c r="C12" s="6">
        <f>C11-(C10+SUMPRODUCT($B$3:$B$4,C8:C9))</f>
        <v>129</v>
      </c>
    </row>
    <row r="14" spans="1:3">
      <c r="A14" t="s">
        <v>9</v>
      </c>
    </row>
    <row r="15" spans="1:3">
      <c r="B15" s="2" t="s">
        <v>1</v>
      </c>
      <c r="C15" s="2" t="s">
        <v>2</v>
      </c>
    </row>
    <row r="16" spans="1:3">
      <c r="A16" t="s">
        <v>16</v>
      </c>
      <c r="B16" s="4">
        <v>560</v>
      </c>
      <c r="C16" s="4">
        <v>1200</v>
      </c>
    </row>
    <row r="17" spans="1:5">
      <c r="B17" s="2" t="s">
        <v>278</v>
      </c>
      <c r="C17" s="2" t="s">
        <v>278</v>
      </c>
    </row>
    <row r="18" spans="1:5">
      <c r="A18" t="s">
        <v>17</v>
      </c>
      <c r="B18" s="3">
        <v>600</v>
      </c>
      <c r="C18" s="3">
        <v>1200</v>
      </c>
    </row>
    <row r="20" spans="1:5">
      <c r="A20" t="s">
        <v>15</v>
      </c>
      <c r="B20" s="2" t="s">
        <v>19</v>
      </c>
      <c r="C20" s="2"/>
      <c r="D20" s="9" t="s">
        <v>20</v>
      </c>
    </row>
    <row r="21" spans="1:5">
      <c r="A21" t="s">
        <v>13</v>
      </c>
      <c r="B21">
        <f>SUMPRODUCT(B16:C16,B8:C8)</f>
        <v>10000</v>
      </c>
      <c r="C21" s="8" t="s">
        <v>278</v>
      </c>
      <c r="D21" s="3">
        <v>10000</v>
      </c>
    </row>
    <row r="22" spans="1:5">
      <c r="A22" t="s">
        <v>14</v>
      </c>
      <c r="B22">
        <f>SUMPRODUCT(B16:C16,B9:C9)</f>
        <v>2960</v>
      </c>
      <c r="C22" s="8" t="s">
        <v>278</v>
      </c>
      <c r="D22" s="3">
        <v>3000</v>
      </c>
    </row>
    <row r="24" spans="1:5">
      <c r="A24" t="s">
        <v>18</v>
      </c>
      <c r="B24" s="2" t="s">
        <v>1</v>
      </c>
      <c r="C24" s="2" t="s">
        <v>2</v>
      </c>
      <c r="D24" s="2" t="s">
        <v>10</v>
      </c>
    </row>
    <row r="25" spans="1:5">
      <c r="B25" s="6">
        <f>B12*B16</f>
        <v>44800</v>
      </c>
      <c r="C25" s="6">
        <f>C12*C16</f>
        <v>154800</v>
      </c>
      <c r="D25" s="7">
        <f>SUM(B25:C25)</f>
        <v>199600</v>
      </c>
      <c r="E25" s="6" t="s">
        <v>473</v>
      </c>
    </row>
    <row r="26" spans="1:5">
      <c r="D26">
        <f>SUMPRODUCT(B12:C12,B16:C16)</f>
        <v>199600</v>
      </c>
      <c r="E26" t="s">
        <v>474</v>
      </c>
    </row>
  </sheetData>
  <printOptions headings="1" gridLines="1"/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46BD-BE34-41ED-A93B-E2B7AB36F190}">
  <sheetPr>
    <pageSetUpPr fitToPage="1"/>
  </sheetPr>
  <dimension ref="A1:E26"/>
  <sheetViews>
    <sheetView zoomScale="80" zoomScaleNormal="80" workbookViewId="0">
      <selection activeCell="L35" sqref="L35"/>
    </sheetView>
  </sheetViews>
  <sheetFormatPr defaultRowHeight="15"/>
  <cols>
    <col min="1" max="1" width="47.140625" bestFit="1" customWidth="1"/>
    <col min="2" max="2" width="13" bestFit="1" customWidth="1"/>
    <col min="3" max="3" width="9.28515625" bestFit="1" customWidth="1"/>
    <col min="4" max="4" width="17" bestFit="1" customWidth="1"/>
    <col min="5" max="5" width="17.7109375" bestFit="1" customWidth="1"/>
    <col min="8" max="8" width="2.140625" bestFit="1" customWidth="1"/>
    <col min="16" max="16" width="13.7109375" bestFit="1" customWidth="1"/>
  </cols>
  <sheetData>
    <row r="1" spans="1:4">
      <c r="A1" s="1" t="s">
        <v>0</v>
      </c>
    </row>
    <row r="3" spans="1:4">
      <c r="A3" t="s">
        <v>11</v>
      </c>
      <c r="B3" s="5">
        <v>11</v>
      </c>
    </row>
    <row r="4" spans="1:4">
      <c r="A4" t="s">
        <v>12</v>
      </c>
      <c r="B4" s="5">
        <v>15</v>
      </c>
    </row>
    <row r="6" spans="1:4">
      <c r="A6" t="s">
        <v>3</v>
      </c>
    </row>
    <row r="7" spans="1:4">
      <c r="B7" s="2" t="s">
        <v>1</v>
      </c>
      <c r="C7" s="2" t="s">
        <v>2</v>
      </c>
      <c r="D7" s="2" t="s">
        <v>475</v>
      </c>
    </row>
    <row r="8" spans="1:4">
      <c r="A8" t="s">
        <v>4</v>
      </c>
      <c r="B8" s="3">
        <v>5</v>
      </c>
      <c r="C8" s="3">
        <v>6</v>
      </c>
      <c r="D8">
        <v>8</v>
      </c>
    </row>
    <row r="9" spans="1:4">
      <c r="A9" t="s">
        <v>5</v>
      </c>
      <c r="B9" s="3">
        <v>1</v>
      </c>
      <c r="C9" s="3">
        <v>2</v>
      </c>
      <c r="D9">
        <v>3</v>
      </c>
    </row>
    <row r="10" spans="1:4">
      <c r="A10" t="s">
        <v>6</v>
      </c>
      <c r="B10" s="5">
        <v>150</v>
      </c>
      <c r="C10" s="5">
        <v>225</v>
      </c>
      <c r="D10">
        <v>275</v>
      </c>
    </row>
    <row r="11" spans="1:4">
      <c r="A11" t="s">
        <v>7</v>
      </c>
      <c r="B11" s="5">
        <v>300</v>
      </c>
      <c r="C11" s="5">
        <v>450</v>
      </c>
      <c r="D11">
        <v>560</v>
      </c>
    </row>
    <row r="12" spans="1:4">
      <c r="A12" t="s">
        <v>8</v>
      </c>
      <c r="B12" s="6">
        <f>B11-(B10+SUMPRODUCT($B$3:$B$4,B8:B9))</f>
        <v>80</v>
      </c>
      <c r="C12" s="6">
        <f t="shared" ref="C12" si="0">C11-(C10+SUMPRODUCT($B$3:$B$4,C8:C9))</f>
        <v>129</v>
      </c>
      <c r="D12" s="6">
        <f>D11-(D10+SUMPRODUCT($B$3:$B$4,D8:D9))</f>
        <v>152</v>
      </c>
    </row>
    <row r="14" spans="1:4">
      <c r="A14" t="s">
        <v>9</v>
      </c>
    </row>
    <row r="15" spans="1:4">
      <c r="B15" s="2" t="s">
        <v>1</v>
      </c>
      <c r="C15" s="2" t="s">
        <v>2</v>
      </c>
      <c r="D15" t="s">
        <v>475</v>
      </c>
    </row>
    <row r="16" spans="1:4">
      <c r="A16" t="s">
        <v>16</v>
      </c>
      <c r="B16" s="4">
        <v>514.28571428571433</v>
      </c>
      <c r="C16" s="4">
        <v>1200</v>
      </c>
      <c r="D16" s="2">
        <v>28.571428571428569</v>
      </c>
    </row>
    <row r="17" spans="1:5">
      <c r="B17" s="2" t="s">
        <v>278</v>
      </c>
      <c r="C17" s="2" t="s">
        <v>278</v>
      </c>
      <c r="D17" s="2" t="s">
        <v>278</v>
      </c>
    </row>
    <row r="18" spans="1:5">
      <c r="A18" t="s">
        <v>17</v>
      </c>
      <c r="B18" s="3">
        <v>600</v>
      </c>
      <c r="C18" s="3">
        <v>1200</v>
      </c>
      <c r="D18" s="2">
        <v>50</v>
      </c>
    </row>
    <row r="20" spans="1:5">
      <c r="A20" t="s">
        <v>15</v>
      </c>
      <c r="B20" s="2" t="s">
        <v>19</v>
      </c>
      <c r="C20" s="2"/>
      <c r="D20" s="9" t="s">
        <v>20</v>
      </c>
    </row>
    <row r="21" spans="1:5">
      <c r="A21" t="s">
        <v>13</v>
      </c>
      <c r="B21">
        <f>SUMPRODUCT(B16:D16,B8:D8)</f>
        <v>10000.000000000002</v>
      </c>
      <c r="C21" s="8" t="s">
        <v>278</v>
      </c>
      <c r="D21" s="3">
        <v>10000</v>
      </c>
    </row>
    <row r="22" spans="1:5">
      <c r="A22" t="s">
        <v>14</v>
      </c>
      <c r="B22">
        <f>SUMPRODUCT(B16:D16,B9:D9)</f>
        <v>3000</v>
      </c>
      <c r="C22" s="8" t="s">
        <v>278</v>
      </c>
      <c r="D22" s="3">
        <v>3000</v>
      </c>
    </row>
    <row r="24" spans="1:5">
      <c r="A24" t="s">
        <v>18</v>
      </c>
      <c r="B24" s="2" t="s">
        <v>1</v>
      </c>
      <c r="C24" s="2" t="s">
        <v>2</v>
      </c>
      <c r="D24" s="2" t="s">
        <v>10</v>
      </c>
    </row>
    <row r="25" spans="1:5">
      <c r="B25" s="6">
        <f>B12*B16</f>
        <v>41142.857142857145</v>
      </c>
      <c r="C25" s="6">
        <f>C12*C16</f>
        <v>154800</v>
      </c>
      <c r="D25" s="7">
        <f>SUM(B25:C25)</f>
        <v>195942.85714285716</v>
      </c>
      <c r="E25" s="6" t="s">
        <v>473</v>
      </c>
    </row>
    <row r="26" spans="1:5">
      <c r="D26">
        <f>SUMPRODUCT(B12:D12,B16:D16)</f>
        <v>200285.71428571429</v>
      </c>
      <c r="E26" t="s">
        <v>474</v>
      </c>
    </row>
  </sheetData>
  <printOptions headings="1" gridLines="1"/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7897-AD8C-4F2F-AE88-1E868F26AB92}">
  <dimension ref="A1:H39"/>
  <sheetViews>
    <sheetView showGridLines="0" workbookViewId="0">
      <selection activeCell="H21" sqref="H21"/>
    </sheetView>
  </sheetViews>
  <sheetFormatPr defaultRowHeight="15"/>
  <cols>
    <col min="1" max="1" width="2.28515625" customWidth="1"/>
    <col min="2" max="2" width="6.28515625" bestFit="1" customWidth="1"/>
    <col min="3" max="3" width="42.85546875" bestFit="1" customWidth="1"/>
    <col min="4" max="4" width="7" bestFit="1" customWidth="1"/>
    <col min="5" max="5" width="8.7109375" bestFit="1" customWidth="1"/>
    <col min="6" max="6" width="10.85546875" bestFit="1" customWidth="1"/>
    <col min="7" max="8" width="12" bestFit="1" customWidth="1"/>
  </cols>
  <sheetData>
    <row r="1" spans="1:8">
      <c r="A1" s="1" t="s">
        <v>476</v>
      </c>
    </row>
    <row r="2" spans="1:8">
      <c r="A2" s="1" t="s">
        <v>503</v>
      </c>
    </row>
    <row r="3" spans="1:8">
      <c r="A3" s="1" t="s">
        <v>504</v>
      </c>
    </row>
    <row r="6" spans="1:8" ht="15.75" thickBot="1">
      <c r="A6" t="s">
        <v>477</v>
      </c>
    </row>
    <row r="7" spans="1:8">
      <c r="B7" s="99"/>
      <c r="C7" s="99"/>
      <c r="D7" s="99" t="s">
        <v>480</v>
      </c>
      <c r="E7" s="99" t="s">
        <v>482</v>
      </c>
      <c r="F7" s="99" t="s">
        <v>483</v>
      </c>
      <c r="G7" s="99" t="s">
        <v>485</v>
      </c>
      <c r="H7" s="99" t="s">
        <v>485</v>
      </c>
    </row>
    <row r="8" spans="1:8" ht="15.75" thickBot="1">
      <c r="B8" s="100" t="s">
        <v>478</v>
      </c>
      <c r="C8" s="100" t="s">
        <v>479</v>
      </c>
      <c r="D8" s="100" t="s">
        <v>481</v>
      </c>
      <c r="E8" s="100" t="s">
        <v>294</v>
      </c>
      <c r="F8" s="100" t="s">
        <v>484</v>
      </c>
      <c r="G8" s="100" t="s">
        <v>486</v>
      </c>
      <c r="H8" s="100" t="s">
        <v>487</v>
      </c>
    </row>
    <row r="9" spans="1:8">
      <c r="B9" s="97" t="s">
        <v>505</v>
      </c>
      <c r="C9" s="97" t="s">
        <v>506</v>
      </c>
      <c r="D9" s="97">
        <v>1500</v>
      </c>
      <c r="E9" s="97">
        <v>0</v>
      </c>
      <c r="F9" s="97">
        <v>127.5</v>
      </c>
      <c r="G9" s="97">
        <v>1E+30</v>
      </c>
      <c r="H9" s="97">
        <v>2.1249999999999698</v>
      </c>
    </row>
    <row r="10" spans="1:8">
      <c r="B10" s="97" t="s">
        <v>507</v>
      </c>
      <c r="C10" s="97" t="s">
        <v>508</v>
      </c>
      <c r="D10" s="97">
        <v>0</v>
      </c>
      <c r="E10" s="97">
        <v>-20</v>
      </c>
      <c r="F10" s="97">
        <v>132</v>
      </c>
      <c r="G10" s="97">
        <v>20</v>
      </c>
      <c r="H10" s="97">
        <v>1E+30</v>
      </c>
    </row>
    <row r="11" spans="1:8">
      <c r="B11" s="97" t="s">
        <v>509</v>
      </c>
      <c r="C11" s="97" t="s">
        <v>510</v>
      </c>
      <c r="D11" s="97">
        <v>0</v>
      </c>
      <c r="E11" s="97">
        <v>-10</v>
      </c>
      <c r="F11" s="97">
        <v>142</v>
      </c>
      <c r="G11" s="97">
        <v>10</v>
      </c>
      <c r="H11" s="97">
        <v>1E+30</v>
      </c>
    </row>
    <row r="12" spans="1:8">
      <c r="B12" s="97" t="s">
        <v>511</v>
      </c>
      <c r="C12" s="97" t="s">
        <v>512</v>
      </c>
      <c r="D12" s="97">
        <v>124.99999999999989</v>
      </c>
      <c r="E12" s="97">
        <v>0</v>
      </c>
      <c r="F12" s="97">
        <v>152</v>
      </c>
      <c r="G12" s="97">
        <v>2.8333333333332922</v>
      </c>
      <c r="H12" s="97">
        <v>1.7000000000000235</v>
      </c>
    </row>
    <row r="13" spans="1:8">
      <c r="B13" s="97" t="s">
        <v>513</v>
      </c>
      <c r="C13" s="97" t="s">
        <v>514</v>
      </c>
      <c r="D13" s="97">
        <v>0</v>
      </c>
      <c r="E13" s="97">
        <v>-25.875000000000028</v>
      </c>
      <c r="F13" s="97">
        <v>142</v>
      </c>
      <c r="G13" s="97">
        <v>25.875000000000028</v>
      </c>
      <c r="H13" s="97">
        <v>1E+30</v>
      </c>
    </row>
    <row r="14" spans="1:8">
      <c r="B14" s="97" t="s">
        <v>515</v>
      </c>
      <c r="C14" s="97" t="s">
        <v>516</v>
      </c>
      <c r="D14" s="97">
        <v>0</v>
      </c>
      <c r="E14" s="97">
        <v>-2.1250000000000293</v>
      </c>
      <c r="F14" s="97">
        <v>167</v>
      </c>
      <c r="G14" s="97">
        <v>2.1250000000000293</v>
      </c>
      <c r="H14" s="97">
        <v>1E+30</v>
      </c>
    </row>
    <row r="15" spans="1:8">
      <c r="B15" s="97" t="s">
        <v>517</v>
      </c>
      <c r="C15" s="97" t="s">
        <v>518</v>
      </c>
      <c r="D15" s="97">
        <v>1000</v>
      </c>
      <c r="E15" s="97">
        <v>0</v>
      </c>
      <c r="F15" s="97">
        <v>172</v>
      </c>
      <c r="G15" s="97">
        <v>1E+30</v>
      </c>
      <c r="H15" s="97">
        <v>4.1249999999999742</v>
      </c>
    </row>
    <row r="16" spans="1:8">
      <c r="B16" s="97" t="s">
        <v>519</v>
      </c>
      <c r="C16" s="97" t="s">
        <v>520</v>
      </c>
      <c r="D16" s="97">
        <v>0</v>
      </c>
      <c r="E16" s="97">
        <v>-6.7500000000000586</v>
      </c>
      <c r="F16" s="97">
        <v>177</v>
      </c>
      <c r="G16" s="97">
        <v>6.7500000000000586</v>
      </c>
      <c r="H16" s="97">
        <v>1E+30</v>
      </c>
    </row>
    <row r="17" spans="1:8">
      <c r="B17" s="97" t="s">
        <v>521</v>
      </c>
      <c r="C17" s="97" t="s">
        <v>522</v>
      </c>
      <c r="D17" s="97">
        <v>0</v>
      </c>
      <c r="E17" s="97">
        <v>-2.1249999999999698</v>
      </c>
      <c r="F17" s="97">
        <v>122</v>
      </c>
      <c r="G17" s="97">
        <v>2.1249999999999698</v>
      </c>
      <c r="H17" s="97">
        <v>1E+30</v>
      </c>
    </row>
    <row r="18" spans="1:8">
      <c r="B18" s="97" t="s">
        <v>523</v>
      </c>
      <c r="C18" s="97" t="s">
        <v>524</v>
      </c>
      <c r="D18" s="97">
        <v>0</v>
      </c>
      <c r="E18" s="97">
        <v>-20</v>
      </c>
      <c r="F18" s="97">
        <v>127.5</v>
      </c>
      <c r="G18" s="97">
        <v>20</v>
      </c>
      <c r="H18" s="97">
        <v>1E+30</v>
      </c>
    </row>
    <row r="19" spans="1:8">
      <c r="B19" s="97" t="s">
        <v>525</v>
      </c>
      <c r="C19" s="97" t="s">
        <v>526</v>
      </c>
      <c r="D19" s="97">
        <v>0</v>
      </c>
      <c r="E19" s="97">
        <v>-10</v>
      </c>
      <c r="F19" s="97">
        <v>137.5</v>
      </c>
      <c r="G19" s="97">
        <v>10</v>
      </c>
      <c r="H19" s="97">
        <v>1E+30</v>
      </c>
    </row>
    <row r="20" spans="1:8">
      <c r="B20" s="97" t="s">
        <v>527</v>
      </c>
      <c r="C20" s="97" t="s">
        <v>528</v>
      </c>
      <c r="D20" s="97">
        <v>474.99999999999994</v>
      </c>
      <c r="E20" s="97">
        <v>0</v>
      </c>
      <c r="F20" s="97">
        <v>147.5</v>
      </c>
      <c r="G20" s="97">
        <v>1.1363636363636362</v>
      </c>
      <c r="H20" s="97">
        <v>2.083333333333333</v>
      </c>
    </row>
    <row r="21" spans="1:8">
      <c r="B21" s="97" t="s">
        <v>529</v>
      </c>
      <c r="C21" s="97" t="s">
        <v>530</v>
      </c>
      <c r="D21" s="97">
        <v>0</v>
      </c>
      <c r="E21" s="97">
        <v>-23.75</v>
      </c>
      <c r="F21" s="97">
        <v>138.5</v>
      </c>
      <c r="G21" s="97">
        <v>23.75</v>
      </c>
      <c r="H21" s="97">
        <v>1E+30</v>
      </c>
    </row>
    <row r="22" spans="1:8">
      <c r="B22" s="97" t="s">
        <v>531</v>
      </c>
      <c r="C22" s="97" t="s">
        <v>532</v>
      </c>
      <c r="D22" s="97">
        <v>1000</v>
      </c>
      <c r="E22" s="97">
        <v>0</v>
      </c>
      <c r="F22" s="97">
        <v>163.5</v>
      </c>
      <c r="G22" s="97">
        <v>1E+30</v>
      </c>
      <c r="H22" s="97">
        <v>1.25</v>
      </c>
    </row>
    <row r="23" spans="1:8">
      <c r="B23" s="97" t="s">
        <v>533</v>
      </c>
      <c r="C23" s="97" t="s">
        <v>534</v>
      </c>
      <c r="D23" s="97">
        <v>0</v>
      </c>
      <c r="E23" s="97">
        <v>-6.3749999999999707</v>
      </c>
      <c r="F23" s="97">
        <v>160</v>
      </c>
      <c r="G23" s="97">
        <v>6.3749999999999707</v>
      </c>
      <c r="H23" s="97">
        <v>1E+30</v>
      </c>
    </row>
    <row r="24" spans="1:8" ht="15.75" thickBot="1">
      <c r="B24" s="98" t="s">
        <v>535</v>
      </c>
      <c r="C24" s="98" t="s">
        <v>536</v>
      </c>
      <c r="D24" s="98">
        <v>0</v>
      </c>
      <c r="E24" s="98">
        <v>-2.5</v>
      </c>
      <c r="F24" s="98">
        <v>174.5</v>
      </c>
      <c r="G24" s="98">
        <v>2.5</v>
      </c>
      <c r="H24" s="98">
        <v>1E+30</v>
      </c>
    </row>
    <row r="26" spans="1:8" ht="15.75" thickBot="1">
      <c r="A26" t="s">
        <v>488</v>
      </c>
    </row>
    <row r="27" spans="1:8">
      <c r="B27" s="99"/>
      <c r="C27" s="99"/>
      <c r="D27" s="99" t="s">
        <v>480</v>
      </c>
      <c r="E27" s="99" t="s">
        <v>489</v>
      </c>
      <c r="F27" s="99" t="s">
        <v>491</v>
      </c>
      <c r="G27" s="99" t="s">
        <v>485</v>
      </c>
      <c r="H27" s="99" t="s">
        <v>485</v>
      </c>
    </row>
    <row r="28" spans="1:8" ht="15.75" thickBot="1">
      <c r="B28" s="100" t="s">
        <v>478</v>
      </c>
      <c r="C28" s="100" t="s">
        <v>479</v>
      </c>
      <c r="D28" s="100" t="s">
        <v>481</v>
      </c>
      <c r="E28" s="100" t="s">
        <v>490</v>
      </c>
      <c r="F28" s="100" t="s">
        <v>492</v>
      </c>
      <c r="G28" s="100" t="s">
        <v>486</v>
      </c>
      <c r="H28" s="100" t="s">
        <v>487</v>
      </c>
    </row>
    <row r="29" spans="1:8">
      <c r="B29" s="97" t="s">
        <v>497</v>
      </c>
      <c r="C29" s="97" t="s">
        <v>537</v>
      </c>
      <c r="D29" s="97">
        <v>1500</v>
      </c>
      <c r="E29" s="97">
        <v>6.1249999999999698</v>
      </c>
      <c r="F29" s="97">
        <v>1500</v>
      </c>
      <c r="G29" s="97">
        <v>166.66666666666646</v>
      </c>
      <c r="H29" s="97">
        <v>812.50000000000011</v>
      </c>
    </row>
    <row r="30" spans="1:8">
      <c r="B30" s="97" t="s">
        <v>538</v>
      </c>
      <c r="C30" s="97" t="s">
        <v>539</v>
      </c>
      <c r="D30" s="97">
        <v>0</v>
      </c>
      <c r="E30" s="97">
        <v>0</v>
      </c>
      <c r="F30" s="97">
        <v>1250</v>
      </c>
      <c r="G30" s="97">
        <v>1E+30</v>
      </c>
      <c r="H30" s="97">
        <v>1250</v>
      </c>
    </row>
    <row r="31" spans="1:8">
      <c r="B31" s="97" t="s">
        <v>540</v>
      </c>
      <c r="C31" s="97" t="s">
        <v>541</v>
      </c>
      <c r="D31" s="97">
        <v>0</v>
      </c>
      <c r="E31" s="97">
        <v>0</v>
      </c>
      <c r="F31" s="97">
        <v>1250</v>
      </c>
      <c r="G31" s="97">
        <v>1E+30</v>
      </c>
      <c r="H31" s="97">
        <v>1250</v>
      </c>
    </row>
    <row r="32" spans="1:8">
      <c r="B32" s="97" t="s">
        <v>542</v>
      </c>
      <c r="C32" s="97" t="s">
        <v>543</v>
      </c>
      <c r="D32" s="97">
        <v>599.99999999999977</v>
      </c>
      <c r="E32" s="97">
        <v>0</v>
      </c>
      <c r="F32" s="97">
        <v>1250</v>
      </c>
      <c r="G32" s="97">
        <v>1E+30</v>
      </c>
      <c r="H32" s="97">
        <v>650.00000000000011</v>
      </c>
    </row>
    <row r="33" spans="2:8">
      <c r="B33" s="97" t="s">
        <v>544</v>
      </c>
      <c r="C33" s="97" t="s">
        <v>545</v>
      </c>
      <c r="D33" s="97">
        <v>0</v>
      </c>
      <c r="E33" s="97">
        <v>0</v>
      </c>
      <c r="F33" s="97">
        <v>1000</v>
      </c>
      <c r="G33" s="97">
        <v>1E+30</v>
      </c>
      <c r="H33" s="97">
        <v>1000</v>
      </c>
    </row>
    <row r="34" spans="2:8">
      <c r="B34" s="97" t="s">
        <v>546</v>
      </c>
      <c r="C34" s="97" t="s">
        <v>547</v>
      </c>
      <c r="D34" s="97">
        <v>1000</v>
      </c>
      <c r="E34" s="97">
        <v>1.25</v>
      </c>
      <c r="F34" s="97">
        <v>1000</v>
      </c>
      <c r="G34" s="97">
        <v>431.81818181818176</v>
      </c>
      <c r="H34" s="97">
        <v>590.90909090909099</v>
      </c>
    </row>
    <row r="35" spans="2:8">
      <c r="B35" s="97" t="s">
        <v>548</v>
      </c>
      <c r="C35" s="97" t="s">
        <v>549</v>
      </c>
      <c r="D35" s="97">
        <v>1000</v>
      </c>
      <c r="E35" s="97">
        <v>4.1249999999999742</v>
      </c>
      <c r="F35" s="97">
        <v>1000</v>
      </c>
      <c r="G35" s="97">
        <v>99.999999999999915</v>
      </c>
      <c r="H35" s="97">
        <v>590.90909090909099</v>
      </c>
    </row>
    <row r="36" spans="2:8">
      <c r="B36" s="97" t="s">
        <v>550</v>
      </c>
      <c r="C36" s="97" t="s">
        <v>551</v>
      </c>
      <c r="D36" s="97">
        <v>0</v>
      </c>
      <c r="E36" s="97">
        <v>0</v>
      </c>
      <c r="F36" s="97">
        <v>800</v>
      </c>
      <c r="G36" s="97">
        <v>1E+30</v>
      </c>
      <c r="H36" s="97">
        <v>800</v>
      </c>
    </row>
    <row r="37" spans="2:8">
      <c r="B37" s="97" t="s">
        <v>552</v>
      </c>
      <c r="C37" s="97" t="s">
        <v>498</v>
      </c>
      <c r="D37" s="97">
        <v>20000</v>
      </c>
      <c r="E37" s="97">
        <v>29.5</v>
      </c>
      <c r="F37" s="97">
        <v>20000</v>
      </c>
      <c r="G37" s="97">
        <v>3250.0000000000005</v>
      </c>
      <c r="H37" s="97">
        <v>2374.9999999999995</v>
      </c>
    </row>
    <row r="38" spans="2:8">
      <c r="B38" s="97" t="s">
        <v>553</v>
      </c>
      <c r="C38" s="97" t="s">
        <v>554</v>
      </c>
      <c r="D38" s="97">
        <v>5000</v>
      </c>
      <c r="E38" s="97">
        <v>2.25</v>
      </c>
      <c r="F38" s="97">
        <v>5000</v>
      </c>
      <c r="G38" s="97">
        <v>949.99999999999989</v>
      </c>
      <c r="H38" s="97">
        <v>249.99999999999977</v>
      </c>
    </row>
    <row r="39" spans="2:8" ht="15.75" thickBot="1">
      <c r="B39" s="98" t="s">
        <v>555</v>
      </c>
      <c r="C39" s="98" t="s">
        <v>556</v>
      </c>
      <c r="D39" s="98">
        <v>4187.5</v>
      </c>
      <c r="E39" s="98">
        <v>0</v>
      </c>
      <c r="F39" s="98">
        <v>6000</v>
      </c>
      <c r="G39" s="98">
        <v>1E+30</v>
      </c>
      <c r="H39" s="98">
        <v>1812.5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4"/>
  <sheetViews>
    <sheetView tabSelected="1" zoomScale="90" zoomScaleNormal="90" workbookViewId="0">
      <selection activeCell="J33" sqref="J33"/>
    </sheetView>
  </sheetViews>
  <sheetFormatPr defaultRowHeight="15"/>
  <cols>
    <col min="1" max="1" width="33.140625" customWidth="1"/>
  </cols>
  <sheetData>
    <row r="1" spans="1:10">
      <c r="A1" s="1" t="s">
        <v>0</v>
      </c>
    </row>
    <row r="3" spans="1:10">
      <c r="A3" t="s">
        <v>11</v>
      </c>
      <c r="B3" s="5">
        <v>11</v>
      </c>
    </row>
    <row r="4" spans="1:10">
      <c r="A4" t="s">
        <v>21</v>
      </c>
      <c r="B4" s="5">
        <v>19</v>
      </c>
    </row>
    <row r="5" spans="1:10">
      <c r="A5" t="s">
        <v>22</v>
      </c>
      <c r="B5" s="5">
        <v>17</v>
      </c>
    </row>
    <row r="7" spans="1:10">
      <c r="A7" t="s">
        <v>3</v>
      </c>
    </row>
    <row r="8" spans="1:10"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</row>
    <row r="9" spans="1:10">
      <c r="A9" t="s">
        <v>4</v>
      </c>
      <c r="B9" s="3">
        <v>4</v>
      </c>
      <c r="C9" s="3">
        <v>5</v>
      </c>
      <c r="D9" s="3">
        <v>5</v>
      </c>
      <c r="E9" s="3">
        <v>5</v>
      </c>
      <c r="F9" s="3">
        <v>5.5</v>
      </c>
      <c r="G9" s="3">
        <v>5.5</v>
      </c>
      <c r="H9" s="3">
        <v>5.5</v>
      </c>
      <c r="I9" s="3">
        <v>6</v>
      </c>
    </row>
    <row r="10" spans="1:10">
      <c r="A10" t="s">
        <v>31</v>
      </c>
      <c r="B10" s="3">
        <v>1.5</v>
      </c>
      <c r="C10" s="3">
        <v>2</v>
      </c>
      <c r="D10" s="3">
        <v>2</v>
      </c>
      <c r="E10" s="3">
        <v>2</v>
      </c>
      <c r="F10" s="3">
        <v>2.5</v>
      </c>
      <c r="G10" s="3">
        <v>2.5</v>
      </c>
      <c r="H10" s="3">
        <v>2.5</v>
      </c>
      <c r="I10" s="3">
        <v>3</v>
      </c>
    </row>
    <row r="11" spans="1:10">
      <c r="A11" t="s">
        <v>32</v>
      </c>
      <c r="B11" s="3">
        <v>2</v>
      </c>
      <c r="C11" s="3">
        <v>2.5</v>
      </c>
      <c r="D11" s="3">
        <v>2.5</v>
      </c>
      <c r="E11" s="3">
        <v>2.5</v>
      </c>
      <c r="F11" s="3">
        <v>3</v>
      </c>
      <c r="G11" s="3">
        <v>3</v>
      </c>
      <c r="H11" s="3">
        <v>3.5</v>
      </c>
      <c r="I11" s="3">
        <v>3.5</v>
      </c>
    </row>
    <row r="12" spans="1:10">
      <c r="A12" t="s">
        <v>6</v>
      </c>
      <c r="B12" s="90">
        <v>150</v>
      </c>
      <c r="C12" s="90">
        <v>225</v>
      </c>
      <c r="D12" s="90">
        <v>225</v>
      </c>
      <c r="E12" s="90">
        <v>225</v>
      </c>
      <c r="F12" s="90">
        <v>250</v>
      </c>
      <c r="G12" s="90">
        <v>250</v>
      </c>
      <c r="H12" s="90">
        <v>250</v>
      </c>
      <c r="I12" s="90">
        <v>300</v>
      </c>
    </row>
    <row r="13" spans="1:10">
      <c r="A13" t="s">
        <v>7</v>
      </c>
      <c r="B13" s="90">
        <v>350</v>
      </c>
      <c r="C13" s="90">
        <v>450</v>
      </c>
      <c r="D13" s="90">
        <v>460</v>
      </c>
      <c r="E13" s="90">
        <v>470</v>
      </c>
      <c r="F13" s="90">
        <v>500</v>
      </c>
      <c r="G13" s="90">
        <v>525</v>
      </c>
      <c r="H13" s="90">
        <v>530</v>
      </c>
      <c r="I13" s="90">
        <v>600</v>
      </c>
    </row>
    <row r="14" spans="1:10">
      <c r="A14" t="s">
        <v>33</v>
      </c>
      <c r="B14" s="6">
        <f>B13-B12-($B$3*B9)-($B$4*B10)</f>
        <v>127.5</v>
      </c>
      <c r="C14" s="6">
        <f>C13-C12-($B$3*C9)-($B$4*C10)</f>
        <v>132</v>
      </c>
      <c r="D14" s="6">
        <f>D13-D12-($B$3*D9)-($B$4*D10)</f>
        <v>142</v>
      </c>
      <c r="E14" s="6">
        <f t="shared" ref="E14:I14" si="0">E13-E12-($B$3*E9)-($B$4*E10)</f>
        <v>152</v>
      </c>
      <c r="F14" s="6">
        <f t="shared" si="0"/>
        <v>142</v>
      </c>
      <c r="G14" s="6">
        <f t="shared" si="0"/>
        <v>167</v>
      </c>
      <c r="H14" s="6">
        <f t="shared" si="0"/>
        <v>172</v>
      </c>
      <c r="I14" s="6">
        <f t="shared" si="0"/>
        <v>177</v>
      </c>
    </row>
    <row r="15" spans="1:10">
      <c r="A15" t="s">
        <v>34</v>
      </c>
      <c r="B15" s="6">
        <f>B13-B12-($B$3*B9)-($B$5*B11)</f>
        <v>122</v>
      </c>
      <c r="C15" s="6">
        <f t="shared" ref="C15:I15" si="1">C13-C12-($B$3*C9)-($B$5*C11)</f>
        <v>127.5</v>
      </c>
      <c r="D15" s="6">
        <f t="shared" si="1"/>
        <v>137.5</v>
      </c>
      <c r="E15" s="6">
        <f t="shared" si="1"/>
        <v>147.5</v>
      </c>
      <c r="F15" s="6">
        <f t="shared" si="1"/>
        <v>138.5</v>
      </c>
      <c r="G15" s="6">
        <f t="shared" si="1"/>
        <v>163.5</v>
      </c>
      <c r="H15" s="6">
        <f t="shared" si="1"/>
        <v>160</v>
      </c>
      <c r="I15" s="6">
        <f t="shared" si="1"/>
        <v>174.5</v>
      </c>
      <c r="J15" s="6"/>
    </row>
    <row r="17" spans="1:10">
      <c r="A17" t="s">
        <v>9</v>
      </c>
    </row>
    <row r="18" spans="1:10">
      <c r="B18" s="2" t="s">
        <v>23</v>
      </c>
      <c r="C18" s="2" t="s">
        <v>24</v>
      </c>
      <c r="D18" s="2" t="s">
        <v>25</v>
      </c>
      <c r="E18" s="2" t="s">
        <v>26</v>
      </c>
      <c r="F18" s="2" t="s">
        <v>27</v>
      </c>
      <c r="G18" s="2" t="s">
        <v>28</v>
      </c>
      <c r="H18" s="2" t="s">
        <v>29</v>
      </c>
      <c r="I18" s="2" t="s">
        <v>30</v>
      </c>
    </row>
    <row r="19" spans="1:10">
      <c r="A19" t="s">
        <v>35</v>
      </c>
      <c r="B19" s="4">
        <v>1500</v>
      </c>
      <c r="C19" s="4">
        <v>0</v>
      </c>
      <c r="D19" s="4">
        <v>0</v>
      </c>
      <c r="E19" s="4">
        <v>124.99999999999989</v>
      </c>
      <c r="F19" s="4">
        <v>0</v>
      </c>
      <c r="G19" s="4">
        <v>0</v>
      </c>
      <c r="H19" s="4">
        <v>1000</v>
      </c>
      <c r="I19" s="4">
        <v>0</v>
      </c>
    </row>
    <row r="20" spans="1:10">
      <c r="A20" t="s">
        <v>36</v>
      </c>
      <c r="B20" s="4">
        <v>0</v>
      </c>
      <c r="C20" s="4">
        <v>0</v>
      </c>
      <c r="D20" s="4">
        <v>0</v>
      </c>
      <c r="E20" s="4">
        <v>474.99999999999994</v>
      </c>
      <c r="F20" s="4">
        <v>0</v>
      </c>
      <c r="G20" s="4">
        <v>1000</v>
      </c>
      <c r="H20" s="4">
        <v>0</v>
      </c>
      <c r="I20" s="4">
        <v>0</v>
      </c>
    </row>
    <row r="21" spans="1:10">
      <c r="A21" t="s">
        <v>37</v>
      </c>
      <c r="B21">
        <f>B19+B20</f>
        <v>1500</v>
      </c>
      <c r="C21">
        <f t="shared" ref="C21:I21" si="2">C19+C20</f>
        <v>0</v>
      </c>
      <c r="D21">
        <f t="shared" si="2"/>
        <v>0</v>
      </c>
      <c r="E21">
        <f t="shared" si="2"/>
        <v>599.99999999999977</v>
      </c>
      <c r="F21">
        <f t="shared" si="2"/>
        <v>0</v>
      </c>
      <c r="G21">
        <f t="shared" si="2"/>
        <v>1000</v>
      </c>
      <c r="H21">
        <f>H19+H20</f>
        <v>1000</v>
      </c>
      <c r="I21">
        <f t="shared" si="2"/>
        <v>0</v>
      </c>
    </row>
    <row r="22" spans="1:10">
      <c r="B22" s="2" t="s">
        <v>278</v>
      </c>
      <c r="C22" s="2" t="s">
        <v>278</v>
      </c>
      <c r="D22" s="2" t="s">
        <v>278</v>
      </c>
      <c r="E22" s="2" t="s">
        <v>278</v>
      </c>
      <c r="F22" s="2" t="s">
        <v>278</v>
      </c>
      <c r="G22" s="2" t="s">
        <v>278</v>
      </c>
      <c r="H22" s="2" t="s">
        <v>278</v>
      </c>
      <c r="I22" s="2" t="s">
        <v>278</v>
      </c>
    </row>
    <row r="23" spans="1:10">
      <c r="A23" t="s">
        <v>17</v>
      </c>
      <c r="B23" s="3">
        <v>1500</v>
      </c>
      <c r="C23" s="3">
        <v>1250</v>
      </c>
      <c r="D23" s="3">
        <v>1250</v>
      </c>
      <c r="E23" s="3">
        <v>1250</v>
      </c>
      <c r="F23" s="3">
        <v>1000</v>
      </c>
      <c r="G23" s="3">
        <v>1000</v>
      </c>
      <c r="H23" s="3">
        <v>1000</v>
      </c>
      <c r="I23" s="3">
        <v>800</v>
      </c>
    </row>
    <row r="24" spans="1:10">
      <c r="B24">
        <f>B23/4</f>
        <v>375</v>
      </c>
      <c r="C24">
        <f t="shared" ref="C24:H24" si="3">C23/4</f>
        <v>312.5</v>
      </c>
      <c r="D24">
        <f t="shared" si="3"/>
        <v>312.5</v>
      </c>
      <c r="E24">
        <f t="shared" si="3"/>
        <v>312.5</v>
      </c>
      <c r="F24">
        <f t="shared" si="3"/>
        <v>250</v>
      </c>
      <c r="G24">
        <f t="shared" si="3"/>
        <v>250</v>
      </c>
      <c r="H24">
        <f t="shared" si="3"/>
        <v>250</v>
      </c>
      <c r="I24">
        <f>I23/4</f>
        <v>200</v>
      </c>
    </row>
    <row r="25" spans="1:10">
      <c r="A25" t="s">
        <v>15</v>
      </c>
      <c r="B25" s="9" t="s">
        <v>19</v>
      </c>
      <c r="C25" s="9"/>
      <c r="D25" s="9" t="s">
        <v>20</v>
      </c>
    </row>
    <row r="26" spans="1:10">
      <c r="A26" t="s">
        <v>13</v>
      </c>
      <c r="B26">
        <f>SUMPRODUCT(B9:I9,B21:I21)</f>
        <v>20000</v>
      </c>
      <c r="C26" s="8"/>
      <c r="D26" s="3">
        <v>20000</v>
      </c>
    </row>
    <row r="27" spans="1:10">
      <c r="A27" t="s">
        <v>38</v>
      </c>
      <c r="B27">
        <f>SUMPRODUCT(B10:I10,B19:I19)</f>
        <v>5000</v>
      </c>
      <c r="C27" s="8"/>
      <c r="D27" s="3">
        <v>5000</v>
      </c>
    </row>
    <row r="28" spans="1:10">
      <c r="A28" t="s">
        <v>39</v>
      </c>
      <c r="B28">
        <f>SUMPRODUCT(B11:I11,B20:I20)</f>
        <v>4187.5</v>
      </c>
      <c r="C28" s="8"/>
      <c r="D28" s="3">
        <v>6000</v>
      </c>
    </row>
    <row r="30" spans="1:10">
      <c r="A30" t="s">
        <v>40</v>
      </c>
      <c r="B30" s="2" t="s">
        <v>23</v>
      </c>
      <c r="C30" s="2" t="s">
        <v>24</v>
      </c>
      <c r="D30" s="2" t="s">
        <v>25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41</v>
      </c>
    </row>
    <row r="31" spans="1:10">
      <c r="A31" t="s">
        <v>42</v>
      </c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t="s">
        <v>43</v>
      </c>
      <c r="B32" s="6"/>
      <c r="C32" s="6"/>
      <c r="D32" s="6"/>
      <c r="E32" s="6"/>
      <c r="F32" s="6"/>
      <c r="G32" s="6"/>
      <c r="H32" s="6"/>
      <c r="I32" s="6"/>
      <c r="J32" s="6"/>
    </row>
    <row r="33" spans="10:10">
      <c r="J33" s="7">
        <f>SUMPRODUCT(B14:I15,B19:I20)</f>
        <v>615812.5</v>
      </c>
    </row>
    <row r="34" spans="10:10">
      <c r="J34">
        <v>615812.50664110668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46D7-F536-4A36-BE9C-0C9B37BB46E2}">
  <dimension ref="A2:L17"/>
  <sheetViews>
    <sheetView workbookViewId="0">
      <selection activeCell="M32" sqref="M32"/>
    </sheetView>
  </sheetViews>
  <sheetFormatPr defaultRowHeight="15"/>
  <sheetData>
    <row r="2" spans="1:12">
      <c r="A2" t="s">
        <v>557</v>
      </c>
      <c r="B2" s="52">
        <v>4.3333333333333339</v>
      </c>
      <c r="C2" s="52">
        <v>3.333333333333333</v>
      </c>
    </row>
    <row r="3" spans="1:12">
      <c r="A3" t="s">
        <v>558</v>
      </c>
      <c r="B3">
        <v>100</v>
      </c>
      <c r="C3">
        <v>60</v>
      </c>
      <c r="F3" cm="1">
        <f t="array" ref="F3">MMULT(B3:C3,TRANSPOSE(B2:C2))</f>
        <v>633.33333333333337</v>
      </c>
      <c r="G3">
        <f>SUMPRODUCT(B3:C3,B2:C2)</f>
        <v>633.33333333333337</v>
      </c>
    </row>
    <row r="4" spans="1:12">
      <c r="A4" t="s">
        <v>559</v>
      </c>
      <c r="B4">
        <v>7</v>
      </c>
      <c r="C4">
        <v>3</v>
      </c>
      <c r="D4" cm="1">
        <f t="array" ref="D4:D6">MMULT(B4:C6,TRANSPOSE(B2:C2))</f>
        <v>40.333333333333336</v>
      </c>
      <c r="E4" s="101">
        <f>SUMPRODUCT(B4:C4,$B$2:$C$2)</f>
        <v>40.333333333333336</v>
      </c>
      <c r="F4" t="s">
        <v>220</v>
      </c>
      <c r="G4">
        <v>40</v>
      </c>
    </row>
    <row r="5" spans="1:12">
      <c r="A5" t="s">
        <v>560</v>
      </c>
      <c r="B5">
        <v>10</v>
      </c>
      <c r="C5">
        <v>5</v>
      </c>
      <c r="D5">
        <v>60.000000000000007</v>
      </c>
      <c r="E5" s="101">
        <f t="shared" ref="E5:E6" si="0">SUMPRODUCT(B5:C5,$B$2:$C$2)</f>
        <v>60.000000000000007</v>
      </c>
      <c r="F5" t="s">
        <v>220</v>
      </c>
      <c r="G5">
        <v>60</v>
      </c>
    </row>
    <row r="6" spans="1:12">
      <c r="A6" t="s">
        <v>561</v>
      </c>
      <c r="B6">
        <v>5</v>
      </c>
      <c r="C6">
        <v>4</v>
      </c>
      <c r="D6">
        <v>35</v>
      </c>
      <c r="E6" s="101">
        <f t="shared" si="0"/>
        <v>35</v>
      </c>
      <c r="F6" t="s">
        <v>220</v>
      </c>
      <c r="G6">
        <v>35</v>
      </c>
    </row>
    <row r="7" spans="1:12">
      <c r="E7" s="101"/>
    </row>
    <row r="8" spans="1:12">
      <c r="A8" s="1" t="s">
        <v>571</v>
      </c>
    </row>
    <row r="9" spans="1:12">
      <c r="B9" s="8" t="s">
        <v>296</v>
      </c>
      <c r="C9" s="8" t="s">
        <v>297</v>
      </c>
      <c r="D9" s="8" t="s">
        <v>565</v>
      </c>
      <c r="E9" s="8" t="s">
        <v>566</v>
      </c>
      <c r="F9" s="8" t="s">
        <v>567</v>
      </c>
      <c r="G9" s="8" t="s">
        <v>570</v>
      </c>
      <c r="H9" s="8" t="s">
        <v>568</v>
      </c>
      <c r="I9" s="8" t="s">
        <v>569</v>
      </c>
    </row>
    <row r="10" spans="1:12">
      <c r="A10" t="s">
        <v>557</v>
      </c>
      <c r="B10">
        <v>6</v>
      </c>
      <c r="C10">
        <v>0</v>
      </c>
      <c r="D10">
        <v>1.9999999999999998</v>
      </c>
      <c r="E10">
        <v>0</v>
      </c>
      <c r="F10">
        <v>0</v>
      </c>
      <c r="G10">
        <v>6.6613381477509392E-16</v>
      </c>
      <c r="H10">
        <v>0</v>
      </c>
      <c r="I10">
        <v>5</v>
      </c>
    </row>
    <row r="11" spans="1:12">
      <c r="A11" t="s">
        <v>558</v>
      </c>
      <c r="B11">
        <v>0</v>
      </c>
      <c r="C11">
        <v>0</v>
      </c>
      <c r="D11">
        <v>0</v>
      </c>
      <c r="E11">
        <v>200</v>
      </c>
      <c r="F11">
        <v>0</v>
      </c>
      <c r="G11">
        <v>100</v>
      </c>
      <c r="H11">
        <v>0</v>
      </c>
      <c r="I11">
        <v>50</v>
      </c>
      <c r="K11">
        <f>SUMPRODUCT(B11:I11,B10:I10)</f>
        <v>250.00000000000006</v>
      </c>
    </row>
    <row r="12" spans="1:12">
      <c r="A12" t="s">
        <v>559</v>
      </c>
      <c r="B12">
        <v>7</v>
      </c>
      <c r="C12">
        <v>3</v>
      </c>
      <c r="D12">
        <v>-1</v>
      </c>
      <c r="E12">
        <v>1</v>
      </c>
      <c r="F12">
        <v>0</v>
      </c>
      <c r="G12">
        <v>0</v>
      </c>
      <c r="H12">
        <v>0</v>
      </c>
      <c r="I12">
        <v>0</v>
      </c>
      <c r="J12">
        <f>SUMPRODUCT(B12:I12,$B$10:$I$10)</f>
        <v>40</v>
      </c>
      <c r="K12" t="s">
        <v>564</v>
      </c>
      <c r="L12">
        <v>40</v>
      </c>
    </row>
    <row r="13" spans="1:12">
      <c r="A13" t="s">
        <v>560</v>
      </c>
      <c r="B13">
        <v>10</v>
      </c>
      <c r="C13">
        <v>5</v>
      </c>
      <c r="D13">
        <v>0</v>
      </c>
      <c r="E13">
        <v>0</v>
      </c>
      <c r="F13">
        <v>-1</v>
      </c>
      <c r="G13">
        <v>1</v>
      </c>
      <c r="H13">
        <v>0</v>
      </c>
      <c r="I13">
        <v>0</v>
      </c>
      <c r="J13">
        <f t="shared" ref="J13:J14" si="1">SUMPRODUCT(B13:I13,$B$10:$I$10)</f>
        <v>60</v>
      </c>
      <c r="K13" t="s">
        <v>354</v>
      </c>
      <c r="L13">
        <v>60</v>
      </c>
    </row>
    <row r="14" spans="1:12">
      <c r="A14" t="s">
        <v>561</v>
      </c>
      <c r="B14">
        <v>5</v>
      </c>
      <c r="C14">
        <v>4</v>
      </c>
      <c r="D14">
        <v>0</v>
      </c>
      <c r="E14">
        <v>0</v>
      </c>
      <c r="F14">
        <v>0</v>
      </c>
      <c r="G14">
        <v>0</v>
      </c>
      <c r="H14">
        <v>-1</v>
      </c>
      <c r="I14">
        <v>1</v>
      </c>
      <c r="J14">
        <f t="shared" si="1"/>
        <v>35</v>
      </c>
      <c r="K14" t="s">
        <v>354</v>
      </c>
      <c r="L14">
        <v>35</v>
      </c>
    </row>
    <row r="15" spans="1:12">
      <c r="A15" t="s">
        <v>562</v>
      </c>
      <c r="B15">
        <v>100</v>
      </c>
      <c r="C15">
        <v>60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>SUMPRODUCT(B15:I15,$B$10:$I$10)</f>
        <v>600</v>
      </c>
      <c r="K15" t="s">
        <v>278</v>
      </c>
      <c r="L15">
        <v>600</v>
      </c>
    </row>
    <row r="17" spans="1:1">
      <c r="A17" s="101" t="s">
        <v>563</v>
      </c>
    </row>
  </sheetData>
  <phoneticPr fontId="1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"/>
  <sheetViews>
    <sheetView zoomScale="90" zoomScaleNormal="90" workbookViewId="0">
      <selection activeCell="M19" sqref="M19"/>
    </sheetView>
  </sheetViews>
  <sheetFormatPr defaultRowHeight="15"/>
  <cols>
    <col min="1" max="1" width="15.42578125" bestFit="1" customWidth="1"/>
    <col min="5" max="5" width="2.85546875" bestFit="1" customWidth="1"/>
    <col min="8" max="8" width="16.140625" bestFit="1" customWidth="1"/>
    <col min="14" max="14" width="2.85546875" bestFit="1" customWidth="1"/>
    <col min="15" max="15" width="3.85546875" bestFit="1" customWidth="1"/>
  </cols>
  <sheetData>
    <row r="1" spans="1:15">
      <c r="A1" t="s">
        <v>295</v>
      </c>
      <c r="I1" t="s">
        <v>303</v>
      </c>
    </row>
    <row r="3" spans="1:15">
      <c r="B3" s="2" t="s">
        <v>296</v>
      </c>
      <c r="C3" s="2" t="s">
        <v>297</v>
      </c>
      <c r="I3" s="2" t="s">
        <v>304</v>
      </c>
      <c r="J3" s="2" t="s">
        <v>305</v>
      </c>
      <c r="K3" s="2" t="s">
        <v>306</v>
      </c>
      <c r="L3" s="2" t="s">
        <v>307</v>
      </c>
    </row>
    <row r="4" spans="1:15">
      <c r="A4" t="s">
        <v>308</v>
      </c>
      <c r="B4">
        <v>560</v>
      </c>
      <c r="C4">
        <v>1200</v>
      </c>
      <c r="H4" t="s">
        <v>308</v>
      </c>
      <c r="I4">
        <v>16</v>
      </c>
      <c r="J4">
        <v>0</v>
      </c>
      <c r="K4">
        <v>0</v>
      </c>
      <c r="L4">
        <v>33</v>
      </c>
    </row>
    <row r="5" spans="1:15">
      <c r="A5" t="s">
        <v>302</v>
      </c>
      <c r="B5">
        <v>80</v>
      </c>
      <c r="C5">
        <v>129</v>
      </c>
      <c r="D5">
        <f>SUMPRODUCT($B$4:$C$4,B5:C5)</f>
        <v>199600</v>
      </c>
      <c r="H5" t="s">
        <v>302</v>
      </c>
      <c r="I5">
        <f t="array" ref="I5:L5">TRANSPOSE(F6:F9)</f>
        <v>10000</v>
      </c>
      <c r="J5">
        <v>3000</v>
      </c>
      <c r="K5">
        <v>600</v>
      </c>
      <c r="L5">
        <v>1200</v>
      </c>
      <c r="M5">
        <f>SUMPRODUCT($I$4:$L$4,I5:L5)</f>
        <v>199600</v>
      </c>
    </row>
    <row r="6" spans="1:15">
      <c r="A6" t="s">
        <v>298</v>
      </c>
      <c r="B6">
        <v>5</v>
      </c>
      <c r="C6">
        <v>6</v>
      </c>
      <c r="D6">
        <f t="shared" ref="D6:D9" si="0">SUMPRODUCT($B$4:$C$4,B6:C6)</f>
        <v>10000</v>
      </c>
      <c r="E6" s="73" t="s">
        <v>278</v>
      </c>
      <c r="F6">
        <v>10000</v>
      </c>
      <c r="H6" t="s">
        <v>298</v>
      </c>
      <c r="I6">
        <f t="array" ref="I6:L7">TRANSPOSE(B6:C9)</f>
        <v>5</v>
      </c>
      <c r="J6">
        <v>1</v>
      </c>
      <c r="K6">
        <v>1</v>
      </c>
      <c r="L6">
        <v>0</v>
      </c>
      <c r="M6">
        <f>SUMPRODUCT($I$4:$L$4,I6:L6)</f>
        <v>80</v>
      </c>
      <c r="N6" s="73" t="s">
        <v>220</v>
      </c>
      <c r="O6">
        <f t="array" ref="O6:O7">TRANSPOSE(B5:C5)</f>
        <v>80</v>
      </c>
    </row>
    <row r="7" spans="1:15">
      <c r="A7" t="s">
        <v>299</v>
      </c>
      <c r="B7">
        <v>1</v>
      </c>
      <c r="C7">
        <v>2</v>
      </c>
      <c r="D7">
        <f t="shared" si="0"/>
        <v>2960</v>
      </c>
      <c r="E7" s="73" t="s">
        <v>278</v>
      </c>
      <c r="F7">
        <v>3000</v>
      </c>
      <c r="H7" t="s">
        <v>299</v>
      </c>
      <c r="I7">
        <v>6</v>
      </c>
      <c r="J7">
        <v>2</v>
      </c>
      <c r="K7">
        <v>0</v>
      </c>
      <c r="L7">
        <v>1</v>
      </c>
      <c r="M7">
        <f>SUMPRODUCT($I$4:$L$4,I7:L7)</f>
        <v>129</v>
      </c>
      <c r="N7" s="73" t="s">
        <v>220</v>
      </c>
      <c r="O7">
        <v>129</v>
      </c>
    </row>
    <row r="8" spans="1:15">
      <c r="A8" t="s">
        <v>300</v>
      </c>
      <c r="B8">
        <v>1</v>
      </c>
      <c r="C8">
        <v>0</v>
      </c>
      <c r="D8">
        <f t="shared" si="0"/>
        <v>560</v>
      </c>
      <c r="E8" s="73" t="s">
        <v>278</v>
      </c>
      <c r="F8">
        <v>600</v>
      </c>
    </row>
    <row r="9" spans="1:15">
      <c r="A9" t="s">
        <v>301</v>
      </c>
      <c r="B9">
        <v>0</v>
      </c>
      <c r="C9">
        <v>1</v>
      </c>
      <c r="D9">
        <f t="shared" si="0"/>
        <v>1200</v>
      </c>
      <c r="E9" s="73" t="s">
        <v>278</v>
      </c>
      <c r="F9">
        <v>1200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"/>
  <sheetViews>
    <sheetView topLeftCell="A3" zoomScaleNormal="100" workbookViewId="0">
      <selection activeCell="L14" sqref="L14"/>
    </sheetView>
  </sheetViews>
  <sheetFormatPr defaultRowHeight="15"/>
  <cols>
    <col min="1" max="1" width="28.5703125" style="11" customWidth="1"/>
    <col min="2" max="2" width="13.140625" style="11" customWidth="1"/>
    <col min="3" max="7" width="9.140625" style="11"/>
    <col min="8" max="8" width="12.85546875" style="11" bestFit="1" customWidth="1"/>
    <col min="9" max="9" width="19" style="11" bestFit="1" customWidth="1"/>
    <col min="10" max="243" width="9.140625" style="11"/>
    <col min="244" max="244" width="26.5703125" style="11" customWidth="1"/>
    <col min="245" max="245" width="13.140625" style="11" customWidth="1"/>
    <col min="246" max="250" width="9.140625" style="11"/>
    <col min="251" max="251" width="10.85546875" style="11" customWidth="1"/>
    <col min="252" max="252" width="23" style="11" bestFit="1" customWidth="1"/>
    <col min="253" max="253" width="10.5703125" style="11" customWidth="1"/>
    <col min="254" max="254" width="10.85546875" style="11" customWidth="1"/>
    <col min="255" max="499" width="9.140625" style="11"/>
    <col min="500" max="500" width="26.5703125" style="11" customWidth="1"/>
    <col min="501" max="501" width="13.140625" style="11" customWidth="1"/>
    <col min="502" max="506" width="9.140625" style="11"/>
    <col min="507" max="507" width="10.85546875" style="11" customWidth="1"/>
    <col min="508" max="508" width="23" style="11" bestFit="1" customWidth="1"/>
    <col min="509" max="509" width="10.5703125" style="11" customWidth="1"/>
    <col min="510" max="510" width="10.85546875" style="11" customWidth="1"/>
    <col min="511" max="755" width="9.140625" style="11"/>
    <col min="756" max="756" width="26.5703125" style="11" customWidth="1"/>
    <col min="757" max="757" width="13.140625" style="11" customWidth="1"/>
    <col min="758" max="762" width="9.140625" style="11"/>
    <col min="763" max="763" width="10.85546875" style="11" customWidth="1"/>
    <col min="764" max="764" width="23" style="11" bestFit="1" customWidth="1"/>
    <col min="765" max="765" width="10.5703125" style="11" customWidth="1"/>
    <col min="766" max="766" width="10.85546875" style="11" customWidth="1"/>
    <col min="767" max="1011" width="9.140625" style="11"/>
    <col min="1012" max="1012" width="26.5703125" style="11" customWidth="1"/>
    <col min="1013" max="1013" width="13.140625" style="11" customWidth="1"/>
    <col min="1014" max="1018" width="9.140625" style="11"/>
    <col min="1019" max="1019" width="10.85546875" style="11" customWidth="1"/>
    <col min="1020" max="1020" width="23" style="11" bestFit="1" customWidth="1"/>
    <col min="1021" max="1021" width="10.5703125" style="11" customWidth="1"/>
    <col min="1022" max="1022" width="10.85546875" style="11" customWidth="1"/>
    <col min="1023" max="1267" width="9.140625" style="11"/>
    <col min="1268" max="1268" width="26.5703125" style="11" customWidth="1"/>
    <col min="1269" max="1269" width="13.140625" style="11" customWidth="1"/>
    <col min="1270" max="1274" width="9.140625" style="11"/>
    <col min="1275" max="1275" width="10.85546875" style="11" customWidth="1"/>
    <col min="1276" max="1276" width="23" style="11" bestFit="1" customWidth="1"/>
    <col min="1277" max="1277" width="10.5703125" style="11" customWidth="1"/>
    <col min="1278" max="1278" width="10.85546875" style="11" customWidth="1"/>
    <col min="1279" max="1523" width="9.140625" style="11"/>
    <col min="1524" max="1524" width="26.5703125" style="11" customWidth="1"/>
    <col min="1525" max="1525" width="13.140625" style="11" customWidth="1"/>
    <col min="1526" max="1530" width="9.140625" style="11"/>
    <col min="1531" max="1531" width="10.85546875" style="11" customWidth="1"/>
    <col min="1532" max="1532" width="23" style="11" bestFit="1" customWidth="1"/>
    <col min="1533" max="1533" width="10.5703125" style="11" customWidth="1"/>
    <col min="1534" max="1534" width="10.85546875" style="11" customWidth="1"/>
    <col min="1535" max="1779" width="9.140625" style="11"/>
    <col min="1780" max="1780" width="26.5703125" style="11" customWidth="1"/>
    <col min="1781" max="1781" width="13.140625" style="11" customWidth="1"/>
    <col min="1782" max="1786" width="9.140625" style="11"/>
    <col min="1787" max="1787" width="10.85546875" style="11" customWidth="1"/>
    <col min="1788" max="1788" width="23" style="11" bestFit="1" customWidth="1"/>
    <col min="1789" max="1789" width="10.5703125" style="11" customWidth="1"/>
    <col min="1790" max="1790" width="10.85546875" style="11" customWidth="1"/>
    <col min="1791" max="2035" width="9.140625" style="11"/>
    <col min="2036" max="2036" width="26.5703125" style="11" customWidth="1"/>
    <col min="2037" max="2037" width="13.140625" style="11" customWidth="1"/>
    <col min="2038" max="2042" width="9.140625" style="11"/>
    <col min="2043" max="2043" width="10.85546875" style="11" customWidth="1"/>
    <col min="2044" max="2044" width="23" style="11" bestFit="1" customWidth="1"/>
    <col min="2045" max="2045" width="10.5703125" style="11" customWidth="1"/>
    <col min="2046" max="2046" width="10.85546875" style="11" customWidth="1"/>
    <col min="2047" max="2291" width="9.140625" style="11"/>
    <col min="2292" max="2292" width="26.5703125" style="11" customWidth="1"/>
    <col min="2293" max="2293" width="13.140625" style="11" customWidth="1"/>
    <col min="2294" max="2298" width="9.140625" style="11"/>
    <col min="2299" max="2299" width="10.85546875" style="11" customWidth="1"/>
    <col min="2300" max="2300" width="23" style="11" bestFit="1" customWidth="1"/>
    <col min="2301" max="2301" width="10.5703125" style="11" customWidth="1"/>
    <col min="2302" max="2302" width="10.85546875" style="11" customWidth="1"/>
    <col min="2303" max="2547" width="9.140625" style="11"/>
    <col min="2548" max="2548" width="26.5703125" style="11" customWidth="1"/>
    <col min="2549" max="2549" width="13.140625" style="11" customWidth="1"/>
    <col min="2550" max="2554" width="9.140625" style="11"/>
    <col min="2555" max="2555" width="10.85546875" style="11" customWidth="1"/>
    <col min="2556" max="2556" width="23" style="11" bestFit="1" customWidth="1"/>
    <col min="2557" max="2557" width="10.5703125" style="11" customWidth="1"/>
    <col min="2558" max="2558" width="10.85546875" style="11" customWidth="1"/>
    <col min="2559" max="2803" width="9.140625" style="11"/>
    <col min="2804" max="2804" width="26.5703125" style="11" customWidth="1"/>
    <col min="2805" max="2805" width="13.140625" style="11" customWidth="1"/>
    <col min="2806" max="2810" width="9.140625" style="11"/>
    <col min="2811" max="2811" width="10.85546875" style="11" customWidth="1"/>
    <col min="2812" max="2812" width="23" style="11" bestFit="1" customWidth="1"/>
    <col min="2813" max="2813" width="10.5703125" style="11" customWidth="1"/>
    <col min="2814" max="2814" width="10.85546875" style="11" customWidth="1"/>
    <col min="2815" max="3059" width="9.140625" style="11"/>
    <col min="3060" max="3060" width="26.5703125" style="11" customWidth="1"/>
    <col min="3061" max="3061" width="13.140625" style="11" customWidth="1"/>
    <col min="3062" max="3066" width="9.140625" style="11"/>
    <col min="3067" max="3067" width="10.85546875" style="11" customWidth="1"/>
    <col min="3068" max="3068" width="23" style="11" bestFit="1" customWidth="1"/>
    <col min="3069" max="3069" width="10.5703125" style="11" customWidth="1"/>
    <col min="3070" max="3070" width="10.85546875" style="11" customWidth="1"/>
    <col min="3071" max="3315" width="9.140625" style="11"/>
    <col min="3316" max="3316" width="26.5703125" style="11" customWidth="1"/>
    <col min="3317" max="3317" width="13.140625" style="11" customWidth="1"/>
    <col min="3318" max="3322" width="9.140625" style="11"/>
    <col min="3323" max="3323" width="10.85546875" style="11" customWidth="1"/>
    <col min="3324" max="3324" width="23" style="11" bestFit="1" customWidth="1"/>
    <col min="3325" max="3325" width="10.5703125" style="11" customWidth="1"/>
    <col min="3326" max="3326" width="10.85546875" style="11" customWidth="1"/>
    <col min="3327" max="3571" width="9.140625" style="11"/>
    <col min="3572" max="3572" width="26.5703125" style="11" customWidth="1"/>
    <col min="3573" max="3573" width="13.140625" style="11" customWidth="1"/>
    <col min="3574" max="3578" width="9.140625" style="11"/>
    <col min="3579" max="3579" width="10.85546875" style="11" customWidth="1"/>
    <col min="3580" max="3580" width="23" style="11" bestFit="1" customWidth="1"/>
    <col min="3581" max="3581" width="10.5703125" style="11" customWidth="1"/>
    <col min="3582" max="3582" width="10.85546875" style="11" customWidth="1"/>
    <col min="3583" max="3827" width="9.140625" style="11"/>
    <col min="3828" max="3828" width="26.5703125" style="11" customWidth="1"/>
    <col min="3829" max="3829" width="13.140625" style="11" customWidth="1"/>
    <col min="3830" max="3834" width="9.140625" style="11"/>
    <col min="3835" max="3835" width="10.85546875" style="11" customWidth="1"/>
    <col min="3836" max="3836" width="23" style="11" bestFit="1" customWidth="1"/>
    <col min="3837" max="3837" width="10.5703125" style="11" customWidth="1"/>
    <col min="3838" max="3838" width="10.85546875" style="11" customWidth="1"/>
    <col min="3839" max="4083" width="9.140625" style="11"/>
    <col min="4084" max="4084" width="26.5703125" style="11" customWidth="1"/>
    <col min="4085" max="4085" width="13.140625" style="11" customWidth="1"/>
    <col min="4086" max="4090" width="9.140625" style="11"/>
    <col min="4091" max="4091" width="10.85546875" style="11" customWidth="1"/>
    <col min="4092" max="4092" width="23" style="11" bestFit="1" customWidth="1"/>
    <col min="4093" max="4093" width="10.5703125" style="11" customWidth="1"/>
    <col min="4094" max="4094" width="10.85546875" style="11" customWidth="1"/>
    <col min="4095" max="4339" width="9.140625" style="11"/>
    <col min="4340" max="4340" width="26.5703125" style="11" customWidth="1"/>
    <col min="4341" max="4341" width="13.140625" style="11" customWidth="1"/>
    <col min="4342" max="4346" width="9.140625" style="11"/>
    <col min="4347" max="4347" width="10.85546875" style="11" customWidth="1"/>
    <col min="4348" max="4348" width="23" style="11" bestFit="1" customWidth="1"/>
    <col min="4349" max="4349" width="10.5703125" style="11" customWidth="1"/>
    <col min="4350" max="4350" width="10.85546875" style="11" customWidth="1"/>
    <col min="4351" max="4595" width="9.140625" style="11"/>
    <col min="4596" max="4596" width="26.5703125" style="11" customWidth="1"/>
    <col min="4597" max="4597" width="13.140625" style="11" customWidth="1"/>
    <col min="4598" max="4602" width="9.140625" style="11"/>
    <col min="4603" max="4603" width="10.85546875" style="11" customWidth="1"/>
    <col min="4604" max="4604" width="23" style="11" bestFit="1" customWidth="1"/>
    <col min="4605" max="4605" width="10.5703125" style="11" customWidth="1"/>
    <col min="4606" max="4606" width="10.85546875" style="11" customWidth="1"/>
    <col min="4607" max="4851" width="9.140625" style="11"/>
    <col min="4852" max="4852" width="26.5703125" style="11" customWidth="1"/>
    <col min="4853" max="4853" width="13.140625" style="11" customWidth="1"/>
    <col min="4854" max="4858" width="9.140625" style="11"/>
    <col min="4859" max="4859" width="10.85546875" style="11" customWidth="1"/>
    <col min="4860" max="4860" width="23" style="11" bestFit="1" customWidth="1"/>
    <col min="4861" max="4861" width="10.5703125" style="11" customWidth="1"/>
    <col min="4862" max="4862" width="10.85546875" style="11" customWidth="1"/>
    <col min="4863" max="5107" width="9.140625" style="11"/>
    <col min="5108" max="5108" width="26.5703125" style="11" customWidth="1"/>
    <col min="5109" max="5109" width="13.140625" style="11" customWidth="1"/>
    <col min="5110" max="5114" width="9.140625" style="11"/>
    <col min="5115" max="5115" width="10.85546875" style="11" customWidth="1"/>
    <col min="5116" max="5116" width="23" style="11" bestFit="1" customWidth="1"/>
    <col min="5117" max="5117" width="10.5703125" style="11" customWidth="1"/>
    <col min="5118" max="5118" width="10.85546875" style="11" customWidth="1"/>
    <col min="5119" max="5363" width="9.140625" style="11"/>
    <col min="5364" max="5364" width="26.5703125" style="11" customWidth="1"/>
    <col min="5365" max="5365" width="13.140625" style="11" customWidth="1"/>
    <col min="5366" max="5370" width="9.140625" style="11"/>
    <col min="5371" max="5371" width="10.85546875" style="11" customWidth="1"/>
    <col min="5372" max="5372" width="23" style="11" bestFit="1" customWidth="1"/>
    <col min="5373" max="5373" width="10.5703125" style="11" customWidth="1"/>
    <col min="5374" max="5374" width="10.85546875" style="11" customWidth="1"/>
    <col min="5375" max="5619" width="9.140625" style="11"/>
    <col min="5620" max="5620" width="26.5703125" style="11" customWidth="1"/>
    <col min="5621" max="5621" width="13.140625" style="11" customWidth="1"/>
    <col min="5622" max="5626" width="9.140625" style="11"/>
    <col min="5627" max="5627" width="10.85546875" style="11" customWidth="1"/>
    <col min="5628" max="5628" width="23" style="11" bestFit="1" customWidth="1"/>
    <col min="5629" max="5629" width="10.5703125" style="11" customWidth="1"/>
    <col min="5630" max="5630" width="10.85546875" style="11" customWidth="1"/>
    <col min="5631" max="5875" width="9.140625" style="11"/>
    <col min="5876" max="5876" width="26.5703125" style="11" customWidth="1"/>
    <col min="5877" max="5877" width="13.140625" style="11" customWidth="1"/>
    <col min="5878" max="5882" width="9.140625" style="11"/>
    <col min="5883" max="5883" width="10.85546875" style="11" customWidth="1"/>
    <col min="5884" max="5884" width="23" style="11" bestFit="1" customWidth="1"/>
    <col min="5885" max="5885" width="10.5703125" style="11" customWidth="1"/>
    <col min="5886" max="5886" width="10.85546875" style="11" customWidth="1"/>
    <col min="5887" max="6131" width="9.140625" style="11"/>
    <col min="6132" max="6132" width="26.5703125" style="11" customWidth="1"/>
    <col min="6133" max="6133" width="13.140625" style="11" customWidth="1"/>
    <col min="6134" max="6138" width="9.140625" style="11"/>
    <col min="6139" max="6139" width="10.85546875" style="11" customWidth="1"/>
    <col min="6140" max="6140" width="23" style="11" bestFit="1" customWidth="1"/>
    <col min="6141" max="6141" width="10.5703125" style="11" customWidth="1"/>
    <col min="6142" max="6142" width="10.85546875" style="11" customWidth="1"/>
    <col min="6143" max="6387" width="9.140625" style="11"/>
    <col min="6388" max="6388" width="26.5703125" style="11" customWidth="1"/>
    <col min="6389" max="6389" width="13.140625" style="11" customWidth="1"/>
    <col min="6390" max="6394" width="9.140625" style="11"/>
    <col min="6395" max="6395" width="10.85546875" style="11" customWidth="1"/>
    <col min="6396" max="6396" width="23" style="11" bestFit="1" customWidth="1"/>
    <col min="6397" max="6397" width="10.5703125" style="11" customWidth="1"/>
    <col min="6398" max="6398" width="10.85546875" style="11" customWidth="1"/>
    <col min="6399" max="6643" width="9.140625" style="11"/>
    <col min="6644" max="6644" width="26.5703125" style="11" customWidth="1"/>
    <col min="6645" max="6645" width="13.140625" style="11" customWidth="1"/>
    <col min="6646" max="6650" width="9.140625" style="11"/>
    <col min="6651" max="6651" width="10.85546875" style="11" customWidth="1"/>
    <col min="6652" max="6652" width="23" style="11" bestFit="1" customWidth="1"/>
    <col min="6653" max="6653" width="10.5703125" style="11" customWidth="1"/>
    <col min="6654" max="6654" width="10.85546875" style="11" customWidth="1"/>
    <col min="6655" max="6899" width="9.140625" style="11"/>
    <col min="6900" max="6900" width="26.5703125" style="11" customWidth="1"/>
    <col min="6901" max="6901" width="13.140625" style="11" customWidth="1"/>
    <col min="6902" max="6906" width="9.140625" style="11"/>
    <col min="6907" max="6907" width="10.85546875" style="11" customWidth="1"/>
    <col min="6908" max="6908" width="23" style="11" bestFit="1" customWidth="1"/>
    <col min="6909" max="6909" width="10.5703125" style="11" customWidth="1"/>
    <col min="6910" max="6910" width="10.85546875" style="11" customWidth="1"/>
    <col min="6911" max="7155" width="9.140625" style="11"/>
    <col min="7156" max="7156" width="26.5703125" style="11" customWidth="1"/>
    <col min="7157" max="7157" width="13.140625" style="11" customWidth="1"/>
    <col min="7158" max="7162" width="9.140625" style="11"/>
    <col min="7163" max="7163" width="10.85546875" style="11" customWidth="1"/>
    <col min="7164" max="7164" width="23" style="11" bestFit="1" customWidth="1"/>
    <col min="7165" max="7165" width="10.5703125" style="11" customWidth="1"/>
    <col min="7166" max="7166" width="10.85546875" style="11" customWidth="1"/>
    <col min="7167" max="7411" width="9.140625" style="11"/>
    <col min="7412" max="7412" width="26.5703125" style="11" customWidth="1"/>
    <col min="7413" max="7413" width="13.140625" style="11" customWidth="1"/>
    <col min="7414" max="7418" width="9.140625" style="11"/>
    <col min="7419" max="7419" width="10.85546875" style="11" customWidth="1"/>
    <col min="7420" max="7420" width="23" style="11" bestFit="1" customWidth="1"/>
    <col min="7421" max="7421" width="10.5703125" style="11" customWidth="1"/>
    <col min="7422" max="7422" width="10.85546875" style="11" customWidth="1"/>
    <col min="7423" max="7667" width="9.140625" style="11"/>
    <col min="7668" max="7668" width="26.5703125" style="11" customWidth="1"/>
    <col min="7669" max="7669" width="13.140625" style="11" customWidth="1"/>
    <col min="7670" max="7674" width="9.140625" style="11"/>
    <col min="7675" max="7675" width="10.85546875" style="11" customWidth="1"/>
    <col min="7676" max="7676" width="23" style="11" bestFit="1" customWidth="1"/>
    <col min="7677" max="7677" width="10.5703125" style="11" customWidth="1"/>
    <col min="7678" max="7678" width="10.85546875" style="11" customWidth="1"/>
    <col min="7679" max="7923" width="9.140625" style="11"/>
    <col min="7924" max="7924" width="26.5703125" style="11" customWidth="1"/>
    <col min="7925" max="7925" width="13.140625" style="11" customWidth="1"/>
    <col min="7926" max="7930" width="9.140625" style="11"/>
    <col min="7931" max="7931" width="10.85546875" style="11" customWidth="1"/>
    <col min="7932" max="7932" width="23" style="11" bestFit="1" customWidth="1"/>
    <col min="7933" max="7933" width="10.5703125" style="11" customWidth="1"/>
    <col min="7934" max="7934" width="10.85546875" style="11" customWidth="1"/>
    <col min="7935" max="8179" width="9.140625" style="11"/>
    <col min="8180" max="8180" width="26.5703125" style="11" customWidth="1"/>
    <col min="8181" max="8181" width="13.140625" style="11" customWidth="1"/>
    <col min="8182" max="8186" width="9.140625" style="11"/>
    <col min="8187" max="8187" width="10.85546875" style="11" customWidth="1"/>
    <col min="8188" max="8188" width="23" style="11" bestFit="1" customWidth="1"/>
    <col min="8189" max="8189" width="10.5703125" style="11" customWidth="1"/>
    <col min="8190" max="8190" width="10.85546875" style="11" customWidth="1"/>
    <col min="8191" max="8435" width="9.140625" style="11"/>
    <col min="8436" max="8436" width="26.5703125" style="11" customWidth="1"/>
    <col min="8437" max="8437" width="13.140625" style="11" customWidth="1"/>
    <col min="8438" max="8442" width="9.140625" style="11"/>
    <col min="8443" max="8443" width="10.85546875" style="11" customWidth="1"/>
    <col min="8444" max="8444" width="23" style="11" bestFit="1" customWidth="1"/>
    <col min="8445" max="8445" width="10.5703125" style="11" customWidth="1"/>
    <col min="8446" max="8446" width="10.85546875" style="11" customWidth="1"/>
    <col min="8447" max="8691" width="9.140625" style="11"/>
    <col min="8692" max="8692" width="26.5703125" style="11" customWidth="1"/>
    <col min="8693" max="8693" width="13.140625" style="11" customWidth="1"/>
    <col min="8694" max="8698" width="9.140625" style="11"/>
    <col min="8699" max="8699" width="10.85546875" style="11" customWidth="1"/>
    <col min="8700" max="8700" width="23" style="11" bestFit="1" customWidth="1"/>
    <col min="8701" max="8701" width="10.5703125" style="11" customWidth="1"/>
    <col min="8702" max="8702" width="10.85546875" style="11" customWidth="1"/>
    <col min="8703" max="8947" width="9.140625" style="11"/>
    <col min="8948" max="8948" width="26.5703125" style="11" customWidth="1"/>
    <col min="8949" max="8949" width="13.140625" style="11" customWidth="1"/>
    <col min="8950" max="8954" width="9.140625" style="11"/>
    <col min="8955" max="8955" width="10.85546875" style="11" customWidth="1"/>
    <col min="8956" max="8956" width="23" style="11" bestFit="1" customWidth="1"/>
    <col min="8957" max="8957" width="10.5703125" style="11" customWidth="1"/>
    <col min="8958" max="8958" width="10.85546875" style="11" customWidth="1"/>
    <col min="8959" max="9203" width="9.140625" style="11"/>
    <col min="9204" max="9204" width="26.5703125" style="11" customWidth="1"/>
    <col min="9205" max="9205" width="13.140625" style="11" customWidth="1"/>
    <col min="9206" max="9210" width="9.140625" style="11"/>
    <col min="9211" max="9211" width="10.85546875" style="11" customWidth="1"/>
    <col min="9212" max="9212" width="23" style="11" bestFit="1" customWidth="1"/>
    <col min="9213" max="9213" width="10.5703125" style="11" customWidth="1"/>
    <col min="9214" max="9214" width="10.85546875" style="11" customWidth="1"/>
    <col min="9215" max="9459" width="9.140625" style="11"/>
    <col min="9460" max="9460" width="26.5703125" style="11" customWidth="1"/>
    <col min="9461" max="9461" width="13.140625" style="11" customWidth="1"/>
    <col min="9462" max="9466" width="9.140625" style="11"/>
    <col min="9467" max="9467" width="10.85546875" style="11" customWidth="1"/>
    <col min="9468" max="9468" width="23" style="11" bestFit="1" customWidth="1"/>
    <col min="9469" max="9469" width="10.5703125" style="11" customWidth="1"/>
    <col min="9470" max="9470" width="10.85546875" style="11" customWidth="1"/>
    <col min="9471" max="9715" width="9.140625" style="11"/>
    <col min="9716" max="9716" width="26.5703125" style="11" customWidth="1"/>
    <col min="9717" max="9717" width="13.140625" style="11" customWidth="1"/>
    <col min="9718" max="9722" width="9.140625" style="11"/>
    <col min="9723" max="9723" width="10.85546875" style="11" customWidth="1"/>
    <col min="9724" max="9724" width="23" style="11" bestFit="1" customWidth="1"/>
    <col min="9725" max="9725" width="10.5703125" style="11" customWidth="1"/>
    <col min="9726" max="9726" width="10.85546875" style="11" customWidth="1"/>
    <col min="9727" max="9971" width="9.140625" style="11"/>
    <col min="9972" max="9972" width="26.5703125" style="11" customWidth="1"/>
    <col min="9973" max="9973" width="13.140625" style="11" customWidth="1"/>
    <col min="9974" max="9978" width="9.140625" style="11"/>
    <col min="9979" max="9979" width="10.85546875" style="11" customWidth="1"/>
    <col min="9980" max="9980" width="23" style="11" bestFit="1" customWidth="1"/>
    <col min="9981" max="9981" width="10.5703125" style="11" customWidth="1"/>
    <col min="9982" max="9982" width="10.85546875" style="11" customWidth="1"/>
    <col min="9983" max="10227" width="9.140625" style="11"/>
    <col min="10228" max="10228" width="26.5703125" style="11" customWidth="1"/>
    <col min="10229" max="10229" width="13.140625" style="11" customWidth="1"/>
    <col min="10230" max="10234" width="9.140625" style="11"/>
    <col min="10235" max="10235" width="10.85546875" style="11" customWidth="1"/>
    <col min="10236" max="10236" width="23" style="11" bestFit="1" customWidth="1"/>
    <col min="10237" max="10237" width="10.5703125" style="11" customWidth="1"/>
    <col min="10238" max="10238" width="10.85546875" style="11" customWidth="1"/>
    <col min="10239" max="10483" width="9.140625" style="11"/>
    <col min="10484" max="10484" width="26.5703125" style="11" customWidth="1"/>
    <col min="10485" max="10485" width="13.140625" style="11" customWidth="1"/>
    <col min="10486" max="10490" width="9.140625" style="11"/>
    <col min="10491" max="10491" width="10.85546875" style="11" customWidth="1"/>
    <col min="10492" max="10492" width="23" style="11" bestFit="1" customWidth="1"/>
    <col min="10493" max="10493" width="10.5703125" style="11" customWidth="1"/>
    <col min="10494" max="10494" width="10.85546875" style="11" customWidth="1"/>
    <col min="10495" max="10739" width="9.140625" style="11"/>
    <col min="10740" max="10740" width="26.5703125" style="11" customWidth="1"/>
    <col min="10741" max="10741" width="13.140625" style="11" customWidth="1"/>
    <col min="10742" max="10746" width="9.140625" style="11"/>
    <col min="10747" max="10747" width="10.85546875" style="11" customWidth="1"/>
    <col min="10748" max="10748" width="23" style="11" bestFit="1" customWidth="1"/>
    <col min="10749" max="10749" width="10.5703125" style="11" customWidth="1"/>
    <col min="10750" max="10750" width="10.85546875" style="11" customWidth="1"/>
    <col min="10751" max="10995" width="9.140625" style="11"/>
    <col min="10996" max="10996" width="26.5703125" style="11" customWidth="1"/>
    <col min="10997" max="10997" width="13.140625" style="11" customWidth="1"/>
    <col min="10998" max="11002" width="9.140625" style="11"/>
    <col min="11003" max="11003" width="10.85546875" style="11" customWidth="1"/>
    <col min="11004" max="11004" width="23" style="11" bestFit="1" customWidth="1"/>
    <col min="11005" max="11005" width="10.5703125" style="11" customWidth="1"/>
    <col min="11006" max="11006" width="10.85546875" style="11" customWidth="1"/>
    <col min="11007" max="11251" width="9.140625" style="11"/>
    <col min="11252" max="11252" width="26.5703125" style="11" customWidth="1"/>
    <col min="11253" max="11253" width="13.140625" style="11" customWidth="1"/>
    <col min="11254" max="11258" width="9.140625" style="11"/>
    <col min="11259" max="11259" width="10.85546875" style="11" customWidth="1"/>
    <col min="11260" max="11260" width="23" style="11" bestFit="1" customWidth="1"/>
    <col min="11261" max="11261" width="10.5703125" style="11" customWidth="1"/>
    <col min="11262" max="11262" width="10.85546875" style="11" customWidth="1"/>
    <col min="11263" max="11507" width="9.140625" style="11"/>
    <col min="11508" max="11508" width="26.5703125" style="11" customWidth="1"/>
    <col min="11509" max="11509" width="13.140625" style="11" customWidth="1"/>
    <col min="11510" max="11514" width="9.140625" style="11"/>
    <col min="11515" max="11515" width="10.85546875" style="11" customWidth="1"/>
    <col min="11516" max="11516" width="23" style="11" bestFit="1" customWidth="1"/>
    <col min="11517" max="11517" width="10.5703125" style="11" customWidth="1"/>
    <col min="11518" max="11518" width="10.85546875" style="11" customWidth="1"/>
    <col min="11519" max="11763" width="9.140625" style="11"/>
    <col min="11764" max="11764" width="26.5703125" style="11" customWidth="1"/>
    <col min="11765" max="11765" width="13.140625" style="11" customWidth="1"/>
    <col min="11766" max="11770" width="9.140625" style="11"/>
    <col min="11771" max="11771" width="10.85546875" style="11" customWidth="1"/>
    <col min="11772" max="11772" width="23" style="11" bestFit="1" customWidth="1"/>
    <col min="11773" max="11773" width="10.5703125" style="11" customWidth="1"/>
    <col min="11774" max="11774" width="10.85546875" style="11" customWidth="1"/>
    <col min="11775" max="12019" width="9.140625" style="11"/>
    <col min="12020" max="12020" width="26.5703125" style="11" customWidth="1"/>
    <col min="12021" max="12021" width="13.140625" style="11" customWidth="1"/>
    <col min="12022" max="12026" width="9.140625" style="11"/>
    <col min="12027" max="12027" width="10.85546875" style="11" customWidth="1"/>
    <col min="12028" max="12028" width="23" style="11" bestFit="1" customWidth="1"/>
    <col min="12029" max="12029" width="10.5703125" style="11" customWidth="1"/>
    <col min="12030" max="12030" width="10.85546875" style="11" customWidth="1"/>
    <col min="12031" max="12275" width="9.140625" style="11"/>
    <col min="12276" max="12276" width="26.5703125" style="11" customWidth="1"/>
    <col min="12277" max="12277" width="13.140625" style="11" customWidth="1"/>
    <col min="12278" max="12282" width="9.140625" style="11"/>
    <col min="12283" max="12283" width="10.85546875" style="11" customWidth="1"/>
    <col min="12284" max="12284" width="23" style="11" bestFit="1" customWidth="1"/>
    <col min="12285" max="12285" width="10.5703125" style="11" customWidth="1"/>
    <col min="12286" max="12286" width="10.85546875" style="11" customWidth="1"/>
    <col min="12287" max="12531" width="9.140625" style="11"/>
    <col min="12532" max="12532" width="26.5703125" style="11" customWidth="1"/>
    <col min="12533" max="12533" width="13.140625" style="11" customWidth="1"/>
    <col min="12534" max="12538" width="9.140625" style="11"/>
    <col min="12539" max="12539" width="10.85546875" style="11" customWidth="1"/>
    <col min="12540" max="12540" width="23" style="11" bestFit="1" customWidth="1"/>
    <col min="12541" max="12541" width="10.5703125" style="11" customWidth="1"/>
    <col min="12542" max="12542" width="10.85546875" style="11" customWidth="1"/>
    <col min="12543" max="12787" width="9.140625" style="11"/>
    <col min="12788" max="12788" width="26.5703125" style="11" customWidth="1"/>
    <col min="12789" max="12789" width="13.140625" style="11" customWidth="1"/>
    <col min="12790" max="12794" width="9.140625" style="11"/>
    <col min="12795" max="12795" width="10.85546875" style="11" customWidth="1"/>
    <col min="12796" max="12796" width="23" style="11" bestFit="1" customWidth="1"/>
    <col min="12797" max="12797" width="10.5703125" style="11" customWidth="1"/>
    <col min="12798" max="12798" width="10.85546875" style="11" customWidth="1"/>
    <col min="12799" max="13043" width="9.140625" style="11"/>
    <col min="13044" max="13044" width="26.5703125" style="11" customWidth="1"/>
    <col min="13045" max="13045" width="13.140625" style="11" customWidth="1"/>
    <col min="13046" max="13050" width="9.140625" style="11"/>
    <col min="13051" max="13051" width="10.85546875" style="11" customWidth="1"/>
    <col min="13052" max="13052" width="23" style="11" bestFit="1" customWidth="1"/>
    <col min="13053" max="13053" width="10.5703125" style="11" customWidth="1"/>
    <col min="13054" max="13054" width="10.85546875" style="11" customWidth="1"/>
    <col min="13055" max="13299" width="9.140625" style="11"/>
    <col min="13300" max="13300" width="26.5703125" style="11" customWidth="1"/>
    <col min="13301" max="13301" width="13.140625" style="11" customWidth="1"/>
    <col min="13302" max="13306" width="9.140625" style="11"/>
    <col min="13307" max="13307" width="10.85546875" style="11" customWidth="1"/>
    <col min="13308" max="13308" width="23" style="11" bestFit="1" customWidth="1"/>
    <col min="13309" max="13309" width="10.5703125" style="11" customWidth="1"/>
    <col min="13310" max="13310" width="10.85546875" style="11" customWidth="1"/>
    <col min="13311" max="13555" width="9.140625" style="11"/>
    <col min="13556" max="13556" width="26.5703125" style="11" customWidth="1"/>
    <col min="13557" max="13557" width="13.140625" style="11" customWidth="1"/>
    <col min="13558" max="13562" width="9.140625" style="11"/>
    <col min="13563" max="13563" width="10.85546875" style="11" customWidth="1"/>
    <col min="13564" max="13564" width="23" style="11" bestFit="1" customWidth="1"/>
    <col min="13565" max="13565" width="10.5703125" style="11" customWidth="1"/>
    <col min="13566" max="13566" width="10.85546875" style="11" customWidth="1"/>
    <col min="13567" max="13811" width="9.140625" style="11"/>
    <col min="13812" max="13812" width="26.5703125" style="11" customWidth="1"/>
    <col min="13813" max="13813" width="13.140625" style="11" customWidth="1"/>
    <col min="13814" max="13818" width="9.140625" style="11"/>
    <col min="13819" max="13819" width="10.85546875" style="11" customWidth="1"/>
    <col min="13820" max="13820" width="23" style="11" bestFit="1" customWidth="1"/>
    <col min="13821" max="13821" width="10.5703125" style="11" customWidth="1"/>
    <col min="13822" max="13822" width="10.85546875" style="11" customWidth="1"/>
    <col min="13823" max="14067" width="9.140625" style="11"/>
    <col min="14068" max="14068" width="26.5703125" style="11" customWidth="1"/>
    <col min="14069" max="14069" width="13.140625" style="11" customWidth="1"/>
    <col min="14070" max="14074" width="9.140625" style="11"/>
    <col min="14075" max="14075" width="10.85546875" style="11" customWidth="1"/>
    <col min="14076" max="14076" width="23" style="11" bestFit="1" customWidth="1"/>
    <col min="14077" max="14077" width="10.5703125" style="11" customWidth="1"/>
    <col min="14078" max="14078" width="10.85546875" style="11" customWidth="1"/>
    <col min="14079" max="14323" width="9.140625" style="11"/>
    <col min="14324" max="14324" width="26.5703125" style="11" customWidth="1"/>
    <col min="14325" max="14325" width="13.140625" style="11" customWidth="1"/>
    <col min="14326" max="14330" width="9.140625" style="11"/>
    <col min="14331" max="14331" width="10.85546875" style="11" customWidth="1"/>
    <col min="14332" max="14332" width="23" style="11" bestFit="1" customWidth="1"/>
    <col min="14333" max="14333" width="10.5703125" style="11" customWidth="1"/>
    <col min="14334" max="14334" width="10.85546875" style="11" customWidth="1"/>
    <col min="14335" max="14579" width="9.140625" style="11"/>
    <col min="14580" max="14580" width="26.5703125" style="11" customWidth="1"/>
    <col min="14581" max="14581" width="13.140625" style="11" customWidth="1"/>
    <col min="14582" max="14586" width="9.140625" style="11"/>
    <col min="14587" max="14587" width="10.85546875" style="11" customWidth="1"/>
    <col min="14588" max="14588" width="23" style="11" bestFit="1" customWidth="1"/>
    <col min="14589" max="14589" width="10.5703125" style="11" customWidth="1"/>
    <col min="14590" max="14590" width="10.85546875" style="11" customWidth="1"/>
    <col min="14591" max="14835" width="9.140625" style="11"/>
    <col min="14836" max="14836" width="26.5703125" style="11" customWidth="1"/>
    <col min="14837" max="14837" width="13.140625" style="11" customWidth="1"/>
    <col min="14838" max="14842" width="9.140625" style="11"/>
    <col min="14843" max="14843" width="10.85546875" style="11" customWidth="1"/>
    <col min="14844" max="14844" width="23" style="11" bestFit="1" customWidth="1"/>
    <col min="14845" max="14845" width="10.5703125" style="11" customWidth="1"/>
    <col min="14846" max="14846" width="10.85546875" style="11" customWidth="1"/>
    <col min="14847" max="15091" width="9.140625" style="11"/>
    <col min="15092" max="15092" width="26.5703125" style="11" customWidth="1"/>
    <col min="15093" max="15093" width="13.140625" style="11" customWidth="1"/>
    <col min="15094" max="15098" width="9.140625" style="11"/>
    <col min="15099" max="15099" width="10.85546875" style="11" customWidth="1"/>
    <col min="15100" max="15100" width="23" style="11" bestFit="1" customWidth="1"/>
    <col min="15101" max="15101" width="10.5703125" style="11" customWidth="1"/>
    <col min="15102" max="15102" width="10.85546875" style="11" customWidth="1"/>
    <col min="15103" max="15347" width="9.140625" style="11"/>
    <col min="15348" max="15348" width="26.5703125" style="11" customWidth="1"/>
    <col min="15349" max="15349" width="13.140625" style="11" customWidth="1"/>
    <col min="15350" max="15354" width="9.140625" style="11"/>
    <col min="15355" max="15355" width="10.85546875" style="11" customWidth="1"/>
    <col min="15356" max="15356" width="23" style="11" bestFit="1" customWidth="1"/>
    <col min="15357" max="15357" width="10.5703125" style="11" customWidth="1"/>
    <col min="15358" max="15358" width="10.85546875" style="11" customWidth="1"/>
    <col min="15359" max="15603" width="9.140625" style="11"/>
    <col min="15604" max="15604" width="26.5703125" style="11" customWidth="1"/>
    <col min="15605" max="15605" width="13.140625" style="11" customWidth="1"/>
    <col min="15606" max="15610" width="9.140625" style="11"/>
    <col min="15611" max="15611" width="10.85546875" style="11" customWidth="1"/>
    <col min="15612" max="15612" width="23" style="11" bestFit="1" customWidth="1"/>
    <col min="15613" max="15613" width="10.5703125" style="11" customWidth="1"/>
    <col min="15614" max="15614" width="10.85546875" style="11" customWidth="1"/>
    <col min="15615" max="15859" width="9.140625" style="11"/>
    <col min="15860" max="15860" width="26.5703125" style="11" customWidth="1"/>
    <col min="15861" max="15861" width="13.140625" style="11" customWidth="1"/>
    <col min="15862" max="15866" width="9.140625" style="11"/>
    <col min="15867" max="15867" width="10.85546875" style="11" customWidth="1"/>
    <col min="15868" max="15868" width="23" style="11" bestFit="1" customWidth="1"/>
    <col min="15869" max="15869" width="10.5703125" style="11" customWidth="1"/>
    <col min="15870" max="15870" width="10.85546875" style="11" customWidth="1"/>
    <col min="15871" max="16115" width="9.140625" style="11"/>
    <col min="16116" max="16116" width="26.5703125" style="11" customWidth="1"/>
    <col min="16117" max="16117" width="13.140625" style="11" customWidth="1"/>
    <col min="16118" max="16122" width="9.140625" style="11"/>
    <col min="16123" max="16123" width="10.85546875" style="11" customWidth="1"/>
    <col min="16124" max="16124" width="23" style="11" bestFit="1" customWidth="1"/>
    <col min="16125" max="16125" width="10.5703125" style="11" customWidth="1"/>
    <col min="16126" max="16126" width="10.85546875" style="11" customWidth="1"/>
    <col min="16127" max="16384" width="9.140625" style="11"/>
  </cols>
  <sheetData>
    <row r="1" spans="1:9">
      <c r="A1" s="10" t="s">
        <v>44</v>
      </c>
    </row>
    <row r="3" spans="1:9">
      <c r="A3" s="10" t="s">
        <v>45</v>
      </c>
      <c r="E3" s="12"/>
    </row>
    <row r="4" spans="1:9">
      <c r="A4" s="11" t="s">
        <v>46</v>
      </c>
      <c r="B4" s="13">
        <v>5000</v>
      </c>
    </row>
    <row r="5" spans="1:9">
      <c r="A5" s="11" t="s">
        <v>47</v>
      </c>
      <c r="B5" s="14">
        <v>0.05</v>
      </c>
    </row>
    <row r="7" spans="1:9">
      <c r="A7" s="11" t="s">
        <v>48</v>
      </c>
      <c r="B7" s="15">
        <v>1</v>
      </c>
      <c r="C7" s="15">
        <v>2</v>
      </c>
      <c r="D7" s="15">
        <v>3</v>
      </c>
      <c r="E7" s="15">
        <v>4</v>
      </c>
      <c r="F7" s="15">
        <v>5</v>
      </c>
      <c r="G7" s="15">
        <v>6</v>
      </c>
      <c r="H7" s="16"/>
    </row>
    <row r="8" spans="1:9">
      <c r="A8" s="17" t="s">
        <v>49</v>
      </c>
      <c r="B8" s="18">
        <v>12.5</v>
      </c>
      <c r="C8" s="18">
        <v>12.55</v>
      </c>
      <c r="D8" s="18">
        <v>12.7</v>
      </c>
      <c r="E8" s="18">
        <v>12.8</v>
      </c>
      <c r="F8" s="18">
        <v>12.85</v>
      </c>
      <c r="G8" s="18">
        <v>12.95</v>
      </c>
    </row>
    <row r="9" spans="1:9">
      <c r="A9" s="17" t="s">
        <v>573</v>
      </c>
      <c r="B9" s="19">
        <f>B8*0.05</f>
        <v>0.625</v>
      </c>
      <c r="C9" s="19">
        <f t="shared" ref="C9:G9" si="0">C8*0.05</f>
        <v>0.62750000000000006</v>
      </c>
      <c r="D9" s="19">
        <f t="shared" si="0"/>
        <v>0.63500000000000001</v>
      </c>
      <c r="E9" s="19">
        <f t="shared" si="0"/>
        <v>0.64000000000000012</v>
      </c>
      <c r="F9" s="19">
        <f t="shared" si="0"/>
        <v>0.64250000000000007</v>
      </c>
      <c r="G9" s="19">
        <f t="shared" si="0"/>
        <v>0.64749999999999996</v>
      </c>
    </row>
    <row r="10" spans="1:9">
      <c r="A10" s="20" t="s">
        <v>50</v>
      </c>
    </row>
    <row r="11" spans="1:9">
      <c r="A11" s="11" t="s">
        <v>48</v>
      </c>
      <c r="B11" s="15">
        <v>1</v>
      </c>
      <c r="C11" s="15">
        <v>2</v>
      </c>
      <c r="D11" s="15">
        <v>3</v>
      </c>
      <c r="E11" s="15">
        <v>4</v>
      </c>
      <c r="F11" s="15">
        <v>5</v>
      </c>
      <c r="G11" s="15">
        <v>6</v>
      </c>
    </row>
    <row r="12" spans="1:9">
      <c r="A12" s="11" t="s">
        <v>51</v>
      </c>
      <c r="B12" s="47">
        <v>5000</v>
      </c>
      <c r="C12" s="47">
        <v>20000</v>
      </c>
      <c r="D12" s="47">
        <v>30000</v>
      </c>
      <c r="E12" s="47">
        <v>30000</v>
      </c>
      <c r="F12" s="47">
        <v>25000</v>
      </c>
      <c r="G12" s="47">
        <v>10000</v>
      </c>
    </row>
    <row r="13" spans="1:9">
      <c r="B13" s="21" t="s">
        <v>278</v>
      </c>
      <c r="C13" s="21" t="s">
        <v>278</v>
      </c>
      <c r="D13" s="21" t="s">
        <v>278</v>
      </c>
      <c r="E13" s="21" t="s">
        <v>278</v>
      </c>
      <c r="F13" s="21" t="s">
        <v>278</v>
      </c>
      <c r="G13" s="21" t="s">
        <v>278</v>
      </c>
    </row>
    <row r="14" spans="1:9">
      <c r="A14" s="11" t="s">
        <v>52</v>
      </c>
      <c r="B14" s="13">
        <v>30000</v>
      </c>
      <c r="C14" s="13">
        <v>30000</v>
      </c>
      <c r="D14" s="13">
        <v>30000</v>
      </c>
      <c r="E14" s="13">
        <v>30000</v>
      </c>
      <c r="F14" s="13">
        <v>30000</v>
      </c>
      <c r="G14" s="13">
        <v>30000</v>
      </c>
      <c r="I14" s="11" t="s">
        <v>577</v>
      </c>
    </row>
    <row r="16" spans="1:9">
      <c r="A16" s="22" t="s">
        <v>53</v>
      </c>
    </row>
    <row r="17" spans="1:9">
      <c r="B17" s="23"/>
      <c r="C17" s="23"/>
      <c r="D17" s="23"/>
      <c r="E17" s="23"/>
      <c r="F17" s="23"/>
      <c r="G17" s="23"/>
    </row>
    <row r="18" spans="1:9">
      <c r="A18" s="11" t="s">
        <v>54</v>
      </c>
      <c r="B18" s="13">
        <v>10000</v>
      </c>
      <c r="C18" s="13">
        <v>15000</v>
      </c>
      <c r="D18" s="13">
        <v>30000</v>
      </c>
      <c r="E18" s="13">
        <v>35000</v>
      </c>
      <c r="F18" s="13">
        <v>25000</v>
      </c>
      <c r="G18" s="13">
        <v>10000</v>
      </c>
      <c r="H18" s="11">
        <f>SUM(B18:G18)</f>
        <v>125000</v>
      </c>
    </row>
    <row r="19" spans="1:9">
      <c r="B19" s="21"/>
      <c r="C19" s="21"/>
      <c r="D19" s="21"/>
      <c r="E19" s="21"/>
      <c r="F19" s="21"/>
      <c r="G19" s="21"/>
    </row>
    <row r="20" spans="1:9">
      <c r="A20" s="11" t="s">
        <v>55</v>
      </c>
      <c r="B20" s="24">
        <f>$B$4 + B12- B18</f>
        <v>0</v>
      </c>
      <c r="C20" s="24">
        <f>B20 + C12- C18</f>
        <v>5000</v>
      </c>
      <c r="D20" s="24">
        <f t="shared" ref="D20:F20" si="1">C20 + D12- D18</f>
        <v>5000</v>
      </c>
      <c r="E20" s="24">
        <f t="shared" si="1"/>
        <v>0</v>
      </c>
      <c r="F20" s="24">
        <f t="shared" si="1"/>
        <v>0</v>
      </c>
      <c r="G20" s="24">
        <f>F20 + G12- G18</f>
        <v>0</v>
      </c>
      <c r="H20" s="23" t="s">
        <v>572</v>
      </c>
      <c r="I20" s="11" t="s">
        <v>575</v>
      </c>
    </row>
    <row r="21" spans="1:9">
      <c r="B21" s="23" t="s">
        <v>278</v>
      </c>
      <c r="C21" s="23" t="s">
        <v>278</v>
      </c>
      <c r="D21" s="23" t="s">
        <v>278</v>
      </c>
      <c r="E21" s="23" t="s">
        <v>278</v>
      </c>
      <c r="F21" s="23" t="s">
        <v>278</v>
      </c>
      <c r="G21" s="23" t="s">
        <v>278</v>
      </c>
    </row>
    <row r="22" spans="1:9">
      <c r="A22" s="11" t="s">
        <v>56</v>
      </c>
      <c r="B22" s="13">
        <v>10000</v>
      </c>
      <c r="C22" s="13">
        <v>10000</v>
      </c>
      <c r="D22" s="13">
        <v>10000</v>
      </c>
      <c r="E22" s="13">
        <v>10000</v>
      </c>
      <c r="F22" s="13">
        <v>10000</v>
      </c>
      <c r="G22" s="13">
        <v>10000</v>
      </c>
      <c r="I22" s="11" t="s">
        <v>576</v>
      </c>
    </row>
    <row r="23" spans="1:9">
      <c r="A23" s="20"/>
    </row>
    <row r="24" spans="1:9">
      <c r="A24" s="25" t="s">
        <v>57</v>
      </c>
      <c r="B24" s="19"/>
    </row>
    <row r="25" spans="1:9">
      <c r="A25" s="11" t="s">
        <v>48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23" t="s">
        <v>41</v>
      </c>
    </row>
    <row r="26" spans="1:9">
      <c r="A26" s="11" t="s">
        <v>148</v>
      </c>
      <c r="H26" s="105">
        <f>SUMPRODUCT(B9:G9, B20:G20)</f>
        <v>6312.5</v>
      </c>
    </row>
    <row r="27" spans="1:9">
      <c r="A27" s="11" t="s">
        <v>574</v>
      </c>
      <c r="H27" s="105">
        <f>SUMPRODUCT(B8:G8,B12:G12)</f>
        <v>1529250</v>
      </c>
    </row>
    <row r="28" spans="1:9">
      <c r="H28" s="106">
        <f>SUM(H26:H27)</f>
        <v>1535562.5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K24"/>
  <sheetViews>
    <sheetView topLeftCell="A4" workbookViewId="0">
      <selection activeCell="I22" sqref="I22"/>
    </sheetView>
  </sheetViews>
  <sheetFormatPr defaultRowHeight="15"/>
  <cols>
    <col min="1" max="1" width="1.42578125" customWidth="1"/>
    <col min="2" max="2" width="7.42578125" bestFit="1" customWidth="1"/>
    <col min="3" max="3" width="7.140625" bestFit="1" customWidth="1"/>
    <col min="4" max="4" width="5.5703125" bestFit="1" customWidth="1"/>
    <col min="5" max="5" width="9.5703125" bestFit="1" customWidth="1"/>
    <col min="6" max="6" width="11" bestFit="1" customWidth="1"/>
    <col min="7" max="7" width="9.5703125" bestFit="1" customWidth="1"/>
    <col min="8" max="8" width="17.140625" customWidth="1"/>
    <col min="9" max="9" width="11" bestFit="1" customWidth="1"/>
    <col min="10" max="10" width="9.5703125" bestFit="1" customWidth="1"/>
    <col min="11" max="11" width="9.140625" bestFit="1" customWidth="1"/>
  </cols>
  <sheetData>
    <row r="3" spans="2:11">
      <c r="G3" t="s">
        <v>327</v>
      </c>
      <c r="H3" t="s">
        <v>329</v>
      </c>
    </row>
    <row r="4" spans="2:11">
      <c r="C4" t="s">
        <v>326</v>
      </c>
      <c r="E4" t="s">
        <v>294</v>
      </c>
      <c r="G4" t="s">
        <v>326</v>
      </c>
      <c r="H4" t="s">
        <v>330</v>
      </c>
      <c r="I4" t="s">
        <v>332</v>
      </c>
      <c r="J4" t="s">
        <v>333</v>
      </c>
      <c r="K4" t="s">
        <v>334</v>
      </c>
    </row>
    <row r="5" spans="2:11">
      <c r="B5" t="s">
        <v>309</v>
      </c>
      <c r="C5" t="s">
        <v>310</v>
      </c>
      <c r="D5" t="s">
        <v>311</v>
      </c>
      <c r="E5" t="s">
        <v>310</v>
      </c>
      <c r="F5" t="s">
        <v>311</v>
      </c>
      <c r="G5" t="s">
        <v>328</v>
      </c>
      <c r="H5" t="s">
        <v>331</v>
      </c>
      <c r="I5" t="s">
        <v>326</v>
      </c>
      <c r="J5" t="s">
        <v>328</v>
      </c>
      <c r="K5" t="s">
        <v>326</v>
      </c>
    </row>
    <row r="6" spans="2:11">
      <c r="B6" t="s">
        <v>312</v>
      </c>
      <c r="C6" s="75">
        <v>2</v>
      </c>
      <c r="D6" s="75">
        <v>1</v>
      </c>
      <c r="E6" s="76">
        <v>180000</v>
      </c>
      <c r="F6" s="76">
        <v>280000</v>
      </c>
      <c r="G6">
        <f>C6-D6</f>
        <v>1</v>
      </c>
      <c r="H6" s="74">
        <f>(F6-E6)/G6</f>
        <v>100000</v>
      </c>
      <c r="I6" s="52">
        <v>0</v>
      </c>
      <c r="J6" s="52">
        <v>0</v>
      </c>
      <c r="K6">
        <f>I6+C6-J6</f>
        <v>2</v>
      </c>
    </row>
    <row r="7" spans="2:11">
      <c r="B7" t="s">
        <v>313</v>
      </c>
      <c r="C7" s="75">
        <v>4</v>
      </c>
      <c r="D7" s="75">
        <v>2</v>
      </c>
      <c r="E7" s="76">
        <v>320000</v>
      </c>
      <c r="F7" s="76">
        <v>420000</v>
      </c>
      <c r="G7">
        <f t="shared" ref="G7:G19" si="0">C7-D7</f>
        <v>2</v>
      </c>
      <c r="H7" s="74">
        <f t="shared" ref="H7:H19" si="1">(F7-E7)/G7</f>
        <v>50000</v>
      </c>
      <c r="I7" s="52">
        <v>2</v>
      </c>
      <c r="J7" s="52">
        <v>0</v>
      </c>
      <c r="K7">
        <f t="shared" ref="K7:K19" si="2">I7+C7-J7</f>
        <v>6</v>
      </c>
    </row>
    <row r="8" spans="2:11">
      <c r="B8" t="s">
        <v>314</v>
      </c>
      <c r="C8" s="75">
        <v>10</v>
      </c>
      <c r="D8" s="75">
        <v>7</v>
      </c>
      <c r="E8" s="76">
        <v>620000</v>
      </c>
      <c r="F8" s="76">
        <v>860000</v>
      </c>
      <c r="G8">
        <f t="shared" si="0"/>
        <v>3</v>
      </c>
      <c r="H8" s="74">
        <f t="shared" si="1"/>
        <v>80000</v>
      </c>
      <c r="I8" s="52">
        <v>6</v>
      </c>
      <c r="J8" s="52">
        <v>0</v>
      </c>
      <c r="K8">
        <f t="shared" si="2"/>
        <v>16</v>
      </c>
    </row>
    <row r="9" spans="2:11">
      <c r="B9" t="s">
        <v>315</v>
      </c>
      <c r="C9" s="75">
        <v>6</v>
      </c>
      <c r="D9" s="75">
        <v>4</v>
      </c>
      <c r="E9" s="76">
        <v>260000</v>
      </c>
      <c r="F9" s="76">
        <v>340000</v>
      </c>
      <c r="G9">
        <f t="shared" si="0"/>
        <v>2</v>
      </c>
      <c r="H9" s="74">
        <f t="shared" si="1"/>
        <v>40000</v>
      </c>
      <c r="I9" s="52">
        <v>16</v>
      </c>
      <c r="J9" s="52">
        <v>0</v>
      </c>
      <c r="K9">
        <f t="shared" si="2"/>
        <v>22</v>
      </c>
    </row>
    <row r="10" spans="2:11">
      <c r="B10" t="s">
        <v>316</v>
      </c>
      <c r="C10" s="75">
        <v>4</v>
      </c>
      <c r="D10" s="75">
        <v>3</v>
      </c>
      <c r="E10" s="76">
        <v>410000</v>
      </c>
      <c r="F10" s="76">
        <v>570000</v>
      </c>
      <c r="G10">
        <f t="shared" si="0"/>
        <v>1</v>
      </c>
      <c r="H10" s="74">
        <f t="shared" si="1"/>
        <v>160000</v>
      </c>
      <c r="I10" s="52">
        <v>16</v>
      </c>
      <c r="J10" s="52">
        <v>0</v>
      </c>
      <c r="K10">
        <f t="shared" si="2"/>
        <v>20</v>
      </c>
    </row>
    <row r="11" spans="2:11">
      <c r="B11" t="s">
        <v>317</v>
      </c>
      <c r="C11" s="75">
        <v>5</v>
      </c>
      <c r="D11" s="75">
        <v>3</v>
      </c>
      <c r="E11" s="76">
        <v>180000</v>
      </c>
      <c r="F11" s="76">
        <v>260000</v>
      </c>
      <c r="G11">
        <f t="shared" si="0"/>
        <v>2</v>
      </c>
      <c r="H11" s="74">
        <f t="shared" si="1"/>
        <v>40000</v>
      </c>
      <c r="I11" s="52">
        <v>20</v>
      </c>
      <c r="J11" s="52">
        <v>2</v>
      </c>
      <c r="K11">
        <f t="shared" si="2"/>
        <v>23</v>
      </c>
    </row>
    <row r="12" spans="2:11">
      <c r="B12" t="s">
        <v>318</v>
      </c>
      <c r="C12" s="75">
        <v>7</v>
      </c>
      <c r="D12" s="75">
        <v>4</v>
      </c>
      <c r="E12" s="76">
        <v>900000</v>
      </c>
      <c r="F12" s="76">
        <v>1020000</v>
      </c>
      <c r="G12">
        <f t="shared" si="0"/>
        <v>3</v>
      </c>
      <c r="H12" s="74">
        <f t="shared" si="1"/>
        <v>40000</v>
      </c>
      <c r="I12" s="52">
        <v>22</v>
      </c>
      <c r="J12" s="52">
        <v>0</v>
      </c>
      <c r="K12">
        <f t="shared" si="2"/>
        <v>29</v>
      </c>
    </row>
    <row r="13" spans="2:11">
      <c r="B13" t="s">
        <v>319</v>
      </c>
      <c r="C13" s="75">
        <v>9</v>
      </c>
      <c r="D13" s="75">
        <v>6</v>
      </c>
      <c r="E13" s="76">
        <v>200000</v>
      </c>
      <c r="F13" s="76">
        <v>380000</v>
      </c>
      <c r="G13">
        <f t="shared" si="0"/>
        <v>3</v>
      </c>
      <c r="H13" s="74">
        <f t="shared" si="1"/>
        <v>60000</v>
      </c>
      <c r="I13" s="52">
        <v>29</v>
      </c>
      <c r="J13" s="52">
        <v>0</v>
      </c>
      <c r="K13">
        <f t="shared" si="2"/>
        <v>38</v>
      </c>
    </row>
    <row r="14" spans="2:11">
      <c r="B14" t="s">
        <v>320</v>
      </c>
      <c r="C14" s="75">
        <v>7</v>
      </c>
      <c r="D14" s="75">
        <v>5</v>
      </c>
      <c r="E14" s="76">
        <v>210000</v>
      </c>
      <c r="F14" s="76">
        <v>270000</v>
      </c>
      <c r="G14">
        <f t="shared" si="0"/>
        <v>2</v>
      </c>
      <c r="H14" s="74">
        <f t="shared" si="1"/>
        <v>30000</v>
      </c>
      <c r="I14" s="52">
        <v>16</v>
      </c>
      <c r="J14" s="52">
        <v>0</v>
      </c>
      <c r="K14">
        <f t="shared" si="2"/>
        <v>23</v>
      </c>
    </row>
    <row r="15" spans="2:11">
      <c r="B15" t="s">
        <v>321</v>
      </c>
      <c r="C15" s="75">
        <v>8</v>
      </c>
      <c r="D15" s="75">
        <v>6</v>
      </c>
      <c r="E15" s="76">
        <v>430000</v>
      </c>
      <c r="F15" s="76">
        <v>490000</v>
      </c>
      <c r="G15">
        <f t="shared" si="0"/>
        <v>2</v>
      </c>
      <c r="H15" s="74">
        <f t="shared" si="1"/>
        <v>30000</v>
      </c>
      <c r="I15" s="52">
        <v>23</v>
      </c>
      <c r="J15" s="52">
        <v>2</v>
      </c>
      <c r="K15">
        <f t="shared" si="2"/>
        <v>29</v>
      </c>
    </row>
    <row r="16" spans="2:11">
      <c r="B16" t="s">
        <v>322</v>
      </c>
      <c r="C16" s="75">
        <v>4</v>
      </c>
      <c r="D16" s="75">
        <v>3</v>
      </c>
      <c r="E16" s="76">
        <v>160000</v>
      </c>
      <c r="F16" s="76">
        <v>200000</v>
      </c>
      <c r="G16">
        <f t="shared" si="0"/>
        <v>1</v>
      </c>
      <c r="H16" s="74">
        <f t="shared" si="1"/>
        <v>40000</v>
      </c>
      <c r="I16" s="52">
        <v>30</v>
      </c>
      <c r="J16" s="52">
        <v>0</v>
      </c>
      <c r="K16">
        <f t="shared" si="2"/>
        <v>34</v>
      </c>
    </row>
    <row r="17" spans="2:11">
      <c r="B17" t="s">
        <v>323</v>
      </c>
      <c r="C17" s="75">
        <v>5</v>
      </c>
      <c r="D17" s="75">
        <v>3</v>
      </c>
      <c r="E17" s="76">
        <v>250000</v>
      </c>
      <c r="F17" s="76">
        <v>350000</v>
      </c>
      <c r="G17">
        <f t="shared" si="0"/>
        <v>2</v>
      </c>
      <c r="H17" s="74">
        <f t="shared" si="1"/>
        <v>50000</v>
      </c>
      <c r="I17" s="52">
        <v>29</v>
      </c>
      <c r="J17" s="52">
        <v>0</v>
      </c>
      <c r="K17">
        <f t="shared" si="2"/>
        <v>34</v>
      </c>
    </row>
    <row r="18" spans="2:11">
      <c r="B18" t="s">
        <v>324</v>
      </c>
      <c r="C18" s="75">
        <v>2</v>
      </c>
      <c r="D18" s="75">
        <v>1</v>
      </c>
      <c r="E18" s="76">
        <v>100000</v>
      </c>
      <c r="F18" s="76">
        <v>200000</v>
      </c>
      <c r="G18">
        <f t="shared" si="0"/>
        <v>1</v>
      </c>
      <c r="H18" s="74">
        <f t="shared" si="1"/>
        <v>100000</v>
      </c>
      <c r="I18" s="52">
        <v>38</v>
      </c>
      <c r="J18" s="52">
        <v>0</v>
      </c>
      <c r="K18">
        <f t="shared" si="2"/>
        <v>40</v>
      </c>
    </row>
    <row r="19" spans="2:11">
      <c r="B19" t="s">
        <v>325</v>
      </c>
      <c r="C19" s="75">
        <v>6</v>
      </c>
      <c r="D19" s="75">
        <v>3</v>
      </c>
      <c r="E19" s="76">
        <v>330000</v>
      </c>
      <c r="F19" s="76">
        <v>510000</v>
      </c>
      <c r="G19">
        <f t="shared" si="0"/>
        <v>3</v>
      </c>
      <c r="H19" s="74">
        <f t="shared" si="1"/>
        <v>60000</v>
      </c>
      <c r="I19" s="52">
        <v>34</v>
      </c>
      <c r="J19" s="52">
        <v>0</v>
      </c>
      <c r="K19">
        <f t="shared" si="2"/>
        <v>40</v>
      </c>
    </row>
    <row r="21" spans="2:11">
      <c r="K21" t="s">
        <v>336</v>
      </c>
    </row>
    <row r="22" spans="2:11">
      <c r="H22" t="s">
        <v>335</v>
      </c>
      <c r="I22" s="52">
        <v>40</v>
      </c>
      <c r="J22" s="78" t="s">
        <v>278</v>
      </c>
      <c r="K22">
        <v>40</v>
      </c>
    </row>
    <row r="23" spans="2:11" ht="15.75" thickBot="1"/>
    <row r="24" spans="2:11" ht="15.75" thickBot="1">
      <c r="H24" t="s">
        <v>92</v>
      </c>
      <c r="I24" s="77">
        <f>SUM(E6:E19)+SUMPRODUCT(H6:H19,J6:J19)</f>
        <v>4690000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7"/>
  <sheetViews>
    <sheetView workbookViewId="0">
      <selection activeCell="E19" sqref="E19"/>
    </sheetView>
  </sheetViews>
  <sheetFormatPr defaultRowHeight="15"/>
  <cols>
    <col min="1" max="1" width="23.5703125" style="11" customWidth="1"/>
    <col min="2" max="2" width="12.140625" style="11" customWidth="1"/>
    <col min="3" max="3" width="11.5703125" style="11" customWidth="1"/>
    <col min="4" max="4" width="12" style="11" customWidth="1"/>
    <col min="5" max="5" width="10.85546875" style="11" customWidth="1"/>
    <col min="6" max="6" width="15.85546875" style="11" bestFit="1" customWidth="1"/>
    <col min="7" max="253" width="9.140625" style="11"/>
    <col min="254" max="254" width="23.5703125" style="11" customWidth="1"/>
    <col min="255" max="255" width="12.140625" style="11" customWidth="1"/>
    <col min="256" max="256" width="11.5703125" style="11" customWidth="1"/>
    <col min="257" max="257" width="12" style="11" customWidth="1"/>
    <col min="258" max="258" width="10.85546875" style="11" customWidth="1"/>
    <col min="259" max="259" width="21.140625" style="11" bestFit="1" customWidth="1"/>
    <col min="260" max="260" width="14.5703125" style="11" customWidth="1"/>
    <col min="261" max="509" width="9.140625" style="11"/>
    <col min="510" max="510" width="23.5703125" style="11" customWidth="1"/>
    <col min="511" max="511" width="12.140625" style="11" customWidth="1"/>
    <col min="512" max="512" width="11.5703125" style="11" customWidth="1"/>
    <col min="513" max="513" width="12" style="11" customWidth="1"/>
    <col min="514" max="514" width="10.85546875" style="11" customWidth="1"/>
    <col min="515" max="515" width="21.140625" style="11" bestFit="1" customWidth="1"/>
    <col min="516" max="516" width="14.5703125" style="11" customWidth="1"/>
    <col min="517" max="765" width="9.140625" style="11"/>
    <col min="766" max="766" width="23.5703125" style="11" customWidth="1"/>
    <col min="767" max="767" width="12.140625" style="11" customWidth="1"/>
    <col min="768" max="768" width="11.5703125" style="11" customWidth="1"/>
    <col min="769" max="769" width="12" style="11" customWidth="1"/>
    <col min="770" max="770" width="10.85546875" style="11" customWidth="1"/>
    <col min="771" max="771" width="21.140625" style="11" bestFit="1" customWidth="1"/>
    <col min="772" max="772" width="14.5703125" style="11" customWidth="1"/>
    <col min="773" max="1021" width="9.140625" style="11"/>
    <col min="1022" max="1022" width="23.5703125" style="11" customWidth="1"/>
    <col min="1023" max="1023" width="12.140625" style="11" customWidth="1"/>
    <col min="1024" max="1024" width="11.5703125" style="11" customWidth="1"/>
    <col min="1025" max="1025" width="12" style="11" customWidth="1"/>
    <col min="1026" max="1026" width="10.85546875" style="11" customWidth="1"/>
    <col min="1027" max="1027" width="21.140625" style="11" bestFit="1" customWidth="1"/>
    <col min="1028" max="1028" width="14.5703125" style="11" customWidth="1"/>
    <col min="1029" max="1277" width="9.140625" style="11"/>
    <col min="1278" max="1278" width="23.5703125" style="11" customWidth="1"/>
    <col min="1279" max="1279" width="12.140625" style="11" customWidth="1"/>
    <col min="1280" max="1280" width="11.5703125" style="11" customWidth="1"/>
    <col min="1281" max="1281" width="12" style="11" customWidth="1"/>
    <col min="1282" max="1282" width="10.85546875" style="11" customWidth="1"/>
    <col min="1283" max="1283" width="21.140625" style="11" bestFit="1" customWidth="1"/>
    <col min="1284" max="1284" width="14.5703125" style="11" customWidth="1"/>
    <col min="1285" max="1533" width="9.140625" style="11"/>
    <col min="1534" max="1534" width="23.5703125" style="11" customWidth="1"/>
    <col min="1535" max="1535" width="12.140625" style="11" customWidth="1"/>
    <col min="1536" max="1536" width="11.5703125" style="11" customWidth="1"/>
    <col min="1537" max="1537" width="12" style="11" customWidth="1"/>
    <col min="1538" max="1538" width="10.85546875" style="11" customWidth="1"/>
    <col min="1539" max="1539" width="21.140625" style="11" bestFit="1" customWidth="1"/>
    <col min="1540" max="1540" width="14.5703125" style="11" customWidth="1"/>
    <col min="1541" max="1789" width="9.140625" style="11"/>
    <col min="1790" max="1790" width="23.5703125" style="11" customWidth="1"/>
    <col min="1791" max="1791" width="12.140625" style="11" customWidth="1"/>
    <col min="1792" max="1792" width="11.5703125" style="11" customWidth="1"/>
    <col min="1793" max="1793" width="12" style="11" customWidth="1"/>
    <col min="1794" max="1794" width="10.85546875" style="11" customWidth="1"/>
    <col min="1795" max="1795" width="21.140625" style="11" bestFit="1" customWidth="1"/>
    <col min="1796" max="1796" width="14.5703125" style="11" customWidth="1"/>
    <col min="1797" max="2045" width="9.140625" style="11"/>
    <col min="2046" max="2046" width="23.5703125" style="11" customWidth="1"/>
    <col min="2047" max="2047" width="12.140625" style="11" customWidth="1"/>
    <col min="2048" max="2048" width="11.5703125" style="11" customWidth="1"/>
    <col min="2049" max="2049" width="12" style="11" customWidth="1"/>
    <col min="2050" max="2050" width="10.85546875" style="11" customWidth="1"/>
    <col min="2051" max="2051" width="21.140625" style="11" bestFit="1" customWidth="1"/>
    <col min="2052" max="2052" width="14.5703125" style="11" customWidth="1"/>
    <col min="2053" max="2301" width="9.140625" style="11"/>
    <col min="2302" max="2302" width="23.5703125" style="11" customWidth="1"/>
    <col min="2303" max="2303" width="12.140625" style="11" customWidth="1"/>
    <col min="2304" max="2304" width="11.5703125" style="11" customWidth="1"/>
    <col min="2305" max="2305" width="12" style="11" customWidth="1"/>
    <col min="2306" max="2306" width="10.85546875" style="11" customWidth="1"/>
    <col min="2307" max="2307" width="21.140625" style="11" bestFit="1" customWidth="1"/>
    <col min="2308" max="2308" width="14.5703125" style="11" customWidth="1"/>
    <col min="2309" max="2557" width="9.140625" style="11"/>
    <col min="2558" max="2558" width="23.5703125" style="11" customWidth="1"/>
    <col min="2559" max="2559" width="12.140625" style="11" customWidth="1"/>
    <col min="2560" max="2560" width="11.5703125" style="11" customWidth="1"/>
    <col min="2561" max="2561" width="12" style="11" customWidth="1"/>
    <col min="2562" max="2562" width="10.85546875" style="11" customWidth="1"/>
    <col min="2563" max="2563" width="21.140625" style="11" bestFit="1" customWidth="1"/>
    <col min="2564" max="2564" width="14.5703125" style="11" customWidth="1"/>
    <col min="2565" max="2813" width="9.140625" style="11"/>
    <col min="2814" max="2814" width="23.5703125" style="11" customWidth="1"/>
    <col min="2815" max="2815" width="12.140625" style="11" customWidth="1"/>
    <col min="2816" max="2816" width="11.5703125" style="11" customWidth="1"/>
    <col min="2817" max="2817" width="12" style="11" customWidth="1"/>
    <col min="2818" max="2818" width="10.85546875" style="11" customWidth="1"/>
    <col min="2819" max="2819" width="21.140625" style="11" bestFit="1" customWidth="1"/>
    <col min="2820" max="2820" width="14.5703125" style="11" customWidth="1"/>
    <col min="2821" max="3069" width="9.140625" style="11"/>
    <col min="3070" max="3070" width="23.5703125" style="11" customWidth="1"/>
    <col min="3071" max="3071" width="12.140625" style="11" customWidth="1"/>
    <col min="3072" max="3072" width="11.5703125" style="11" customWidth="1"/>
    <col min="3073" max="3073" width="12" style="11" customWidth="1"/>
    <col min="3074" max="3074" width="10.85546875" style="11" customWidth="1"/>
    <col min="3075" max="3075" width="21.140625" style="11" bestFit="1" customWidth="1"/>
    <col min="3076" max="3076" width="14.5703125" style="11" customWidth="1"/>
    <col min="3077" max="3325" width="9.140625" style="11"/>
    <col min="3326" max="3326" width="23.5703125" style="11" customWidth="1"/>
    <col min="3327" max="3327" width="12.140625" style="11" customWidth="1"/>
    <col min="3328" max="3328" width="11.5703125" style="11" customWidth="1"/>
    <col min="3329" max="3329" width="12" style="11" customWidth="1"/>
    <col min="3330" max="3330" width="10.85546875" style="11" customWidth="1"/>
    <col min="3331" max="3331" width="21.140625" style="11" bestFit="1" customWidth="1"/>
    <col min="3332" max="3332" width="14.5703125" style="11" customWidth="1"/>
    <col min="3333" max="3581" width="9.140625" style="11"/>
    <col min="3582" max="3582" width="23.5703125" style="11" customWidth="1"/>
    <col min="3583" max="3583" width="12.140625" style="11" customWidth="1"/>
    <col min="3584" max="3584" width="11.5703125" style="11" customWidth="1"/>
    <col min="3585" max="3585" width="12" style="11" customWidth="1"/>
    <col min="3586" max="3586" width="10.85546875" style="11" customWidth="1"/>
    <col min="3587" max="3587" width="21.140625" style="11" bestFit="1" customWidth="1"/>
    <col min="3588" max="3588" width="14.5703125" style="11" customWidth="1"/>
    <col min="3589" max="3837" width="9.140625" style="11"/>
    <col min="3838" max="3838" width="23.5703125" style="11" customWidth="1"/>
    <col min="3839" max="3839" width="12.140625" style="11" customWidth="1"/>
    <col min="3840" max="3840" width="11.5703125" style="11" customWidth="1"/>
    <col min="3841" max="3841" width="12" style="11" customWidth="1"/>
    <col min="3842" max="3842" width="10.85546875" style="11" customWidth="1"/>
    <col min="3843" max="3843" width="21.140625" style="11" bestFit="1" customWidth="1"/>
    <col min="3844" max="3844" width="14.5703125" style="11" customWidth="1"/>
    <col min="3845" max="4093" width="9.140625" style="11"/>
    <col min="4094" max="4094" width="23.5703125" style="11" customWidth="1"/>
    <col min="4095" max="4095" width="12.140625" style="11" customWidth="1"/>
    <col min="4096" max="4096" width="11.5703125" style="11" customWidth="1"/>
    <col min="4097" max="4097" width="12" style="11" customWidth="1"/>
    <col min="4098" max="4098" width="10.85546875" style="11" customWidth="1"/>
    <col min="4099" max="4099" width="21.140625" style="11" bestFit="1" customWidth="1"/>
    <col min="4100" max="4100" width="14.5703125" style="11" customWidth="1"/>
    <col min="4101" max="4349" width="9.140625" style="11"/>
    <col min="4350" max="4350" width="23.5703125" style="11" customWidth="1"/>
    <col min="4351" max="4351" width="12.140625" style="11" customWidth="1"/>
    <col min="4352" max="4352" width="11.5703125" style="11" customWidth="1"/>
    <col min="4353" max="4353" width="12" style="11" customWidth="1"/>
    <col min="4354" max="4354" width="10.85546875" style="11" customWidth="1"/>
    <col min="4355" max="4355" width="21.140625" style="11" bestFit="1" customWidth="1"/>
    <col min="4356" max="4356" width="14.5703125" style="11" customWidth="1"/>
    <col min="4357" max="4605" width="9.140625" style="11"/>
    <col min="4606" max="4606" width="23.5703125" style="11" customWidth="1"/>
    <col min="4607" max="4607" width="12.140625" style="11" customWidth="1"/>
    <col min="4608" max="4608" width="11.5703125" style="11" customWidth="1"/>
    <col min="4609" max="4609" width="12" style="11" customWidth="1"/>
    <col min="4610" max="4610" width="10.85546875" style="11" customWidth="1"/>
    <col min="4611" max="4611" width="21.140625" style="11" bestFit="1" customWidth="1"/>
    <col min="4612" max="4612" width="14.5703125" style="11" customWidth="1"/>
    <col min="4613" max="4861" width="9.140625" style="11"/>
    <col min="4862" max="4862" width="23.5703125" style="11" customWidth="1"/>
    <col min="4863" max="4863" width="12.140625" style="11" customWidth="1"/>
    <col min="4864" max="4864" width="11.5703125" style="11" customWidth="1"/>
    <col min="4865" max="4865" width="12" style="11" customWidth="1"/>
    <col min="4866" max="4866" width="10.85546875" style="11" customWidth="1"/>
    <col min="4867" max="4867" width="21.140625" style="11" bestFit="1" customWidth="1"/>
    <col min="4868" max="4868" width="14.5703125" style="11" customWidth="1"/>
    <col min="4869" max="5117" width="9.140625" style="11"/>
    <col min="5118" max="5118" width="23.5703125" style="11" customWidth="1"/>
    <col min="5119" max="5119" width="12.140625" style="11" customWidth="1"/>
    <col min="5120" max="5120" width="11.5703125" style="11" customWidth="1"/>
    <col min="5121" max="5121" width="12" style="11" customWidth="1"/>
    <col min="5122" max="5122" width="10.85546875" style="11" customWidth="1"/>
    <col min="5123" max="5123" width="21.140625" style="11" bestFit="1" customWidth="1"/>
    <col min="5124" max="5124" width="14.5703125" style="11" customWidth="1"/>
    <col min="5125" max="5373" width="9.140625" style="11"/>
    <col min="5374" max="5374" width="23.5703125" style="11" customWidth="1"/>
    <col min="5375" max="5375" width="12.140625" style="11" customWidth="1"/>
    <col min="5376" max="5376" width="11.5703125" style="11" customWidth="1"/>
    <col min="5377" max="5377" width="12" style="11" customWidth="1"/>
    <col min="5378" max="5378" width="10.85546875" style="11" customWidth="1"/>
    <col min="5379" max="5379" width="21.140625" style="11" bestFit="1" customWidth="1"/>
    <col min="5380" max="5380" width="14.5703125" style="11" customWidth="1"/>
    <col min="5381" max="5629" width="9.140625" style="11"/>
    <col min="5630" max="5630" width="23.5703125" style="11" customWidth="1"/>
    <col min="5631" max="5631" width="12.140625" style="11" customWidth="1"/>
    <col min="5632" max="5632" width="11.5703125" style="11" customWidth="1"/>
    <col min="5633" max="5633" width="12" style="11" customWidth="1"/>
    <col min="5634" max="5634" width="10.85546875" style="11" customWidth="1"/>
    <col min="5635" max="5635" width="21.140625" style="11" bestFit="1" customWidth="1"/>
    <col min="5636" max="5636" width="14.5703125" style="11" customWidth="1"/>
    <col min="5637" max="5885" width="9.140625" style="11"/>
    <col min="5886" max="5886" width="23.5703125" style="11" customWidth="1"/>
    <col min="5887" max="5887" width="12.140625" style="11" customWidth="1"/>
    <col min="5888" max="5888" width="11.5703125" style="11" customWidth="1"/>
    <col min="5889" max="5889" width="12" style="11" customWidth="1"/>
    <col min="5890" max="5890" width="10.85546875" style="11" customWidth="1"/>
    <col min="5891" max="5891" width="21.140625" style="11" bestFit="1" customWidth="1"/>
    <col min="5892" max="5892" width="14.5703125" style="11" customWidth="1"/>
    <col min="5893" max="6141" width="9.140625" style="11"/>
    <col min="6142" max="6142" width="23.5703125" style="11" customWidth="1"/>
    <col min="6143" max="6143" width="12.140625" style="11" customWidth="1"/>
    <col min="6144" max="6144" width="11.5703125" style="11" customWidth="1"/>
    <col min="6145" max="6145" width="12" style="11" customWidth="1"/>
    <col min="6146" max="6146" width="10.85546875" style="11" customWidth="1"/>
    <col min="6147" max="6147" width="21.140625" style="11" bestFit="1" customWidth="1"/>
    <col min="6148" max="6148" width="14.5703125" style="11" customWidth="1"/>
    <col min="6149" max="6397" width="9.140625" style="11"/>
    <col min="6398" max="6398" width="23.5703125" style="11" customWidth="1"/>
    <col min="6399" max="6399" width="12.140625" style="11" customWidth="1"/>
    <col min="6400" max="6400" width="11.5703125" style="11" customWidth="1"/>
    <col min="6401" max="6401" width="12" style="11" customWidth="1"/>
    <col min="6402" max="6402" width="10.85546875" style="11" customWidth="1"/>
    <col min="6403" max="6403" width="21.140625" style="11" bestFit="1" customWidth="1"/>
    <col min="6404" max="6404" width="14.5703125" style="11" customWidth="1"/>
    <col min="6405" max="6653" width="9.140625" style="11"/>
    <col min="6654" max="6654" width="23.5703125" style="11" customWidth="1"/>
    <col min="6655" max="6655" width="12.140625" style="11" customWidth="1"/>
    <col min="6656" max="6656" width="11.5703125" style="11" customWidth="1"/>
    <col min="6657" max="6657" width="12" style="11" customWidth="1"/>
    <col min="6658" max="6658" width="10.85546875" style="11" customWidth="1"/>
    <col min="6659" max="6659" width="21.140625" style="11" bestFit="1" customWidth="1"/>
    <col min="6660" max="6660" width="14.5703125" style="11" customWidth="1"/>
    <col min="6661" max="6909" width="9.140625" style="11"/>
    <col min="6910" max="6910" width="23.5703125" style="11" customWidth="1"/>
    <col min="6911" max="6911" width="12.140625" style="11" customWidth="1"/>
    <col min="6912" max="6912" width="11.5703125" style="11" customWidth="1"/>
    <col min="6913" max="6913" width="12" style="11" customWidth="1"/>
    <col min="6914" max="6914" width="10.85546875" style="11" customWidth="1"/>
    <col min="6915" max="6915" width="21.140625" style="11" bestFit="1" customWidth="1"/>
    <col min="6916" max="6916" width="14.5703125" style="11" customWidth="1"/>
    <col min="6917" max="7165" width="9.140625" style="11"/>
    <col min="7166" max="7166" width="23.5703125" style="11" customWidth="1"/>
    <col min="7167" max="7167" width="12.140625" style="11" customWidth="1"/>
    <col min="7168" max="7168" width="11.5703125" style="11" customWidth="1"/>
    <col min="7169" max="7169" width="12" style="11" customWidth="1"/>
    <col min="7170" max="7170" width="10.85546875" style="11" customWidth="1"/>
    <col min="7171" max="7171" width="21.140625" style="11" bestFit="1" customWidth="1"/>
    <col min="7172" max="7172" width="14.5703125" style="11" customWidth="1"/>
    <col min="7173" max="7421" width="9.140625" style="11"/>
    <col min="7422" max="7422" width="23.5703125" style="11" customWidth="1"/>
    <col min="7423" max="7423" width="12.140625" style="11" customWidth="1"/>
    <col min="7424" max="7424" width="11.5703125" style="11" customWidth="1"/>
    <col min="7425" max="7425" width="12" style="11" customWidth="1"/>
    <col min="7426" max="7426" width="10.85546875" style="11" customWidth="1"/>
    <col min="7427" max="7427" width="21.140625" style="11" bestFit="1" customWidth="1"/>
    <col min="7428" max="7428" width="14.5703125" style="11" customWidth="1"/>
    <col min="7429" max="7677" width="9.140625" style="11"/>
    <col min="7678" max="7678" width="23.5703125" style="11" customWidth="1"/>
    <col min="7679" max="7679" width="12.140625" style="11" customWidth="1"/>
    <col min="7680" max="7680" width="11.5703125" style="11" customWidth="1"/>
    <col min="7681" max="7681" width="12" style="11" customWidth="1"/>
    <col min="7682" max="7682" width="10.85546875" style="11" customWidth="1"/>
    <col min="7683" max="7683" width="21.140625" style="11" bestFit="1" customWidth="1"/>
    <col min="7684" max="7684" width="14.5703125" style="11" customWidth="1"/>
    <col min="7685" max="7933" width="9.140625" style="11"/>
    <col min="7934" max="7934" width="23.5703125" style="11" customWidth="1"/>
    <col min="7935" max="7935" width="12.140625" style="11" customWidth="1"/>
    <col min="7936" max="7936" width="11.5703125" style="11" customWidth="1"/>
    <col min="7937" max="7937" width="12" style="11" customWidth="1"/>
    <col min="7938" max="7938" width="10.85546875" style="11" customWidth="1"/>
    <col min="7939" max="7939" width="21.140625" style="11" bestFit="1" customWidth="1"/>
    <col min="7940" max="7940" width="14.5703125" style="11" customWidth="1"/>
    <col min="7941" max="8189" width="9.140625" style="11"/>
    <col min="8190" max="8190" width="23.5703125" style="11" customWidth="1"/>
    <col min="8191" max="8191" width="12.140625" style="11" customWidth="1"/>
    <col min="8192" max="8192" width="11.5703125" style="11" customWidth="1"/>
    <col min="8193" max="8193" width="12" style="11" customWidth="1"/>
    <col min="8194" max="8194" width="10.85546875" style="11" customWidth="1"/>
    <col min="8195" max="8195" width="21.140625" style="11" bestFit="1" customWidth="1"/>
    <col min="8196" max="8196" width="14.5703125" style="11" customWidth="1"/>
    <col min="8197" max="8445" width="9.140625" style="11"/>
    <col min="8446" max="8446" width="23.5703125" style="11" customWidth="1"/>
    <col min="8447" max="8447" width="12.140625" style="11" customWidth="1"/>
    <col min="8448" max="8448" width="11.5703125" style="11" customWidth="1"/>
    <col min="8449" max="8449" width="12" style="11" customWidth="1"/>
    <col min="8450" max="8450" width="10.85546875" style="11" customWidth="1"/>
    <col min="8451" max="8451" width="21.140625" style="11" bestFit="1" customWidth="1"/>
    <col min="8452" max="8452" width="14.5703125" style="11" customWidth="1"/>
    <col min="8453" max="8701" width="9.140625" style="11"/>
    <col min="8702" max="8702" width="23.5703125" style="11" customWidth="1"/>
    <col min="8703" max="8703" width="12.140625" style="11" customWidth="1"/>
    <col min="8704" max="8704" width="11.5703125" style="11" customWidth="1"/>
    <col min="8705" max="8705" width="12" style="11" customWidth="1"/>
    <col min="8706" max="8706" width="10.85546875" style="11" customWidth="1"/>
    <col min="8707" max="8707" width="21.140625" style="11" bestFit="1" customWidth="1"/>
    <col min="8708" max="8708" width="14.5703125" style="11" customWidth="1"/>
    <col min="8709" max="8957" width="9.140625" style="11"/>
    <col min="8958" max="8958" width="23.5703125" style="11" customWidth="1"/>
    <col min="8959" max="8959" width="12.140625" style="11" customWidth="1"/>
    <col min="8960" max="8960" width="11.5703125" style="11" customWidth="1"/>
    <col min="8961" max="8961" width="12" style="11" customWidth="1"/>
    <col min="8962" max="8962" width="10.85546875" style="11" customWidth="1"/>
    <col min="8963" max="8963" width="21.140625" style="11" bestFit="1" customWidth="1"/>
    <col min="8964" max="8964" width="14.5703125" style="11" customWidth="1"/>
    <col min="8965" max="9213" width="9.140625" style="11"/>
    <col min="9214" max="9214" width="23.5703125" style="11" customWidth="1"/>
    <col min="9215" max="9215" width="12.140625" style="11" customWidth="1"/>
    <col min="9216" max="9216" width="11.5703125" style="11" customWidth="1"/>
    <col min="9217" max="9217" width="12" style="11" customWidth="1"/>
    <col min="9218" max="9218" width="10.85546875" style="11" customWidth="1"/>
    <col min="9219" max="9219" width="21.140625" style="11" bestFit="1" customWidth="1"/>
    <col min="9220" max="9220" width="14.5703125" style="11" customWidth="1"/>
    <col min="9221" max="9469" width="9.140625" style="11"/>
    <col min="9470" max="9470" width="23.5703125" style="11" customWidth="1"/>
    <col min="9471" max="9471" width="12.140625" style="11" customWidth="1"/>
    <col min="9472" max="9472" width="11.5703125" style="11" customWidth="1"/>
    <col min="9473" max="9473" width="12" style="11" customWidth="1"/>
    <col min="9474" max="9474" width="10.85546875" style="11" customWidth="1"/>
    <col min="9475" max="9475" width="21.140625" style="11" bestFit="1" customWidth="1"/>
    <col min="9476" max="9476" width="14.5703125" style="11" customWidth="1"/>
    <col min="9477" max="9725" width="9.140625" style="11"/>
    <col min="9726" max="9726" width="23.5703125" style="11" customWidth="1"/>
    <col min="9727" max="9727" width="12.140625" style="11" customWidth="1"/>
    <col min="9728" max="9728" width="11.5703125" style="11" customWidth="1"/>
    <col min="9729" max="9729" width="12" style="11" customWidth="1"/>
    <col min="9730" max="9730" width="10.85546875" style="11" customWidth="1"/>
    <col min="9731" max="9731" width="21.140625" style="11" bestFit="1" customWidth="1"/>
    <col min="9732" max="9732" width="14.5703125" style="11" customWidth="1"/>
    <col min="9733" max="9981" width="9.140625" style="11"/>
    <col min="9982" max="9982" width="23.5703125" style="11" customWidth="1"/>
    <col min="9983" max="9983" width="12.140625" style="11" customWidth="1"/>
    <col min="9984" max="9984" width="11.5703125" style="11" customWidth="1"/>
    <col min="9985" max="9985" width="12" style="11" customWidth="1"/>
    <col min="9986" max="9986" width="10.85546875" style="11" customWidth="1"/>
    <col min="9987" max="9987" width="21.140625" style="11" bestFit="1" customWidth="1"/>
    <col min="9988" max="9988" width="14.5703125" style="11" customWidth="1"/>
    <col min="9989" max="10237" width="9.140625" style="11"/>
    <col min="10238" max="10238" width="23.5703125" style="11" customWidth="1"/>
    <col min="10239" max="10239" width="12.140625" style="11" customWidth="1"/>
    <col min="10240" max="10240" width="11.5703125" style="11" customWidth="1"/>
    <col min="10241" max="10241" width="12" style="11" customWidth="1"/>
    <col min="10242" max="10242" width="10.85546875" style="11" customWidth="1"/>
    <col min="10243" max="10243" width="21.140625" style="11" bestFit="1" customWidth="1"/>
    <col min="10244" max="10244" width="14.5703125" style="11" customWidth="1"/>
    <col min="10245" max="10493" width="9.140625" style="11"/>
    <col min="10494" max="10494" width="23.5703125" style="11" customWidth="1"/>
    <col min="10495" max="10495" width="12.140625" style="11" customWidth="1"/>
    <col min="10496" max="10496" width="11.5703125" style="11" customWidth="1"/>
    <col min="10497" max="10497" width="12" style="11" customWidth="1"/>
    <col min="10498" max="10498" width="10.85546875" style="11" customWidth="1"/>
    <col min="10499" max="10499" width="21.140625" style="11" bestFit="1" customWidth="1"/>
    <col min="10500" max="10500" width="14.5703125" style="11" customWidth="1"/>
    <col min="10501" max="10749" width="9.140625" style="11"/>
    <col min="10750" max="10750" width="23.5703125" style="11" customWidth="1"/>
    <col min="10751" max="10751" width="12.140625" style="11" customWidth="1"/>
    <col min="10752" max="10752" width="11.5703125" style="11" customWidth="1"/>
    <col min="10753" max="10753" width="12" style="11" customWidth="1"/>
    <col min="10754" max="10754" width="10.85546875" style="11" customWidth="1"/>
    <col min="10755" max="10755" width="21.140625" style="11" bestFit="1" customWidth="1"/>
    <col min="10756" max="10756" width="14.5703125" style="11" customWidth="1"/>
    <col min="10757" max="11005" width="9.140625" style="11"/>
    <col min="11006" max="11006" width="23.5703125" style="11" customWidth="1"/>
    <col min="11007" max="11007" width="12.140625" style="11" customWidth="1"/>
    <col min="11008" max="11008" width="11.5703125" style="11" customWidth="1"/>
    <col min="11009" max="11009" width="12" style="11" customWidth="1"/>
    <col min="11010" max="11010" width="10.85546875" style="11" customWidth="1"/>
    <col min="11011" max="11011" width="21.140625" style="11" bestFit="1" customWidth="1"/>
    <col min="11012" max="11012" width="14.5703125" style="11" customWidth="1"/>
    <col min="11013" max="11261" width="9.140625" style="11"/>
    <col min="11262" max="11262" width="23.5703125" style="11" customWidth="1"/>
    <col min="11263" max="11263" width="12.140625" style="11" customWidth="1"/>
    <col min="11264" max="11264" width="11.5703125" style="11" customWidth="1"/>
    <col min="11265" max="11265" width="12" style="11" customWidth="1"/>
    <col min="11266" max="11266" width="10.85546875" style="11" customWidth="1"/>
    <col min="11267" max="11267" width="21.140625" style="11" bestFit="1" customWidth="1"/>
    <col min="11268" max="11268" width="14.5703125" style="11" customWidth="1"/>
    <col min="11269" max="11517" width="9.140625" style="11"/>
    <col min="11518" max="11518" width="23.5703125" style="11" customWidth="1"/>
    <col min="11519" max="11519" width="12.140625" style="11" customWidth="1"/>
    <col min="11520" max="11520" width="11.5703125" style="11" customWidth="1"/>
    <col min="11521" max="11521" width="12" style="11" customWidth="1"/>
    <col min="11522" max="11522" width="10.85546875" style="11" customWidth="1"/>
    <col min="11523" max="11523" width="21.140625" style="11" bestFit="1" customWidth="1"/>
    <col min="11524" max="11524" width="14.5703125" style="11" customWidth="1"/>
    <col min="11525" max="11773" width="9.140625" style="11"/>
    <col min="11774" max="11774" width="23.5703125" style="11" customWidth="1"/>
    <col min="11775" max="11775" width="12.140625" style="11" customWidth="1"/>
    <col min="11776" max="11776" width="11.5703125" style="11" customWidth="1"/>
    <col min="11777" max="11777" width="12" style="11" customWidth="1"/>
    <col min="11778" max="11778" width="10.85546875" style="11" customWidth="1"/>
    <col min="11779" max="11779" width="21.140625" style="11" bestFit="1" customWidth="1"/>
    <col min="11780" max="11780" width="14.5703125" style="11" customWidth="1"/>
    <col min="11781" max="12029" width="9.140625" style="11"/>
    <col min="12030" max="12030" width="23.5703125" style="11" customWidth="1"/>
    <col min="12031" max="12031" width="12.140625" style="11" customWidth="1"/>
    <col min="12032" max="12032" width="11.5703125" style="11" customWidth="1"/>
    <col min="12033" max="12033" width="12" style="11" customWidth="1"/>
    <col min="12034" max="12034" width="10.85546875" style="11" customWidth="1"/>
    <col min="12035" max="12035" width="21.140625" style="11" bestFit="1" customWidth="1"/>
    <col min="12036" max="12036" width="14.5703125" style="11" customWidth="1"/>
    <col min="12037" max="12285" width="9.140625" style="11"/>
    <col min="12286" max="12286" width="23.5703125" style="11" customWidth="1"/>
    <col min="12287" max="12287" width="12.140625" style="11" customWidth="1"/>
    <col min="12288" max="12288" width="11.5703125" style="11" customWidth="1"/>
    <col min="12289" max="12289" width="12" style="11" customWidth="1"/>
    <col min="12290" max="12290" width="10.85546875" style="11" customWidth="1"/>
    <col min="12291" max="12291" width="21.140625" style="11" bestFit="1" customWidth="1"/>
    <col min="12292" max="12292" width="14.5703125" style="11" customWidth="1"/>
    <col min="12293" max="12541" width="9.140625" style="11"/>
    <col min="12542" max="12542" width="23.5703125" style="11" customWidth="1"/>
    <col min="12543" max="12543" width="12.140625" style="11" customWidth="1"/>
    <col min="12544" max="12544" width="11.5703125" style="11" customWidth="1"/>
    <col min="12545" max="12545" width="12" style="11" customWidth="1"/>
    <col min="12546" max="12546" width="10.85546875" style="11" customWidth="1"/>
    <col min="12547" max="12547" width="21.140625" style="11" bestFit="1" customWidth="1"/>
    <col min="12548" max="12548" width="14.5703125" style="11" customWidth="1"/>
    <col min="12549" max="12797" width="9.140625" style="11"/>
    <col min="12798" max="12798" width="23.5703125" style="11" customWidth="1"/>
    <col min="12799" max="12799" width="12.140625" style="11" customWidth="1"/>
    <col min="12800" max="12800" width="11.5703125" style="11" customWidth="1"/>
    <col min="12801" max="12801" width="12" style="11" customWidth="1"/>
    <col min="12802" max="12802" width="10.85546875" style="11" customWidth="1"/>
    <col min="12803" max="12803" width="21.140625" style="11" bestFit="1" customWidth="1"/>
    <col min="12804" max="12804" width="14.5703125" style="11" customWidth="1"/>
    <col min="12805" max="13053" width="9.140625" style="11"/>
    <col min="13054" max="13054" width="23.5703125" style="11" customWidth="1"/>
    <col min="13055" max="13055" width="12.140625" style="11" customWidth="1"/>
    <col min="13056" max="13056" width="11.5703125" style="11" customWidth="1"/>
    <col min="13057" max="13057" width="12" style="11" customWidth="1"/>
    <col min="13058" max="13058" width="10.85546875" style="11" customWidth="1"/>
    <col min="13059" max="13059" width="21.140625" style="11" bestFit="1" customWidth="1"/>
    <col min="13060" max="13060" width="14.5703125" style="11" customWidth="1"/>
    <col min="13061" max="13309" width="9.140625" style="11"/>
    <col min="13310" max="13310" width="23.5703125" style="11" customWidth="1"/>
    <col min="13311" max="13311" width="12.140625" style="11" customWidth="1"/>
    <col min="13312" max="13312" width="11.5703125" style="11" customWidth="1"/>
    <col min="13313" max="13313" width="12" style="11" customWidth="1"/>
    <col min="13314" max="13314" width="10.85546875" style="11" customWidth="1"/>
    <col min="13315" max="13315" width="21.140625" style="11" bestFit="1" customWidth="1"/>
    <col min="13316" max="13316" width="14.5703125" style="11" customWidth="1"/>
    <col min="13317" max="13565" width="9.140625" style="11"/>
    <col min="13566" max="13566" width="23.5703125" style="11" customWidth="1"/>
    <col min="13567" max="13567" width="12.140625" style="11" customWidth="1"/>
    <col min="13568" max="13568" width="11.5703125" style="11" customWidth="1"/>
    <col min="13569" max="13569" width="12" style="11" customWidth="1"/>
    <col min="13570" max="13570" width="10.85546875" style="11" customWidth="1"/>
    <col min="13571" max="13571" width="21.140625" style="11" bestFit="1" customWidth="1"/>
    <col min="13572" max="13572" width="14.5703125" style="11" customWidth="1"/>
    <col min="13573" max="13821" width="9.140625" style="11"/>
    <col min="13822" max="13822" width="23.5703125" style="11" customWidth="1"/>
    <col min="13823" max="13823" width="12.140625" style="11" customWidth="1"/>
    <col min="13824" max="13824" width="11.5703125" style="11" customWidth="1"/>
    <col min="13825" max="13825" width="12" style="11" customWidth="1"/>
    <col min="13826" max="13826" width="10.85546875" style="11" customWidth="1"/>
    <col min="13827" max="13827" width="21.140625" style="11" bestFit="1" customWidth="1"/>
    <col min="13828" max="13828" width="14.5703125" style="11" customWidth="1"/>
    <col min="13829" max="14077" width="9.140625" style="11"/>
    <col min="14078" max="14078" width="23.5703125" style="11" customWidth="1"/>
    <col min="14079" max="14079" width="12.140625" style="11" customWidth="1"/>
    <col min="14080" max="14080" width="11.5703125" style="11" customWidth="1"/>
    <col min="14081" max="14081" width="12" style="11" customWidth="1"/>
    <col min="14082" max="14082" width="10.85546875" style="11" customWidth="1"/>
    <col min="14083" max="14083" width="21.140625" style="11" bestFit="1" customWidth="1"/>
    <col min="14084" max="14084" width="14.5703125" style="11" customWidth="1"/>
    <col min="14085" max="14333" width="9.140625" style="11"/>
    <col min="14334" max="14334" width="23.5703125" style="11" customWidth="1"/>
    <col min="14335" max="14335" width="12.140625" style="11" customWidth="1"/>
    <col min="14336" max="14336" width="11.5703125" style="11" customWidth="1"/>
    <col min="14337" max="14337" width="12" style="11" customWidth="1"/>
    <col min="14338" max="14338" width="10.85546875" style="11" customWidth="1"/>
    <col min="14339" max="14339" width="21.140625" style="11" bestFit="1" customWidth="1"/>
    <col min="14340" max="14340" width="14.5703125" style="11" customWidth="1"/>
    <col min="14341" max="14589" width="9.140625" style="11"/>
    <col min="14590" max="14590" width="23.5703125" style="11" customWidth="1"/>
    <col min="14591" max="14591" width="12.140625" style="11" customWidth="1"/>
    <col min="14592" max="14592" width="11.5703125" style="11" customWidth="1"/>
    <col min="14593" max="14593" width="12" style="11" customWidth="1"/>
    <col min="14594" max="14594" width="10.85546875" style="11" customWidth="1"/>
    <col min="14595" max="14595" width="21.140625" style="11" bestFit="1" customWidth="1"/>
    <col min="14596" max="14596" width="14.5703125" style="11" customWidth="1"/>
    <col min="14597" max="14845" width="9.140625" style="11"/>
    <col min="14846" max="14846" width="23.5703125" style="11" customWidth="1"/>
    <col min="14847" max="14847" width="12.140625" style="11" customWidth="1"/>
    <col min="14848" max="14848" width="11.5703125" style="11" customWidth="1"/>
    <col min="14849" max="14849" width="12" style="11" customWidth="1"/>
    <col min="14850" max="14850" width="10.85546875" style="11" customWidth="1"/>
    <col min="14851" max="14851" width="21.140625" style="11" bestFit="1" customWidth="1"/>
    <col min="14852" max="14852" width="14.5703125" style="11" customWidth="1"/>
    <col min="14853" max="15101" width="9.140625" style="11"/>
    <col min="15102" max="15102" width="23.5703125" style="11" customWidth="1"/>
    <col min="15103" max="15103" width="12.140625" style="11" customWidth="1"/>
    <col min="15104" max="15104" width="11.5703125" style="11" customWidth="1"/>
    <col min="15105" max="15105" width="12" style="11" customWidth="1"/>
    <col min="15106" max="15106" width="10.85546875" style="11" customWidth="1"/>
    <col min="15107" max="15107" width="21.140625" style="11" bestFit="1" customWidth="1"/>
    <col min="15108" max="15108" width="14.5703125" style="11" customWidth="1"/>
    <col min="15109" max="15357" width="9.140625" style="11"/>
    <col min="15358" max="15358" width="23.5703125" style="11" customWidth="1"/>
    <col min="15359" max="15359" width="12.140625" style="11" customWidth="1"/>
    <col min="15360" max="15360" width="11.5703125" style="11" customWidth="1"/>
    <col min="15361" max="15361" width="12" style="11" customWidth="1"/>
    <col min="15362" max="15362" width="10.85546875" style="11" customWidth="1"/>
    <col min="15363" max="15363" width="21.140625" style="11" bestFit="1" customWidth="1"/>
    <col min="15364" max="15364" width="14.5703125" style="11" customWidth="1"/>
    <col min="15365" max="15613" width="9.140625" style="11"/>
    <col min="15614" max="15614" width="23.5703125" style="11" customWidth="1"/>
    <col min="15615" max="15615" width="12.140625" style="11" customWidth="1"/>
    <col min="15616" max="15616" width="11.5703125" style="11" customWidth="1"/>
    <col min="15617" max="15617" width="12" style="11" customWidth="1"/>
    <col min="15618" max="15618" width="10.85546875" style="11" customWidth="1"/>
    <col min="15619" max="15619" width="21.140625" style="11" bestFit="1" customWidth="1"/>
    <col min="15620" max="15620" width="14.5703125" style="11" customWidth="1"/>
    <col min="15621" max="15869" width="9.140625" style="11"/>
    <col min="15870" max="15870" width="23.5703125" style="11" customWidth="1"/>
    <col min="15871" max="15871" width="12.140625" style="11" customWidth="1"/>
    <col min="15872" max="15872" width="11.5703125" style="11" customWidth="1"/>
    <col min="15873" max="15873" width="12" style="11" customWidth="1"/>
    <col min="15874" max="15874" width="10.85546875" style="11" customWidth="1"/>
    <col min="15875" max="15875" width="21.140625" style="11" bestFit="1" customWidth="1"/>
    <col min="15876" max="15876" width="14.5703125" style="11" customWidth="1"/>
    <col min="15877" max="16125" width="9.140625" style="11"/>
    <col min="16126" max="16126" width="23.5703125" style="11" customWidth="1"/>
    <col min="16127" max="16127" width="12.140625" style="11" customWidth="1"/>
    <col min="16128" max="16128" width="11.5703125" style="11" customWidth="1"/>
    <col min="16129" max="16129" width="12" style="11" customWidth="1"/>
    <col min="16130" max="16130" width="10.85546875" style="11" customWidth="1"/>
    <col min="16131" max="16131" width="21.140625" style="11" bestFit="1" customWidth="1"/>
    <col min="16132" max="16132" width="14.5703125" style="11" customWidth="1"/>
    <col min="16133" max="16384" width="9.140625" style="11"/>
  </cols>
  <sheetData>
    <row r="1" spans="1:6">
      <c r="A1" s="25" t="s">
        <v>58</v>
      </c>
      <c r="B1" s="20"/>
    </row>
    <row r="2" spans="1:6">
      <c r="B2" s="20"/>
    </row>
    <row r="3" spans="1:6">
      <c r="A3" s="20" t="s">
        <v>59</v>
      </c>
      <c r="B3" s="23" t="s">
        <v>60</v>
      </c>
      <c r="C3" s="23" t="s">
        <v>61</v>
      </c>
      <c r="F3" s="20"/>
    </row>
    <row r="4" spans="1:6">
      <c r="A4" s="22" t="s">
        <v>62</v>
      </c>
      <c r="B4" s="26">
        <v>75</v>
      </c>
      <c r="C4" s="26">
        <v>60</v>
      </c>
    </row>
    <row r="5" spans="1:6">
      <c r="B5" s="20"/>
    </row>
    <row r="6" spans="1:6">
      <c r="A6" s="20" t="s">
        <v>63</v>
      </c>
      <c r="B6" s="20"/>
    </row>
    <row r="7" spans="1:6">
      <c r="A7" s="22" t="s">
        <v>64</v>
      </c>
      <c r="B7" s="13">
        <v>10</v>
      </c>
    </row>
    <row r="8" spans="1:6">
      <c r="A8" s="22" t="s">
        <v>65</v>
      </c>
      <c r="B8" s="13">
        <v>5</v>
      </c>
    </row>
    <row r="9" spans="1:6">
      <c r="A9" s="22"/>
    </row>
    <row r="10" spans="1:6">
      <c r="A10" s="25" t="s">
        <v>66</v>
      </c>
    </row>
    <row r="11" spans="1:6">
      <c r="A11" s="22"/>
      <c r="B11" s="23" t="s">
        <v>60</v>
      </c>
      <c r="C11" s="23" t="s">
        <v>61</v>
      </c>
    </row>
    <row r="12" spans="1:6">
      <c r="A12" s="22"/>
      <c r="B12" s="13">
        <v>8</v>
      </c>
      <c r="C12" s="13">
        <v>6</v>
      </c>
    </row>
    <row r="13" spans="1:6">
      <c r="A13" s="22"/>
    </row>
    <row r="14" spans="1:6">
      <c r="A14" s="25" t="s">
        <v>67</v>
      </c>
    </row>
    <row r="15" spans="1:6">
      <c r="A15" s="27"/>
      <c r="B15" s="23" t="s">
        <v>60</v>
      </c>
      <c r="C15" s="23" t="s">
        <v>61</v>
      </c>
      <c r="D15" s="23" t="s">
        <v>68</v>
      </c>
      <c r="E15" s="23"/>
      <c r="F15" s="23" t="s">
        <v>69</v>
      </c>
    </row>
    <row r="16" spans="1:6">
      <c r="A16" s="22" t="s">
        <v>64</v>
      </c>
      <c r="B16" s="28"/>
      <c r="C16" s="28"/>
      <c r="D16" s="28"/>
      <c r="E16" s="29"/>
      <c r="F16" s="13">
        <v>5000</v>
      </c>
    </row>
    <row r="17" spans="1:6">
      <c r="A17" s="22" t="s">
        <v>65</v>
      </c>
      <c r="B17" s="28"/>
      <c r="C17" s="28"/>
      <c r="D17" s="28"/>
      <c r="E17" s="29"/>
      <c r="F17" s="13">
        <v>10000</v>
      </c>
    </row>
    <row r="18" spans="1:6">
      <c r="A18" s="17" t="s">
        <v>70</v>
      </c>
      <c r="B18" s="28"/>
      <c r="C18" s="28"/>
      <c r="D18" s="28"/>
    </row>
    <row r="19" spans="1:6">
      <c r="A19" s="22"/>
    </row>
    <row r="20" spans="1:6">
      <c r="A20" s="25" t="s">
        <v>71</v>
      </c>
    </row>
    <row r="21" spans="1:6">
      <c r="A21" s="22"/>
      <c r="B21" s="23" t="s">
        <v>60</v>
      </c>
      <c r="C21" s="23" t="s">
        <v>61</v>
      </c>
    </row>
    <row r="22" spans="1:6">
      <c r="A22" s="30" t="s">
        <v>72</v>
      </c>
      <c r="B22" s="28"/>
      <c r="C22" s="28"/>
      <c r="D22" s="31"/>
    </row>
    <row r="23" spans="1:6" s="23" customFormat="1">
      <c r="A23" s="22"/>
      <c r="B23" s="21"/>
      <c r="C23" s="21"/>
      <c r="D23" s="11"/>
      <c r="E23" s="11"/>
      <c r="F23" s="11"/>
    </row>
    <row r="24" spans="1:6">
      <c r="A24" s="30" t="s">
        <v>73</v>
      </c>
      <c r="B24" s="28"/>
      <c r="C24" s="28"/>
      <c r="F24" s="28"/>
    </row>
    <row r="25" spans="1:6">
      <c r="A25" s="31"/>
    </row>
    <row r="26" spans="1:6">
      <c r="A26" s="20" t="s">
        <v>74</v>
      </c>
    </row>
    <row r="27" spans="1:6">
      <c r="A27" s="22" t="s">
        <v>75</v>
      </c>
      <c r="B27" s="32"/>
      <c r="C27" s="3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1"/>
  <sheetViews>
    <sheetView zoomScaleNormal="100" workbookViewId="0">
      <selection activeCell="H9" sqref="H9"/>
    </sheetView>
  </sheetViews>
  <sheetFormatPr defaultRowHeight="15"/>
  <cols>
    <col min="1" max="1" width="12.5703125" style="11" customWidth="1"/>
    <col min="2" max="2" width="14.42578125" style="11" customWidth="1"/>
    <col min="3" max="6" width="9.140625" style="11"/>
    <col min="7" max="7" width="12.5703125" style="11" customWidth="1"/>
    <col min="8" max="8" width="10.5703125" style="11" customWidth="1"/>
    <col min="9" max="9" width="12.85546875" style="11" customWidth="1"/>
    <col min="10" max="19" width="9.140625" style="11"/>
    <col min="20" max="31" width="3.85546875" style="11" bestFit="1" customWidth="1"/>
    <col min="32" max="256" width="9.140625" style="11"/>
    <col min="257" max="257" width="12.5703125" style="11" customWidth="1"/>
    <col min="258" max="258" width="14.42578125" style="11" customWidth="1"/>
    <col min="259" max="262" width="9.140625" style="11"/>
    <col min="263" max="263" width="12.5703125" style="11" customWidth="1"/>
    <col min="264" max="264" width="10.5703125" style="11" customWidth="1"/>
    <col min="265" max="265" width="12.85546875" style="11" customWidth="1"/>
    <col min="266" max="512" width="9.140625" style="11"/>
    <col min="513" max="513" width="12.5703125" style="11" customWidth="1"/>
    <col min="514" max="514" width="14.42578125" style="11" customWidth="1"/>
    <col min="515" max="518" width="9.140625" style="11"/>
    <col min="519" max="519" width="12.5703125" style="11" customWidth="1"/>
    <col min="520" max="520" width="10.5703125" style="11" customWidth="1"/>
    <col min="521" max="521" width="12.85546875" style="11" customWidth="1"/>
    <col min="522" max="768" width="9.140625" style="11"/>
    <col min="769" max="769" width="12.5703125" style="11" customWidth="1"/>
    <col min="770" max="770" width="14.42578125" style="11" customWidth="1"/>
    <col min="771" max="774" width="9.140625" style="11"/>
    <col min="775" max="775" width="12.5703125" style="11" customWidth="1"/>
    <col min="776" max="776" width="10.5703125" style="11" customWidth="1"/>
    <col min="777" max="777" width="12.85546875" style="11" customWidth="1"/>
    <col min="778" max="1024" width="9.140625" style="11"/>
    <col min="1025" max="1025" width="12.5703125" style="11" customWidth="1"/>
    <col min="1026" max="1026" width="14.42578125" style="11" customWidth="1"/>
    <col min="1027" max="1030" width="9.140625" style="11"/>
    <col min="1031" max="1031" width="12.5703125" style="11" customWidth="1"/>
    <col min="1032" max="1032" width="10.5703125" style="11" customWidth="1"/>
    <col min="1033" max="1033" width="12.85546875" style="11" customWidth="1"/>
    <col min="1034" max="1280" width="9.140625" style="11"/>
    <col min="1281" max="1281" width="12.5703125" style="11" customWidth="1"/>
    <col min="1282" max="1282" width="14.42578125" style="11" customWidth="1"/>
    <col min="1283" max="1286" width="9.140625" style="11"/>
    <col min="1287" max="1287" width="12.5703125" style="11" customWidth="1"/>
    <col min="1288" max="1288" width="10.5703125" style="11" customWidth="1"/>
    <col min="1289" max="1289" width="12.85546875" style="11" customWidth="1"/>
    <col min="1290" max="1536" width="9.140625" style="11"/>
    <col min="1537" max="1537" width="12.5703125" style="11" customWidth="1"/>
    <col min="1538" max="1538" width="14.42578125" style="11" customWidth="1"/>
    <col min="1539" max="1542" width="9.140625" style="11"/>
    <col min="1543" max="1543" width="12.5703125" style="11" customWidth="1"/>
    <col min="1544" max="1544" width="10.5703125" style="11" customWidth="1"/>
    <col min="1545" max="1545" width="12.85546875" style="11" customWidth="1"/>
    <col min="1546" max="1792" width="9.140625" style="11"/>
    <col min="1793" max="1793" width="12.5703125" style="11" customWidth="1"/>
    <col min="1794" max="1794" width="14.42578125" style="11" customWidth="1"/>
    <col min="1795" max="1798" width="9.140625" style="11"/>
    <col min="1799" max="1799" width="12.5703125" style="11" customWidth="1"/>
    <col min="1800" max="1800" width="10.5703125" style="11" customWidth="1"/>
    <col min="1801" max="1801" width="12.85546875" style="11" customWidth="1"/>
    <col min="1802" max="2048" width="9.140625" style="11"/>
    <col min="2049" max="2049" width="12.5703125" style="11" customWidth="1"/>
    <col min="2050" max="2050" width="14.42578125" style="11" customWidth="1"/>
    <col min="2051" max="2054" width="9.140625" style="11"/>
    <col min="2055" max="2055" width="12.5703125" style="11" customWidth="1"/>
    <col min="2056" max="2056" width="10.5703125" style="11" customWidth="1"/>
    <col min="2057" max="2057" width="12.85546875" style="11" customWidth="1"/>
    <col min="2058" max="2304" width="9.140625" style="11"/>
    <col min="2305" max="2305" width="12.5703125" style="11" customWidth="1"/>
    <col min="2306" max="2306" width="14.42578125" style="11" customWidth="1"/>
    <col min="2307" max="2310" width="9.140625" style="11"/>
    <col min="2311" max="2311" width="12.5703125" style="11" customWidth="1"/>
    <col min="2312" max="2312" width="10.5703125" style="11" customWidth="1"/>
    <col min="2313" max="2313" width="12.85546875" style="11" customWidth="1"/>
    <col min="2314" max="2560" width="9.140625" style="11"/>
    <col min="2561" max="2561" width="12.5703125" style="11" customWidth="1"/>
    <col min="2562" max="2562" width="14.42578125" style="11" customWidth="1"/>
    <col min="2563" max="2566" width="9.140625" style="11"/>
    <col min="2567" max="2567" width="12.5703125" style="11" customWidth="1"/>
    <col min="2568" max="2568" width="10.5703125" style="11" customWidth="1"/>
    <col min="2569" max="2569" width="12.85546875" style="11" customWidth="1"/>
    <col min="2570" max="2816" width="9.140625" style="11"/>
    <col min="2817" max="2817" width="12.5703125" style="11" customWidth="1"/>
    <col min="2818" max="2818" width="14.42578125" style="11" customWidth="1"/>
    <col min="2819" max="2822" width="9.140625" style="11"/>
    <col min="2823" max="2823" width="12.5703125" style="11" customWidth="1"/>
    <col min="2824" max="2824" width="10.5703125" style="11" customWidth="1"/>
    <col min="2825" max="2825" width="12.85546875" style="11" customWidth="1"/>
    <col min="2826" max="3072" width="9.140625" style="11"/>
    <col min="3073" max="3073" width="12.5703125" style="11" customWidth="1"/>
    <col min="3074" max="3074" width="14.42578125" style="11" customWidth="1"/>
    <col min="3075" max="3078" width="9.140625" style="11"/>
    <col min="3079" max="3079" width="12.5703125" style="11" customWidth="1"/>
    <col min="3080" max="3080" width="10.5703125" style="11" customWidth="1"/>
    <col min="3081" max="3081" width="12.85546875" style="11" customWidth="1"/>
    <col min="3082" max="3328" width="9.140625" style="11"/>
    <col min="3329" max="3329" width="12.5703125" style="11" customWidth="1"/>
    <col min="3330" max="3330" width="14.42578125" style="11" customWidth="1"/>
    <col min="3331" max="3334" width="9.140625" style="11"/>
    <col min="3335" max="3335" width="12.5703125" style="11" customWidth="1"/>
    <col min="3336" max="3336" width="10.5703125" style="11" customWidth="1"/>
    <col min="3337" max="3337" width="12.85546875" style="11" customWidth="1"/>
    <col min="3338" max="3584" width="9.140625" style="11"/>
    <col min="3585" max="3585" width="12.5703125" style="11" customWidth="1"/>
    <col min="3586" max="3586" width="14.42578125" style="11" customWidth="1"/>
    <col min="3587" max="3590" width="9.140625" style="11"/>
    <col min="3591" max="3591" width="12.5703125" style="11" customWidth="1"/>
    <col min="3592" max="3592" width="10.5703125" style="11" customWidth="1"/>
    <col min="3593" max="3593" width="12.85546875" style="11" customWidth="1"/>
    <col min="3594" max="3840" width="9.140625" style="11"/>
    <col min="3841" max="3841" width="12.5703125" style="11" customWidth="1"/>
    <col min="3842" max="3842" width="14.42578125" style="11" customWidth="1"/>
    <col min="3843" max="3846" width="9.140625" style="11"/>
    <col min="3847" max="3847" width="12.5703125" style="11" customWidth="1"/>
    <col min="3848" max="3848" width="10.5703125" style="11" customWidth="1"/>
    <col min="3849" max="3849" width="12.85546875" style="11" customWidth="1"/>
    <col min="3850" max="4096" width="9.140625" style="11"/>
    <col min="4097" max="4097" width="12.5703125" style="11" customWidth="1"/>
    <col min="4098" max="4098" width="14.42578125" style="11" customWidth="1"/>
    <col min="4099" max="4102" width="9.140625" style="11"/>
    <col min="4103" max="4103" width="12.5703125" style="11" customWidth="1"/>
    <col min="4104" max="4104" width="10.5703125" style="11" customWidth="1"/>
    <col min="4105" max="4105" width="12.85546875" style="11" customWidth="1"/>
    <col min="4106" max="4352" width="9.140625" style="11"/>
    <col min="4353" max="4353" width="12.5703125" style="11" customWidth="1"/>
    <col min="4354" max="4354" width="14.42578125" style="11" customWidth="1"/>
    <col min="4355" max="4358" width="9.140625" style="11"/>
    <col min="4359" max="4359" width="12.5703125" style="11" customWidth="1"/>
    <col min="4360" max="4360" width="10.5703125" style="11" customWidth="1"/>
    <col min="4361" max="4361" width="12.85546875" style="11" customWidth="1"/>
    <col min="4362" max="4608" width="9.140625" style="11"/>
    <col min="4609" max="4609" width="12.5703125" style="11" customWidth="1"/>
    <col min="4610" max="4610" width="14.42578125" style="11" customWidth="1"/>
    <col min="4611" max="4614" width="9.140625" style="11"/>
    <col min="4615" max="4615" width="12.5703125" style="11" customWidth="1"/>
    <col min="4616" max="4616" width="10.5703125" style="11" customWidth="1"/>
    <col min="4617" max="4617" width="12.85546875" style="11" customWidth="1"/>
    <col min="4618" max="4864" width="9.140625" style="11"/>
    <col min="4865" max="4865" width="12.5703125" style="11" customWidth="1"/>
    <col min="4866" max="4866" width="14.42578125" style="11" customWidth="1"/>
    <col min="4867" max="4870" width="9.140625" style="11"/>
    <col min="4871" max="4871" width="12.5703125" style="11" customWidth="1"/>
    <col min="4872" max="4872" width="10.5703125" style="11" customWidth="1"/>
    <col min="4873" max="4873" width="12.85546875" style="11" customWidth="1"/>
    <col min="4874" max="5120" width="9.140625" style="11"/>
    <col min="5121" max="5121" width="12.5703125" style="11" customWidth="1"/>
    <col min="5122" max="5122" width="14.42578125" style="11" customWidth="1"/>
    <col min="5123" max="5126" width="9.140625" style="11"/>
    <col min="5127" max="5127" width="12.5703125" style="11" customWidth="1"/>
    <col min="5128" max="5128" width="10.5703125" style="11" customWidth="1"/>
    <col min="5129" max="5129" width="12.85546875" style="11" customWidth="1"/>
    <col min="5130" max="5376" width="9.140625" style="11"/>
    <col min="5377" max="5377" width="12.5703125" style="11" customWidth="1"/>
    <col min="5378" max="5378" width="14.42578125" style="11" customWidth="1"/>
    <col min="5379" max="5382" width="9.140625" style="11"/>
    <col min="5383" max="5383" width="12.5703125" style="11" customWidth="1"/>
    <col min="5384" max="5384" width="10.5703125" style="11" customWidth="1"/>
    <col min="5385" max="5385" width="12.85546875" style="11" customWidth="1"/>
    <col min="5386" max="5632" width="9.140625" style="11"/>
    <col min="5633" max="5633" width="12.5703125" style="11" customWidth="1"/>
    <col min="5634" max="5634" width="14.42578125" style="11" customWidth="1"/>
    <col min="5635" max="5638" width="9.140625" style="11"/>
    <col min="5639" max="5639" width="12.5703125" style="11" customWidth="1"/>
    <col min="5640" max="5640" width="10.5703125" style="11" customWidth="1"/>
    <col min="5641" max="5641" width="12.85546875" style="11" customWidth="1"/>
    <col min="5642" max="5888" width="9.140625" style="11"/>
    <col min="5889" max="5889" width="12.5703125" style="11" customWidth="1"/>
    <col min="5890" max="5890" width="14.42578125" style="11" customWidth="1"/>
    <col min="5891" max="5894" width="9.140625" style="11"/>
    <col min="5895" max="5895" width="12.5703125" style="11" customWidth="1"/>
    <col min="5896" max="5896" width="10.5703125" style="11" customWidth="1"/>
    <col min="5897" max="5897" width="12.85546875" style="11" customWidth="1"/>
    <col min="5898" max="6144" width="9.140625" style="11"/>
    <col min="6145" max="6145" width="12.5703125" style="11" customWidth="1"/>
    <col min="6146" max="6146" width="14.42578125" style="11" customWidth="1"/>
    <col min="6147" max="6150" width="9.140625" style="11"/>
    <col min="6151" max="6151" width="12.5703125" style="11" customWidth="1"/>
    <col min="6152" max="6152" width="10.5703125" style="11" customWidth="1"/>
    <col min="6153" max="6153" width="12.85546875" style="11" customWidth="1"/>
    <col min="6154" max="6400" width="9.140625" style="11"/>
    <col min="6401" max="6401" width="12.5703125" style="11" customWidth="1"/>
    <col min="6402" max="6402" width="14.42578125" style="11" customWidth="1"/>
    <col min="6403" max="6406" width="9.140625" style="11"/>
    <col min="6407" max="6407" width="12.5703125" style="11" customWidth="1"/>
    <col min="6408" max="6408" width="10.5703125" style="11" customWidth="1"/>
    <col min="6409" max="6409" width="12.85546875" style="11" customWidth="1"/>
    <col min="6410" max="6656" width="9.140625" style="11"/>
    <col min="6657" max="6657" width="12.5703125" style="11" customWidth="1"/>
    <col min="6658" max="6658" width="14.42578125" style="11" customWidth="1"/>
    <col min="6659" max="6662" width="9.140625" style="11"/>
    <col min="6663" max="6663" width="12.5703125" style="11" customWidth="1"/>
    <col min="6664" max="6664" width="10.5703125" style="11" customWidth="1"/>
    <col min="6665" max="6665" width="12.85546875" style="11" customWidth="1"/>
    <col min="6666" max="6912" width="9.140625" style="11"/>
    <col min="6913" max="6913" width="12.5703125" style="11" customWidth="1"/>
    <col min="6914" max="6914" width="14.42578125" style="11" customWidth="1"/>
    <col min="6915" max="6918" width="9.140625" style="11"/>
    <col min="6919" max="6919" width="12.5703125" style="11" customWidth="1"/>
    <col min="6920" max="6920" width="10.5703125" style="11" customWidth="1"/>
    <col min="6921" max="6921" width="12.85546875" style="11" customWidth="1"/>
    <col min="6922" max="7168" width="9.140625" style="11"/>
    <col min="7169" max="7169" width="12.5703125" style="11" customWidth="1"/>
    <col min="7170" max="7170" width="14.42578125" style="11" customWidth="1"/>
    <col min="7171" max="7174" width="9.140625" style="11"/>
    <col min="7175" max="7175" width="12.5703125" style="11" customWidth="1"/>
    <col min="7176" max="7176" width="10.5703125" style="11" customWidth="1"/>
    <col min="7177" max="7177" width="12.85546875" style="11" customWidth="1"/>
    <col min="7178" max="7424" width="9.140625" style="11"/>
    <col min="7425" max="7425" width="12.5703125" style="11" customWidth="1"/>
    <col min="7426" max="7426" width="14.42578125" style="11" customWidth="1"/>
    <col min="7427" max="7430" width="9.140625" style="11"/>
    <col min="7431" max="7431" width="12.5703125" style="11" customWidth="1"/>
    <col min="7432" max="7432" width="10.5703125" style="11" customWidth="1"/>
    <col min="7433" max="7433" width="12.85546875" style="11" customWidth="1"/>
    <col min="7434" max="7680" width="9.140625" style="11"/>
    <col min="7681" max="7681" width="12.5703125" style="11" customWidth="1"/>
    <col min="7682" max="7682" width="14.42578125" style="11" customWidth="1"/>
    <col min="7683" max="7686" width="9.140625" style="11"/>
    <col min="7687" max="7687" width="12.5703125" style="11" customWidth="1"/>
    <col min="7688" max="7688" width="10.5703125" style="11" customWidth="1"/>
    <col min="7689" max="7689" width="12.85546875" style="11" customWidth="1"/>
    <col min="7690" max="7936" width="9.140625" style="11"/>
    <col min="7937" max="7937" width="12.5703125" style="11" customWidth="1"/>
    <col min="7938" max="7938" width="14.42578125" style="11" customWidth="1"/>
    <col min="7939" max="7942" width="9.140625" style="11"/>
    <col min="7943" max="7943" width="12.5703125" style="11" customWidth="1"/>
    <col min="7944" max="7944" width="10.5703125" style="11" customWidth="1"/>
    <col min="7945" max="7945" width="12.85546875" style="11" customWidth="1"/>
    <col min="7946" max="8192" width="9.140625" style="11"/>
    <col min="8193" max="8193" width="12.5703125" style="11" customWidth="1"/>
    <col min="8194" max="8194" width="14.42578125" style="11" customWidth="1"/>
    <col min="8195" max="8198" width="9.140625" style="11"/>
    <col min="8199" max="8199" width="12.5703125" style="11" customWidth="1"/>
    <col min="8200" max="8200" width="10.5703125" style="11" customWidth="1"/>
    <col min="8201" max="8201" width="12.85546875" style="11" customWidth="1"/>
    <col min="8202" max="8448" width="9.140625" style="11"/>
    <col min="8449" max="8449" width="12.5703125" style="11" customWidth="1"/>
    <col min="8450" max="8450" width="14.42578125" style="11" customWidth="1"/>
    <col min="8451" max="8454" width="9.140625" style="11"/>
    <col min="8455" max="8455" width="12.5703125" style="11" customWidth="1"/>
    <col min="8456" max="8456" width="10.5703125" style="11" customWidth="1"/>
    <col min="8457" max="8457" width="12.85546875" style="11" customWidth="1"/>
    <col min="8458" max="8704" width="9.140625" style="11"/>
    <col min="8705" max="8705" width="12.5703125" style="11" customWidth="1"/>
    <col min="8706" max="8706" width="14.42578125" style="11" customWidth="1"/>
    <col min="8707" max="8710" width="9.140625" style="11"/>
    <col min="8711" max="8711" width="12.5703125" style="11" customWidth="1"/>
    <col min="8712" max="8712" width="10.5703125" style="11" customWidth="1"/>
    <col min="8713" max="8713" width="12.85546875" style="11" customWidth="1"/>
    <col min="8714" max="8960" width="9.140625" style="11"/>
    <col min="8961" max="8961" width="12.5703125" style="11" customWidth="1"/>
    <col min="8962" max="8962" width="14.42578125" style="11" customWidth="1"/>
    <col min="8963" max="8966" width="9.140625" style="11"/>
    <col min="8967" max="8967" width="12.5703125" style="11" customWidth="1"/>
    <col min="8968" max="8968" width="10.5703125" style="11" customWidth="1"/>
    <col min="8969" max="8969" width="12.85546875" style="11" customWidth="1"/>
    <col min="8970" max="9216" width="9.140625" style="11"/>
    <col min="9217" max="9217" width="12.5703125" style="11" customWidth="1"/>
    <col min="9218" max="9218" width="14.42578125" style="11" customWidth="1"/>
    <col min="9219" max="9222" width="9.140625" style="11"/>
    <col min="9223" max="9223" width="12.5703125" style="11" customWidth="1"/>
    <col min="9224" max="9224" width="10.5703125" style="11" customWidth="1"/>
    <col min="9225" max="9225" width="12.85546875" style="11" customWidth="1"/>
    <col min="9226" max="9472" width="9.140625" style="11"/>
    <col min="9473" max="9473" width="12.5703125" style="11" customWidth="1"/>
    <col min="9474" max="9474" width="14.42578125" style="11" customWidth="1"/>
    <col min="9475" max="9478" width="9.140625" style="11"/>
    <col min="9479" max="9479" width="12.5703125" style="11" customWidth="1"/>
    <col min="9480" max="9480" width="10.5703125" style="11" customWidth="1"/>
    <col min="9481" max="9481" width="12.85546875" style="11" customWidth="1"/>
    <col min="9482" max="9728" width="9.140625" style="11"/>
    <col min="9729" max="9729" width="12.5703125" style="11" customWidth="1"/>
    <col min="9730" max="9730" width="14.42578125" style="11" customWidth="1"/>
    <col min="9731" max="9734" width="9.140625" style="11"/>
    <col min="9735" max="9735" width="12.5703125" style="11" customWidth="1"/>
    <col min="9736" max="9736" width="10.5703125" style="11" customWidth="1"/>
    <col min="9737" max="9737" width="12.85546875" style="11" customWidth="1"/>
    <col min="9738" max="9984" width="9.140625" style="11"/>
    <col min="9985" max="9985" width="12.5703125" style="11" customWidth="1"/>
    <col min="9986" max="9986" width="14.42578125" style="11" customWidth="1"/>
    <col min="9987" max="9990" width="9.140625" style="11"/>
    <col min="9991" max="9991" width="12.5703125" style="11" customWidth="1"/>
    <col min="9992" max="9992" width="10.5703125" style="11" customWidth="1"/>
    <col min="9993" max="9993" width="12.85546875" style="11" customWidth="1"/>
    <col min="9994" max="10240" width="9.140625" style="11"/>
    <col min="10241" max="10241" width="12.5703125" style="11" customWidth="1"/>
    <col min="10242" max="10242" width="14.42578125" style="11" customWidth="1"/>
    <col min="10243" max="10246" width="9.140625" style="11"/>
    <col min="10247" max="10247" width="12.5703125" style="11" customWidth="1"/>
    <col min="10248" max="10248" width="10.5703125" style="11" customWidth="1"/>
    <col min="10249" max="10249" width="12.85546875" style="11" customWidth="1"/>
    <col min="10250" max="10496" width="9.140625" style="11"/>
    <col min="10497" max="10497" width="12.5703125" style="11" customWidth="1"/>
    <col min="10498" max="10498" width="14.42578125" style="11" customWidth="1"/>
    <col min="10499" max="10502" width="9.140625" style="11"/>
    <col min="10503" max="10503" width="12.5703125" style="11" customWidth="1"/>
    <col min="10504" max="10504" width="10.5703125" style="11" customWidth="1"/>
    <col min="10505" max="10505" width="12.85546875" style="11" customWidth="1"/>
    <col min="10506" max="10752" width="9.140625" style="11"/>
    <col min="10753" max="10753" width="12.5703125" style="11" customWidth="1"/>
    <col min="10754" max="10754" width="14.42578125" style="11" customWidth="1"/>
    <col min="10755" max="10758" width="9.140625" style="11"/>
    <col min="10759" max="10759" width="12.5703125" style="11" customWidth="1"/>
    <col min="10760" max="10760" width="10.5703125" style="11" customWidth="1"/>
    <col min="10761" max="10761" width="12.85546875" style="11" customWidth="1"/>
    <col min="10762" max="11008" width="9.140625" style="11"/>
    <col min="11009" max="11009" width="12.5703125" style="11" customWidth="1"/>
    <col min="11010" max="11010" width="14.42578125" style="11" customWidth="1"/>
    <col min="11011" max="11014" width="9.140625" style="11"/>
    <col min="11015" max="11015" width="12.5703125" style="11" customWidth="1"/>
    <col min="11016" max="11016" width="10.5703125" style="11" customWidth="1"/>
    <col min="11017" max="11017" width="12.85546875" style="11" customWidth="1"/>
    <col min="11018" max="11264" width="9.140625" style="11"/>
    <col min="11265" max="11265" width="12.5703125" style="11" customWidth="1"/>
    <col min="11266" max="11266" width="14.42578125" style="11" customWidth="1"/>
    <col min="11267" max="11270" width="9.140625" style="11"/>
    <col min="11271" max="11271" width="12.5703125" style="11" customWidth="1"/>
    <col min="11272" max="11272" width="10.5703125" style="11" customWidth="1"/>
    <col min="11273" max="11273" width="12.85546875" style="11" customWidth="1"/>
    <col min="11274" max="11520" width="9.140625" style="11"/>
    <col min="11521" max="11521" width="12.5703125" style="11" customWidth="1"/>
    <col min="11522" max="11522" width="14.42578125" style="11" customWidth="1"/>
    <col min="11523" max="11526" width="9.140625" style="11"/>
    <col min="11527" max="11527" width="12.5703125" style="11" customWidth="1"/>
    <col min="11528" max="11528" width="10.5703125" style="11" customWidth="1"/>
    <col min="11529" max="11529" width="12.85546875" style="11" customWidth="1"/>
    <col min="11530" max="11776" width="9.140625" style="11"/>
    <col min="11777" max="11777" width="12.5703125" style="11" customWidth="1"/>
    <col min="11778" max="11778" width="14.42578125" style="11" customWidth="1"/>
    <col min="11779" max="11782" width="9.140625" style="11"/>
    <col min="11783" max="11783" width="12.5703125" style="11" customWidth="1"/>
    <col min="11784" max="11784" width="10.5703125" style="11" customWidth="1"/>
    <col min="11785" max="11785" width="12.85546875" style="11" customWidth="1"/>
    <col min="11786" max="12032" width="9.140625" style="11"/>
    <col min="12033" max="12033" width="12.5703125" style="11" customWidth="1"/>
    <col min="12034" max="12034" width="14.42578125" style="11" customWidth="1"/>
    <col min="12035" max="12038" width="9.140625" style="11"/>
    <col min="12039" max="12039" width="12.5703125" style="11" customWidth="1"/>
    <col min="12040" max="12040" width="10.5703125" style="11" customWidth="1"/>
    <col min="12041" max="12041" width="12.85546875" style="11" customWidth="1"/>
    <col min="12042" max="12288" width="9.140625" style="11"/>
    <col min="12289" max="12289" width="12.5703125" style="11" customWidth="1"/>
    <col min="12290" max="12290" width="14.42578125" style="11" customWidth="1"/>
    <col min="12291" max="12294" width="9.140625" style="11"/>
    <col min="12295" max="12295" width="12.5703125" style="11" customWidth="1"/>
    <col min="12296" max="12296" width="10.5703125" style="11" customWidth="1"/>
    <col min="12297" max="12297" width="12.85546875" style="11" customWidth="1"/>
    <col min="12298" max="12544" width="9.140625" style="11"/>
    <col min="12545" max="12545" width="12.5703125" style="11" customWidth="1"/>
    <col min="12546" max="12546" width="14.42578125" style="11" customWidth="1"/>
    <col min="12547" max="12550" width="9.140625" style="11"/>
    <col min="12551" max="12551" width="12.5703125" style="11" customWidth="1"/>
    <col min="12552" max="12552" width="10.5703125" style="11" customWidth="1"/>
    <col min="12553" max="12553" width="12.85546875" style="11" customWidth="1"/>
    <col min="12554" max="12800" width="9.140625" style="11"/>
    <col min="12801" max="12801" width="12.5703125" style="11" customWidth="1"/>
    <col min="12802" max="12802" width="14.42578125" style="11" customWidth="1"/>
    <col min="12803" max="12806" width="9.140625" style="11"/>
    <col min="12807" max="12807" width="12.5703125" style="11" customWidth="1"/>
    <col min="12808" max="12808" width="10.5703125" style="11" customWidth="1"/>
    <col min="12809" max="12809" width="12.85546875" style="11" customWidth="1"/>
    <col min="12810" max="13056" width="9.140625" style="11"/>
    <col min="13057" max="13057" width="12.5703125" style="11" customWidth="1"/>
    <col min="13058" max="13058" width="14.42578125" style="11" customWidth="1"/>
    <col min="13059" max="13062" width="9.140625" style="11"/>
    <col min="13063" max="13063" width="12.5703125" style="11" customWidth="1"/>
    <col min="13064" max="13064" width="10.5703125" style="11" customWidth="1"/>
    <col min="13065" max="13065" width="12.85546875" style="11" customWidth="1"/>
    <col min="13066" max="13312" width="9.140625" style="11"/>
    <col min="13313" max="13313" width="12.5703125" style="11" customWidth="1"/>
    <col min="13314" max="13314" width="14.42578125" style="11" customWidth="1"/>
    <col min="13315" max="13318" width="9.140625" style="11"/>
    <col min="13319" max="13319" width="12.5703125" style="11" customWidth="1"/>
    <col min="13320" max="13320" width="10.5703125" style="11" customWidth="1"/>
    <col min="13321" max="13321" width="12.85546875" style="11" customWidth="1"/>
    <col min="13322" max="13568" width="9.140625" style="11"/>
    <col min="13569" max="13569" width="12.5703125" style="11" customWidth="1"/>
    <col min="13570" max="13570" width="14.42578125" style="11" customWidth="1"/>
    <col min="13571" max="13574" width="9.140625" style="11"/>
    <col min="13575" max="13575" width="12.5703125" style="11" customWidth="1"/>
    <col min="13576" max="13576" width="10.5703125" style="11" customWidth="1"/>
    <col min="13577" max="13577" width="12.85546875" style="11" customWidth="1"/>
    <col min="13578" max="13824" width="9.140625" style="11"/>
    <col min="13825" max="13825" width="12.5703125" style="11" customWidth="1"/>
    <col min="13826" max="13826" width="14.42578125" style="11" customWidth="1"/>
    <col min="13827" max="13830" width="9.140625" style="11"/>
    <col min="13831" max="13831" width="12.5703125" style="11" customWidth="1"/>
    <col min="13832" max="13832" width="10.5703125" style="11" customWidth="1"/>
    <col min="13833" max="13833" width="12.85546875" style="11" customWidth="1"/>
    <col min="13834" max="14080" width="9.140625" style="11"/>
    <col min="14081" max="14081" width="12.5703125" style="11" customWidth="1"/>
    <col min="14082" max="14082" width="14.42578125" style="11" customWidth="1"/>
    <col min="14083" max="14086" width="9.140625" style="11"/>
    <col min="14087" max="14087" width="12.5703125" style="11" customWidth="1"/>
    <col min="14088" max="14088" width="10.5703125" style="11" customWidth="1"/>
    <col min="14089" max="14089" width="12.85546875" style="11" customWidth="1"/>
    <col min="14090" max="14336" width="9.140625" style="11"/>
    <col min="14337" max="14337" width="12.5703125" style="11" customWidth="1"/>
    <col min="14338" max="14338" width="14.42578125" style="11" customWidth="1"/>
    <col min="14339" max="14342" width="9.140625" style="11"/>
    <col min="14343" max="14343" width="12.5703125" style="11" customWidth="1"/>
    <col min="14344" max="14344" width="10.5703125" style="11" customWidth="1"/>
    <col min="14345" max="14345" width="12.85546875" style="11" customWidth="1"/>
    <col min="14346" max="14592" width="9.140625" style="11"/>
    <col min="14593" max="14593" width="12.5703125" style="11" customWidth="1"/>
    <col min="14594" max="14594" width="14.42578125" style="11" customWidth="1"/>
    <col min="14595" max="14598" width="9.140625" style="11"/>
    <col min="14599" max="14599" width="12.5703125" style="11" customWidth="1"/>
    <col min="14600" max="14600" width="10.5703125" style="11" customWidth="1"/>
    <col min="14601" max="14601" width="12.85546875" style="11" customWidth="1"/>
    <col min="14602" max="14848" width="9.140625" style="11"/>
    <col min="14849" max="14849" width="12.5703125" style="11" customWidth="1"/>
    <col min="14850" max="14850" width="14.42578125" style="11" customWidth="1"/>
    <col min="14851" max="14854" width="9.140625" style="11"/>
    <col min="14855" max="14855" width="12.5703125" style="11" customWidth="1"/>
    <col min="14856" max="14856" width="10.5703125" style="11" customWidth="1"/>
    <col min="14857" max="14857" width="12.85546875" style="11" customWidth="1"/>
    <col min="14858" max="15104" width="9.140625" style="11"/>
    <col min="15105" max="15105" width="12.5703125" style="11" customWidth="1"/>
    <col min="15106" max="15106" width="14.42578125" style="11" customWidth="1"/>
    <col min="15107" max="15110" width="9.140625" style="11"/>
    <col min="15111" max="15111" width="12.5703125" style="11" customWidth="1"/>
    <col min="15112" max="15112" width="10.5703125" style="11" customWidth="1"/>
    <col min="15113" max="15113" width="12.85546875" style="11" customWidth="1"/>
    <col min="15114" max="15360" width="9.140625" style="11"/>
    <col min="15361" max="15361" width="12.5703125" style="11" customWidth="1"/>
    <col min="15362" max="15362" width="14.42578125" style="11" customWidth="1"/>
    <col min="15363" max="15366" width="9.140625" style="11"/>
    <col min="15367" max="15367" width="12.5703125" style="11" customWidth="1"/>
    <col min="15368" max="15368" width="10.5703125" style="11" customWidth="1"/>
    <col min="15369" max="15369" width="12.85546875" style="11" customWidth="1"/>
    <col min="15370" max="15616" width="9.140625" style="11"/>
    <col min="15617" max="15617" width="12.5703125" style="11" customWidth="1"/>
    <col min="15618" max="15618" width="14.42578125" style="11" customWidth="1"/>
    <col min="15619" max="15622" width="9.140625" style="11"/>
    <col min="15623" max="15623" width="12.5703125" style="11" customWidth="1"/>
    <col min="15624" max="15624" width="10.5703125" style="11" customWidth="1"/>
    <col min="15625" max="15625" width="12.85546875" style="11" customWidth="1"/>
    <col min="15626" max="15872" width="9.140625" style="11"/>
    <col min="15873" max="15873" width="12.5703125" style="11" customWidth="1"/>
    <col min="15874" max="15874" width="14.42578125" style="11" customWidth="1"/>
    <col min="15875" max="15878" width="9.140625" style="11"/>
    <col min="15879" max="15879" width="12.5703125" style="11" customWidth="1"/>
    <col min="15880" max="15880" width="10.5703125" style="11" customWidth="1"/>
    <col min="15881" max="15881" width="12.85546875" style="11" customWidth="1"/>
    <col min="15882" max="16128" width="9.140625" style="11"/>
    <col min="16129" max="16129" width="12.5703125" style="11" customWidth="1"/>
    <col min="16130" max="16130" width="14.42578125" style="11" customWidth="1"/>
    <col min="16131" max="16134" width="9.140625" style="11"/>
    <col min="16135" max="16135" width="12.5703125" style="11" customWidth="1"/>
    <col min="16136" max="16136" width="10.5703125" style="11" customWidth="1"/>
    <col min="16137" max="16137" width="12.85546875" style="11" customWidth="1"/>
    <col min="16138" max="16384" width="9.140625" style="11"/>
  </cols>
  <sheetData>
    <row r="1" spans="1:22">
      <c r="A1" s="20" t="s">
        <v>76</v>
      </c>
      <c r="J1" s="33"/>
    </row>
    <row r="2" spans="1:22">
      <c r="J2" s="33"/>
      <c r="T2"/>
      <c r="V2"/>
    </row>
    <row r="3" spans="1:22">
      <c r="A3" s="20" t="s">
        <v>77</v>
      </c>
      <c r="I3" s="20"/>
    </row>
    <row r="4" spans="1:22">
      <c r="C4" s="22" t="s">
        <v>78</v>
      </c>
      <c r="D4" s="34"/>
      <c r="E4" s="34"/>
      <c r="F4" s="34"/>
    </row>
    <row r="5" spans="1:22">
      <c r="C5" s="23" t="s">
        <v>79</v>
      </c>
      <c r="D5" s="23" t="s">
        <v>80</v>
      </c>
      <c r="E5" s="23" t="s">
        <v>81</v>
      </c>
      <c r="F5" s="23" t="s">
        <v>82</v>
      </c>
    </row>
    <row r="6" spans="1:22">
      <c r="A6" s="11" t="s">
        <v>83</v>
      </c>
      <c r="B6" s="11" t="s">
        <v>84</v>
      </c>
      <c r="C6" s="35">
        <v>131</v>
      </c>
      <c r="D6" s="35">
        <v>218</v>
      </c>
      <c r="E6" s="35">
        <v>266</v>
      </c>
      <c r="F6" s="35">
        <v>120</v>
      </c>
    </row>
    <row r="7" spans="1:22">
      <c r="B7" s="11" t="s">
        <v>85</v>
      </c>
      <c r="C7" s="35">
        <v>250</v>
      </c>
      <c r="D7" s="35">
        <v>116</v>
      </c>
      <c r="E7" s="35">
        <v>263</v>
      </c>
      <c r="F7" s="35">
        <v>278</v>
      </c>
    </row>
    <row r="8" spans="1:22">
      <c r="B8" s="11" t="s">
        <v>86</v>
      </c>
      <c r="C8" s="35">
        <v>178</v>
      </c>
      <c r="D8" s="35">
        <v>132</v>
      </c>
      <c r="E8" s="35">
        <v>122</v>
      </c>
      <c r="F8" s="35">
        <v>180</v>
      </c>
    </row>
    <row r="10" spans="1:22">
      <c r="A10" s="20" t="s">
        <v>87</v>
      </c>
    </row>
    <row r="11" spans="1:22">
      <c r="C11" s="22" t="s">
        <v>78</v>
      </c>
      <c r="D11" s="34"/>
      <c r="E11" s="34"/>
      <c r="F11" s="34"/>
    </row>
    <row r="12" spans="1:22">
      <c r="C12" s="23" t="s">
        <v>79</v>
      </c>
      <c r="D12" s="23" t="s">
        <v>80</v>
      </c>
      <c r="E12" s="23" t="s">
        <v>81</v>
      </c>
      <c r="F12" s="23" t="s">
        <v>82</v>
      </c>
      <c r="G12" s="23" t="s">
        <v>88</v>
      </c>
      <c r="H12" s="23"/>
      <c r="I12" s="23" t="s">
        <v>89</v>
      </c>
      <c r="K12" s="23"/>
    </row>
    <row r="13" spans="1:22">
      <c r="A13" s="11" t="s">
        <v>83</v>
      </c>
      <c r="B13" s="11" t="s">
        <v>84</v>
      </c>
      <c r="C13" s="47"/>
      <c r="D13" s="47"/>
      <c r="E13" s="47"/>
      <c r="F13" s="47"/>
      <c r="H13" s="36" t="s">
        <v>278</v>
      </c>
      <c r="I13" s="13">
        <v>450</v>
      </c>
    </row>
    <row r="14" spans="1:22">
      <c r="B14" s="11" t="s">
        <v>85</v>
      </c>
      <c r="C14" s="47"/>
      <c r="D14" s="47"/>
      <c r="E14" s="47"/>
      <c r="F14" s="47"/>
      <c r="H14" s="36"/>
      <c r="I14" s="13">
        <v>600</v>
      </c>
    </row>
    <row r="15" spans="1:22">
      <c r="B15" s="11" t="s">
        <v>86</v>
      </c>
      <c r="C15" s="47"/>
      <c r="D15" s="47"/>
      <c r="E15" s="47"/>
      <c r="F15" s="47"/>
      <c r="H15" s="36"/>
      <c r="I15" s="13">
        <v>500</v>
      </c>
    </row>
    <row r="16" spans="1:22">
      <c r="B16" s="11" t="s">
        <v>90</v>
      </c>
    </row>
    <row r="17" spans="1:11">
      <c r="C17" s="21" t="s">
        <v>220</v>
      </c>
      <c r="D17" s="21"/>
      <c r="E17" s="21"/>
      <c r="F17" s="21"/>
      <c r="K17" s="23"/>
    </row>
    <row r="18" spans="1:11">
      <c r="B18" s="11" t="s">
        <v>54</v>
      </c>
      <c r="C18" s="13">
        <v>450</v>
      </c>
      <c r="D18" s="13">
        <v>200</v>
      </c>
      <c r="E18" s="13">
        <v>300</v>
      </c>
      <c r="F18" s="13">
        <v>300</v>
      </c>
      <c r="K18" s="37"/>
    </row>
    <row r="20" spans="1:11">
      <c r="A20" s="20" t="s">
        <v>91</v>
      </c>
    </row>
    <row r="21" spans="1:11">
      <c r="A21" s="22" t="s">
        <v>92</v>
      </c>
      <c r="B21" s="3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2"/>
  <sheetViews>
    <sheetView topLeftCell="A5" zoomScaleNormal="100" workbookViewId="0">
      <selection activeCell="M15" sqref="M15"/>
    </sheetView>
  </sheetViews>
  <sheetFormatPr defaultRowHeight="15"/>
  <cols>
    <col min="1" max="1" width="12.5703125" style="11" customWidth="1"/>
    <col min="2" max="2" width="14.42578125" style="11" customWidth="1"/>
    <col min="3" max="6" width="8.85546875" style="11"/>
    <col min="7" max="7" width="12.5703125" style="11" customWidth="1"/>
    <col min="8" max="8" width="10.5703125" style="11" customWidth="1"/>
    <col min="9" max="9" width="12.85546875" style="11" customWidth="1"/>
    <col min="10" max="10" width="8.85546875" style="11"/>
    <col min="11" max="11" width="7.5703125" style="11" bestFit="1" customWidth="1"/>
    <col min="12" max="14" width="8.85546875" style="11"/>
    <col min="15" max="15" width="15.140625" style="11" customWidth="1"/>
    <col min="16" max="256" width="8.85546875" style="11"/>
    <col min="257" max="257" width="12.5703125" style="11" customWidth="1"/>
    <col min="258" max="258" width="14.42578125" style="11" customWidth="1"/>
    <col min="259" max="262" width="8.85546875" style="11"/>
    <col min="263" max="263" width="12.5703125" style="11" customWidth="1"/>
    <col min="264" max="264" width="10.5703125" style="11" customWidth="1"/>
    <col min="265" max="265" width="12.85546875" style="11" customWidth="1"/>
    <col min="266" max="512" width="8.85546875" style="11"/>
    <col min="513" max="513" width="12.5703125" style="11" customWidth="1"/>
    <col min="514" max="514" width="14.42578125" style="11" customWidth="1"/>
    <col min="515" max="518" width="8.85546875" style="11"/>
    <col min="519" max="519" width="12.5703125" style="11" customWidth="1"/>
    <col min="520" max="520" width="10.5703125" style="11" customWidth="1"/>
    <col min="521" max="521" width="12.85546875" style="11" customWidth="1"/>
    <col min="522" max="768" width="8.85546875" style="11"/>
    <col min="769" max="769" width="12.5703125" style="11" customWidth="1"/>
    <col min="770" max="770" width="14.42578125" style="11" customWidth="1"/>
    <col min="771" max="774" width="8.85546875" style="11"/>
    <col min="775" max="775" width="12.5703125" style="11" customWidth="1"/>
    <col min="776" max="776" width="10.5703125" style="11" customWidth="1"/>
    <col min="777" max="777" width="12.85546875" style="11" customWidth="1"/>
    <col min="778" max="1024" width="8.85546875" style="11"/>
    <col min="1025" max="1025" width="12.5703125" style="11" customWidth="1"/>
    <col min="1026" max="1026" width="14.42578125" style="11" customWidth="1"/>
    <col min="1027" max="1030" width="8.85546875" style="11"/>
    <col min="1031" max="1031" width="12.5703125" style="11" customWidth="1"/>
    <col min="1032" max="1032" width="10.5703125" style="11" customWidth="1"/>
    <col min="1033" max="1033" width="12.85546875" style="11" customWidth="1"/>
    <col min="1034" max="1280" width="8.85546875" style="11"/>
    <col min="1281" max="1281" width="12.5703125" style="11" customWidth="1"/>
    <col min="1282" max="1282" width="14.42578125" style="11" customWidth="1"/>
    <col min="1283" max="1286" width="8.85546875" style="11"/>
    <col min="1287" max="1287" width="12.5703125" style="11" customWidth="1"/>
    <col min="1288" max="1288" width="10.5703125" style="11" customWidth="1"/>
    <col min="1289" max="1289" width="12.85546875" style="11" customWidth="1"/>
    <col min="1290" max="1536" width="8.85546875" style="11"/>
    <col min="1537" max="1537" width="12.5703125" style="11" customWidth="1"/>
    <col min="1538" max="1538" width="14.42578125" style="11" customWidth="1"/>
    <col min="1539" max="1542" width="8.85546875" style="11"/>
    <col min="1543" max="1543" width="12.5703125" style="11" customWidth="1"/>
    <col min="1544" max="1544" width="10.5703125" style="11" customWidth="1"/>
    <col min="1545" max="1545" width="12.85546875" style="11" customWidth="1"/>
    <col min="1546" max="1792" width="8.85546875" style="11"/>
    <col min="1793" max="1793" width="12.5703125" style="11" customWidth="1"/>
    <col min="1794" max="1794" width="14.42578125" style="11" customWidth="1"/>
    <col min="1795" max="1798" width="8.85546875" style="11"/>
    <col min="1799" max="1799" width="12.5703125" style="11" customWidth="1"/>
    <col min="1800" max="1800" width="10.5703125" style="11" customWidth="1"/>
    <col min="1801" max="1801" width="12.85546875" style="11" customWidth="1"/>
    <col min="1802" max="2048" width="8.85546875" style="11"/>
    <col min="2049" max="2049" width="12.5703125" style="11" customWidth="1"/>
    <col min="2050" max="2050" width="14.42578125" style="11" customWidth="1"/>
    <col min="2051" max="2054" width="8.85546875" style="11"/>
    <col min="2055" max="2055" width="12.5703125" style="11" customWidth="1"/>
    <col min="2056" max="2056" width="10.5703125" style="11" customWidth="1"/>
    <col min="2057" max="2057" width="12.85546875" style="11" customWidth="1"/>
    <col min="2058" max="2304" width="8.85546875" style="11"/>
    <col min="2305" max="2305" width="12.5703125" style="11" customWidth="1"/>
    <col min="2306" max="2306" width="14.42578125" style="11" customWidth="1"/>
    <col min="2307" max="2310" width="8.85546875" style="11"/>
    <col min="2311" max="2311" width="12.5703125" style="11" customWidth="1"/>
    <col min="2312" max="2312" width="10.5703125" style="11" customWidth="1"/>
    <col min="2313" max="2313" width="12.85546875" style="11" customWidth="1"/>
    <col min="2314" max="2560" width="8.85546875" style="11"/>
    <col min="2561" max="2561" width="12.5703125" style="11" customWidth="1"/>
    <col min="2562" max="2562" width="14.42578125" style="11" customWidth="1"/>
    <col min="2563" max="2566" width="8.85546875" style="11"/>
    <col min="2567" max="2567" width="12.5703125" style="11" customWidth="1"/>
    <col min="2568" max="2568" width="10.5703125" style="11" customWidth="1"/>
    <col min="2569" max="2569" width="12.85546875" style="11" customWidth="1"/>
    <col min="2570" max="2816" width="8.85546875" style="11"/>
    <col min="2817" max="2817" width="12.5703125" style="11" customWidth="1"/>
    <col min="2818" max="2818" width="14.42578125" style="11" customWidth="1"/>
    <col min="2819" max="2822" width="8.85546875" style="11"/>
    <col min="2823" max="2823" width="12.5703125" style="11" customWidth="1"/>
    <col min="2824" max="2824" width="10.5703125" style="11" customWidth="1"/>
    <col min="2825" max="2825" width="12.85546875" style="11" customWidth="1"/>
    <col min="2826" max="3072" width="8.85546875" style="11"/>
    <col min="3073" max="3073" width="12.5703125" style="11" customWidth="1"/>
    <col min="3074" max="3074" width="14.42578125" style="11" customWidth="1"/>
    <col min="3075" max="3078" width="8.85546875" style="11"/>
    <col min="3079" max="3079" width="12.5703125" style="11" customWidth="1"/>
    <col min="3080" max="3080" width="10.5703125" style="11" customWidth="1"/>
    <col min="3081" max="3081" width="12.85546875" style="11" customWidth="1"/>
    <col min="3082" max="3328" width="8.85546875" style="11"/>
    <col min="3329" max="3329" width="12.5703125" style="11" customWidth="1"/>
    <col min="3330" max="3330" width="14.42578125" style="11" customWidth="1"/>
    <col min="3331" max="3334" width="8.85546875" style="11"/>
    <col min="3335" max="3335" width="12.5703125" style="11" customWidth="1"/>
    <col min="3336" max="3336" width="10.5703125" style="11" customWidth="1"/>
    <col min="3337" max="3337" width="12.85546875" style="11" customWidth="1"/>
    <col min="3338" max="3584" width="8.85546875" style="11"/>
    <col min="3585" max="3585" width="12.5703125" style="11" customWidth="1"/>
    <col min="3586" max="3586" width="14.42578125" style="11" customWidth="1"/>
    <col min="3587" max="3590" width="8.85546875" style="11"/>
    <col min="3591" max="3591" width="12.5703125" style="11" customWidth="1"/>
    <col min="3592" max="3592" width="10.5703125" style="11" customWidth="1"/>
    <col min="3593" max="3593" width="12.85546875" style="11" customWidth="1"/>
    <col min="3594" max="3840" width="8.85546875" style="11"/>
    <col min="3841" max="3841" width="12.5703125" style="11" customWidth="1"/>
    <col min="3842" max="3842" width="14.42578125" style="11" customWidth="1"/>
    <col min="3843" max="3846" width="8.85546875" style="11"/>
    <col min="3847" max="3847" width="12.5703125" style="11" customWidth="1"/>
    <col min="3848" max="3848" width="10.5703125" style="11" customWidth="1"/>
    <col min="3849" max="3849" width="12.85546875" style="11" customWidth="1"/>
    <col min="3850" max="4096" width="8.85546875" style="11"/>
    <col min="4097" max="4097" width="12.5703125" style="11" customWidth="1"/>
    <col min="4098" max="4098" width="14.42578125" style="11" customWidth="1"/>
    <col min="4099" max="4102" width="8.85546875" style="11"/>
    <col min="4103" max="4103" width="12.5703125" style="11" customWidth="1"/>
    <col min="4104" max="4104" width="10.5703125" style="11" customWidth="1"/>
    <col min="4105" max="4105" width="12.85546875" style="11" customWidth="1"/>
    <col min="4106" max="4352" width="8.85546875" style="11"/>
    <col min="4353" max="4353" width="12.5703125" style="11" customWidth="1"/>
    <col min="4354" max="4354" width="14.42578125" style="11" customWidth="1"/>
    <col min="4355" max="4358" width="8.85546875" style="11"/>
    <col min="4359" max="4359" width="12.5703125" style="11" customWidth="1"/>
    <col min="4360" max="4360" width="10.5703125" style="11" customWidth="1"/>
    <col min="4361" max="4361" width="12.85546875" style="11" customWidth="1"/>
    <col min="4362" max="4608" width="8.85546875" style="11"/>
    <col min="4609" max="4609" width="12.5703125" style="11" customWidth="1"/>
    <col min="4610" max="4610" width="14.42578125" style="11" customWidth="1"/>
    <col min="4611" max="4614" width="8.85546875" style="11"/>
    <col min="4615" max="4615" width="12.5703125" style="11" customWidth="1"/>
    <col min="4616" max="4616" width="10.5703125" style="11" customWidth="1"/>
    <col min="4617" max="4617" width="12.85546875" style="11" customWidth="1"/>
    <col min="4618" max="4864" width="8.85546875" style="11"/>
    <col min="4865" max="4865" width="12.5703125" style="11" customWidth="1"/>
    <col min="4866" max="4866" width="14.42578125" style="11" customWidth="1"/>
    <col min="4867" max="4870" width="8.85546875" style="11"/>
    <col min="4871" max="4871" width="12.5703125" style="11" customWidth="1"/>
    <col min="4872" max="4872" width="10.5703125" style="11" customWidth="1"/>
    <col min="4873" max="4873" width="12.85546875" style="11" customWidth="1"/>
    <col min="4874" max="5120" width="8.85546875" style="11"/>
    <col min="5121" max="5121" width="12.5703125" style="11" customWidth="1"/>
    <col min="5122" max="5122" width="14.42578125" style="11" customWidth="1"/>
    <col min="5123" max="5126" width="8.85546875" style="11"/>
    <col min="5127" max="5127" width="12.5703125" style="11" customWidth="1"/>
    <col min="5128" max="5128" width="10.5703125" style="11" customWidth="1"/>
    <col min="5129" max="5129" width="12.85546875" style="11" customWidth="1"/>
    <col min="5130" max="5376" width="8.85546875" style="11"/>
    <col min="5377" max="5377" width="12.5703125" style="11" customWidth="1"/>
    <col min="5378" max="5378" width="14.42578125" style="11" customWidth="1"/>
    <col min="5379" max="5382" width="8.85546875" style="11"/>
    <col min="5383" max="5383" width="12.5703125" style="11" customWidth="1"/>
    <col min="5384" max="5384" width="10.5703125" style="11" customWidth="1"/>
    <col min="5385" max="5385" width="12.85546875" style="11" customWidth="1"/>
    <col min="5386" max="5632" width="8.85546875" style="11"/>
    <col min="5633" max="5633" width="12.5703125" style="11" customWidth="1"/>
    <col min="5634" max="5634" width="14.42578125" style="11" customWidth="1"/>
    <col min="5635" max="5638" width="8.85546875" style="11"/>
    <col min="5639" max="5639" width="12.5703125" style="11" customWidth="1"/>
    <col min="5640" max="5640" width="10.5703125" style="11" customWidth="1"/>
    <col min="5641" max="5641" width="12.85546875" style="11" customWidth="1"/>
    <col min="5642" max="5888" width="8.85546875" style="11"/>
    <col min="5889" max="5889" width="12.5703125" style="11" customWidth="1"/>
    <col min="5890" max="5890" width="14.42578125" style="11" customWidth="1"/>
    <col min="5891" max="5894" width="8.85546875" style="11"/>
    <col min="5895" max="5895" width="12.5703125" style="11" customWidth="1"/>
    <col min="5896" max="5896" width="10.5703125" style="11" customWidth="1"/>
    <col min="5897" max="5897" width="12.85546875" style="11" customWidth="1"/>
    <col min="5898" max="6144" width="8.85546875" style="11"/>
    <col min="6145" max="6145" width="12.5703125" style="11" customWidth="1"/>
    <col min="6146" max="6146" width="14.42578125" style="11" customWidth="1"/>
    <col min="6147" max="6150" width="8.85546875" style="11"/>
    <col min="6151" max="6151" width="12.5703125" style="11" customWidth="1"/>
    <col min="6152" max="6152" width="10.5703125" style="11" customWidth="1"/>
    <col min="6153" max="6153" width="12.85546875" style="11" customWidth="1"/>
    <col min="6154" max="6400" width="8.85546875" style="11"/>
    <col min="6401" max="6401" width="12.5703125" style="11" customWidth="1"/>
    <col min="6402" max="6402" width="14.42578125" style="11" customWidth="1"/>
    <col min="6403" max="6406" width="8.85546875" style="11"/>
    <col min="6407" max="6407" width="12.5703125" style="11" customWidth="1"/>
    <col min="6408" max="6408" width="10.5703125" style="11" customWidth="1"/>
    <col min="6409" max="6409" width="12.85546875" style="11" customWidth="1"/>
    <col min="6410" max="6656" width="8.85546875" style="11"/>
    <col min="6657" max="6657" width="12.5703125" style="11" customWidth="1"/>
    <col min="6658" max="6658" width="14.42578125" style="11" customWidth="1"/>
    <col min="6659" max="6662" width="8.85546875" style="11"/>
    <col min="6663" max="6663" width="12.5703125" style="11" customWidth="1"/>
    <col min="6664" max="6664" width="10.5703125" style="11" customWidth="1"/>
    <col min="6665" max="6665" width="12.85546875" style="11" customWidth="1"/>
    <col min="6666" max="6912" width="8.85546875" style="11"/>
    <col min="6913" max="6913" width="12.5703125" style="11" customWidth="1"/>
    <col min="6914" max="6914" width="14.42578125" style="11" customWidth="1"/>
    <col min="6915" max="6918" width="8.85546875" style="11"/>
    <col min="6919" max="6919" width="12.5703125" style="11" customWidth="1"/>
    <col min="6920" max="6920" width="10.5703125" style="11" customWidth="1"/>
    <col min="6921" max="6921" width="12.85546875" style="11" customWidth="1"/>
    <col min="6922" max="7168" width="8.85546875" style="11"/>
    <col min="7169" max="7169" width="12.5703125" style="11" customWidth="1"/>
    <col min="7170" max="7170" width="14.42578125" style="11" customWidth="1"/>
    <col min="7171" max="7174" width="8.85546875" style="11"/>
    <col min="7175" max="7175" width="12.5703125" style="11" customWidth="1"/>
    <col min="7176" max="7176" width="10.5703125" style="11" customWidth="1"/>
    <col min="7177" max="7177" width="12.85546875" style="11" customWidth="1"/>
    <col min="7178" max="7424" width="8.85546875" style="11"/>
    <col min="7425" max="7425" width="12.5703125" style="11" customWidth="1"/>
    <col min="7426" max="7426" width="14.42578125" style="11" customWidth="1"/>
    <col min="7427" max="7430" width="8.85546875" style="11"/>
    <col min="7431" max="7431" width="12.5703125" style="11" customWidth="1"/>
    <col min="7432" max="7432" width="10.5703125" style="11" customWidth="1"/>
    <col min="7433" max="7433" width="12.85546875" style="11" customWidth="1"/>
    <col min="7434" max="7680" width="8.85546875" style="11"/>
    <col min="7681" max="7681" width="12.5703125" style="11" customWidth="1"/>
    <col min="7682" max="7682" width="14.42578125" style="11" customWidth="1"/>
    <col min="7683" max="7686" width="8.85546875" style="11"/>
    <col min="7687" max="7687" width="12.5703125" style="11" customWidth="1"/>
    <col min="7688" max="7688" width="10.5703125" style="11" customWidth="1"/>
    <col min="7689" max="7689" width="12.85546875" style="11" customWidth="1"/>
    <col min="7690" max="7936" width="8.85546875" style="11"/>
    <col min="7937" max="7937" width="12.5703125" style="11" customWidth="1"/>
    <col min="7938" max="7938" width="14.42578125" style="11" customWidth="1"/>
    <col min="7939" max="7942" width="8.85546875" style="11"/>
    <col min="7943" max="7943" width="12.5703125" style="11" customWidth="1"/>
    <col min="7944" max="7944" width="10.5703125" style="11" customWidth="1"/>
    <col min="7945" max="7945" width="12.85546875" style="11" customWidth="1"/>
    <col min="7946" max="8192" width="8.85546875" style="11"/>
    <col min="8193" max="8193" width="12.5703125" style="11" customWidth="1"/>
    <col min="8194" max="8194" width="14.42578125" style="11" customWidth="1"/>
    <col min="8195" max="8198" width="8.85546875" style="11"/>
    <col min="8199" max="8199" width="12.5703125" style="11" customWidth="1"/>
    <col min="8200" max="8200" width="10.5703125" style="11" customWidth="1"/>
    <col min="8201" max="8201" width="12.85546875" style="11" customWidth="1"/>
    <col min="8202" max="8448" width="8.85546875" style="11"/>
    <col min="8449" max="8449" width="12.5703125" style="11" customWidth="1"/>
    <col min="8450" max="8450" width="14.42578125" style="11" customWidth="1"/>
    <col min="8451" max="8454" width="8.85546875" style="11"/>
    <col min="8455" max="8455" width="12.5703125" style="11" customWidth="1"/>
    <col min="8456" max="8456" width="10.5703125" style="11" customWidth="1"/>
    <col min="8457" max="8457" width="12.85546875" style="11" customWidth="1"/>
    <col min="8458" max="8704" width="8.85546875" style="11"/>
    <col min="8705" max="8705" width="12.5703125" style="11" customWidth="1"/>
    <col min="8706" max="8706" width="14.42578125" style="11" customWidth="1"/>
    <col min="8707" max="8710" width="8.85546875" style="11"/>
    <col min="8711" max="8711" width="12.5703125" style="11" customWidth="1"/>
    <col min="8712" max="8712" width="10.5703125" style="11" customWidth="1"/>
    <col min="8713" max="8713" width="12.85546875" style="11" customWidth="1"/>
    <col min="8714" max="8960" width="8.85546875" style="11"/>
    <col min="8961" max="8961" width="12.5703125" style="11" customWidth="1"/>
    <col min="8962" max="8962" width="14.42578125" style="11" customWidth="1"/>
    <col min="8963" max="8966" width="8.85546875" style="11"/>
    <col min="8967" max="8967" width="12.5703125" style="11" customWidth="1"/>
    <col min="8968" max="8968" width="10.5703125" style="11" customWidth="1"/>
    <col min="8969" max="8969" width="12.85546875" style="11" customWidth="1"/>
    <col min="8970" max="9216" width="8.85546875" style="11"/>
    <col min="9217" max="9217" width="12.5703125" style="11" customWidth="1"/>
    <col min="9218" max="9218" width="14.42578125" style="11" customWidth="1"/>
    <col min="9219" max="9222" width="8.85546875" style="11"/>
    <col min="9223" max="9223" width="12.5703125" style="11" customWidth="1"/>
    <col min="9224" max="9224" width="10.5703125" style="11" customWidth="1"/>
    <col min="9225" max="9225" width="12.85546875" style="11" customWidth="1"/>
    <col min="9226" max="9472" width="8.85546875" style="11"/>
    <col min="9473" max="9473" width="12.5703125" style="11" customWidth="1"/>
    <col min="9474" max="9474" width="14.42578125" style="11" customWidth="1"/>
    <col min="9475" max="9478" width="8.85546875" style="11"/>
    <col min="9479" max="9479" width="12.5703125" style="11" customWidth="1"/>
    <col min="9480" max="9480" width="10.5703125" style="11" customWidth="1"/>
    <col min="9481" max="9481" width="12.85546875" style="11" customWidth="1"/>
    <col min="9482" max="9728" width="8.85546875" style="11"/>
    <col min="9729" max="9729" width="12.5703125" style="11" customWidth="1"/>
    <col min="9730" max="9730" width="14.42578125" style="11" customWidth="1"/>
    <col min="9731" max="9734" width="8.85546875" style="11"/>
    <col min="9735" max="9735" width="12.5703125" style="11" customWidth="1"/>
    <col min="9736" max="9736" width="10.5703125" style="11" customWidth="1"/>
    <col min="9737" max="9737" width="12.85546875" style="11" customWidth="1"/>
    <col min="9738" max="9984" width="8.85546875" style="11"/>
    <col min="9985" max="9985" width="12.5703125" style="11" customWidth="1"/>
    <col min="9986" max="9986" width="14.42578125" style="11" customWidth="1"/>
    <col min="9987" max="9990" width="8.85546875" style="11"/>
    <col min="9991" max="9991" width="12.5703125" style="11" customWidth="1"/>
    <col min="9992" max="9992" width="10.5703125" style="11" customWidth="1"/>
    <col min="9993" max="9993" width="12.85546875" style="11" customWidth="1"/>
    <col min="9994" max="10240" width="8.85546875" style="11"/>
    <col min="10241" max="10241" width="12.5703125" style="11" customWidth="1"/>
    <col min="10242" max="10242" width="14.42578125" style="11" customWidth="1"/>
    <col min="10243" max="10246" width="8.85546875" style="11"/>
    <col min="10247" max="10247" width="12.5703125" style="11" customWidth="1"/>
    <col min="10248" max="10248" width="10.5703125" style="11" customWidth="1"/>
    <col min="10249" max="10249" width="12.85546875" style="11" customWidth="1"/>
    <col min="10250" max="10496" width="8.85546875" style="11"/>
    <col min="10497" max="10497" width="12.5703125" style="11" customWidth="1"/>
    <col min="10498" max="10498" width="14.42578125" style="11" customWidth="1"/>
    <col min="10499" max="10502" width="8.85546875" style="11"/>
    <col min="10503" max="10503" width="12.5703125" style="11" customWidth="1"/>
    <col min="10504" max="10504" width="10.5703125" style="11" customWidth="1"/>
    <col min="10505" max="10505" width="12.85546875" style="11" customWidth="1"/>
    <col min="10506" max="10752" width="8.85546875" style="11"/>
    <col min="10753" max="10753" width="12.5703125" style="11" customWidth="1"/>
    <col min="10754" max="10754" width="14.42578125" style="11" customWidth="1"/>
    <col min="10755" max="10758" width="8.85546875" style="11"/>
    <col min="10759" max="10759" width="12.5703125" style="11" customWidth="1"/>
    <col min="10760" max="10760" width="10.5703125" style="11" customWidth="1"/>
    <col min="10761" max="10761" width="12.85546875" style="11" customWidth="1"/>
    <col min="10762" max="11008" width="8.85546875" style="11"/>
    <col min="11009" max="11009" width="12.5703125" style="11" customWidth="1"/>
    <col min="11010" max="11010" width="14.42578125" style="11" customWidth="1"/>
    <col min="11011" max="11014" width="8.85546875" style="11"/>
    <col min="11015" max="11015" width="12.5703125" style="11" customWidth="1"/>
    <col min="11016" max="11016" width="10.5703125" style="11" customWidth="1"/>
    <col min="11017" max="11017" width="12.85546875" style="11" customWidth="1"/>
    <col min="11018" max="11264" width="8.85546875" style="11"/>
    <col min="11265" max="11265" width="12.5703125" style="11" customWidth="1"/>
    <col min="11266" max="11266" width="14.42578125" style="11" customWidth="1"/>
    <col min="11267" max="11270" width="8.85546875" style="11"/>
    <col min="11271" max="11271" width="12.5703125" style="11" customWidth="1"/>
    <col min="11272" max="11272" width="10.5703125" style="11" customWidth="1"/>
    <col min="11273" max="11273" width="12.85546875" style="11" customWidth="1"/>
    <col min="11274" max="11520" width="8.85546875" style="11"/>
    <col min="11521" max="11521" width="12.5703125" style="11" customWidth="1"/>
    <col min="11522" max="11522" width="14.42578125" style="11" customWidth="1"/>
    <col min="11523" max="11526" width="8.85546875" style="11"/>
    <col min="11527" max="11527" width="12.5703125" style="11" customWidth="1"/>
    <col min="11528" max="11528" width="10.5703125" style="11" customWidth="1"/>
    <col min="11529" max="11529" width="12.85546875" style="11" customWidth="1"/>
    <col min="11530" max="11776" width="8.85546875" style="11"/>
    <col min="11777" max="11777" width="12.5703125" style="11" customWidth="1"/>
    <col min="11778" max="11778" width="14.42578125" style="11" customWidth="1"/>
    <col min="11779" max="11782" width="8.85546875" style="11"/>
    <col min="11783" max="11783" width="12.5703125" style="11" customWidth="1"/>
    <col min="11784" max="11784" width="10.5703125" style="11" customWidth="1"/>
    <col min="11785" max="11785" width="12.85546875" style="11" customWidth="1"/>
    <col min="11786" max="12032" width="8.85546875" style="11"/>
    <col min="12033" max="12033" width="12.5703125" style="11" customWidth="1"/>
    <col min="12034" max="12034" width="14.42578125" style="11" customWidth="1"/>
    <col min="12035" max="12038" width="8.85546875" style="11"/>
    <col min="12039" max="12039" width="12.5703125" style="11" customWidth="1"/>
    <col min="12040" max="12040" width="10.5703125" style="11" customWidth="1"/>
    <col min="12041" max="12041" width="12.85546875" style="11" customWidth="1"/>
    <col min="12042" max="12288" width="8.85546875" style="11"/>
    <col min="12289" max="12289" width="12.5703125" style="11" customWidth="1"/>
    <col min="12290" max="12290" width="14.42578125" style="11" customWidth="1"/>
    <col min="12291" max="12294" width="8.85546875" style="11"/>
    <col min="12295" max="12295" width="12.5703125" style="11" customWidth="1"/>
    <col min="12296" max="12296" width="10.5703125" style="11" customWidth="1"/>
    <col min="12297" max="12297" width="12.85546875" style="11" customWidth="1"/>
    <col min="12298" max="12544" width="8.85546875" style="11"/>
    <col min="12545" max="12545" width="12.5703125" style="11" customWidth="1"/>
    <col min="12546" max="12546" width="14.42578125" style="11" customWidth="1"/>
    <col min="12547" max="12550" width="8.85546875" style="11"/>
    <col min="12551" max="12551" width="12.5703125" style="11" customWidth="1"/>
    <col min="12552" max="12552" width="10.5703125" style="11" customWidth="1"/>
    <col min="12553" max="12553" width="12.85546875" style="11" customWidth="1"/>
    <col min="12554" max="12800" width="8.85546875" style="11"/>
    <col min="12801" max="12801" width="12.5703125" style="11" customWidth="1"/>
    <col min="12802" max="12802" width="14.42578125" style="11" customWidth="1"/>
    <col min="12803" max="12806" width="8.85546875" style="11"/>
    <col min="12807" max="12807" width="12.5703125" style="11" customWidth="1"/>
    <col min="12808" max="12808" width="10.5703125" style="11" customWidth="1"/>
    <col min="12809" max="12809" width="12.85546875" style="11" customWidth="1"/>
    <col min="12810" max="13056" width="8.85546875" style="11"/>
    <col min="13057" max="13057" width="12.5703125" style="11" customWidth="1"/>
    <col min="13058" max="13058" width="14.42578125" style="11" customWidth="1"/>
    <col min="13059" max="13062" width="8.85546875" style="11"/>
    <col min="13063" max="13063" width="12.5703125" style="11" customWidth="1"/>
    <col min="13064" max="13064" width="10.5703125" style="11" customWidth="1"/>
    <col min="13065" max="13065" width="12.85546875" style="11" customWidth="1"/>
    <col min="13066" max="13312" width="8.85546875" style="11"/>
    <col min="13313" max="13313" width="12.5703125" style="11" customWidth="1"/>
    <col min="13314" max="13314" width="14.42578125" style="11" customWidth="1"/>
    <col min="13315" max="13318" width="8.85546875" style="11"/>
    <col min="13319" max="13319" width="12.5703125" style="11" customWidth="1"/>
    <col min="13320" max="13320" width="10.5703125" style="11" customWidth="1"/>
    <col min="13321" max="13321" width="12.85546875" style="11" customWidth="1"/>
    <col min="13322" max="13568" width="8.85546875" style="11"/>
    <col min="13569" max="13569" width="12.5703125" style="11" customWidth="1"/>
    <col min="13570" max="13570" width="14.42578125" style="11" customWidth="1"/>
    <col min="13571" max="13574" width="8.85546875" style="11"/>
    <col min="13575" max="13575" width="12.5703125" style="11" customWidth="1"/>
    <col min="13576" max="13576" width="10.5703125" style="11" customWidth="1"/>
    <col min="13577" max="13577" width="12.85546875" style="11" customWidth="1"/>
    <col min="13578" max="13824" width="8.85546875" style="11"/>
    <col min="13825" max="13825" width="12.5703125" style="11" customWidth="1"/>
    <col min="13826" max="13826" width="14.42578125" style="11" customWidth="1"/>
    <col min="13827" max="13830" width="8.85546875" style="11"/>
    <col min="13831" max="13831" width="12.5703125" style="11" customWidth="1"/>
    <col min="13832" max="13832" width="10.5703125" style="11" customWidth="1"/>
    <col min="13833" max="13833" width="12.85546875" style="11" customWidth="1"/>
    <col min="13834" max="14080" width="8.85546875" style="11"/>
    <col min="14081" max="14081" width="12.5703125" style="11" customWidth="1"/>
    <col min="14082" max="14082" width="14.42578125" style="11" customWidth="1"/>
    <col min="14083" max="14086" width="8.85546875" style="11"/>
    <col min="14087" max="14087" width="12.5703125" style="11" customWidth="1"/>
    <col min="14088" max="14088" width="10.5703125" style="11" customWidth="1"/>
    <col min="14089" max="14089" width="12.85546875" style="11" customWidth="1"/>
    <col min="14090" max="14336" width="8.85546875" style="11"/>
    <col min="14337" max="14337" width="12.5703125" style="11" customWidth="1"/>
    <col min="14338" max="14338" width="14.42578125" style="11" customWidth="1"/>
    <col min="14339" max="14342" width="8.85546875" style="11"/>
    <col min="14343" max="14343" width="12.5703125" style="11" customWidth="1"/>
    <col min="14344" max="14344" width="10.5703125" style="11" customWidth="1"/>
    <col min="14345" max="14345" width="12.85546875" style="11" customWidth="1"/>
    <col min="14346" max="14592" width="8.85546875" style="11"/>
    <col min="14593" max="14593" width="12.5703125" style="11" customWidth="1"/>
    <col min="14594" max="14594" width="14.42578125" style="11" customWidth="1"/>
    <col min="14595" max="14598" width="8.85546875" style="11"/>
    <col min="14599" max="14599" width="12.5703125" style="11" customWidth="1"/>
    <col min="14600" max="14600" width="10.5703125" style="11" customWidth="1"/>
    <col min="14601" max="14601" width="12.85546875" style="11" customWidth="1"/>
    <col min="14602" max="14848" width="8.85546875" style="11"/>
    <col min="14849" max="14849" width="12.5703125" style="11" customWidth="1"/>
    <col min="14850" max="14850" width="14.42578125" style="11" customWidth="1"/>
    <col min="14851" max="14854" width="8.85546875" style="11"/>
    <col min="14855" max="14855" width="12.5703125" style="11" customWidth="1"/>
    <col min="14856" max="14856" width="10.5703125" style="11" customWidth="1"/>
    <col min="14857" max="14857" width="12.85546875" style="11" customWidth="1"/>
    <col min="14858" max="15104" width="8.85546875" style="11"/>
    <col min="15105" max="15105" width="12.5703125" style="11" customWidth="1"/>
    <col min="15106" max="15106" width="14.42578125" style="11" customWidth="1"/>
    <col min="15107" max="15110" width="8.85546875" style="11"/>
    <col min="15111" max="15111" width="12.5703125" style="11" customWidth="1"/>
    <col min="15112" max="15112" width="10.5703125" style="11" customWidth="1"/>
    <col min="15113" max="15113" width="12.85546875" style="11" customWidth="1"/>
    <col min="15114" max="15360" width="8.85546875" style="11"/>
    <col min="15361" max="15361" width="12.5703125" style="11" customWidth="1"/>
    <col min="15362" max="15362" width="14.42578125" style="11" customWidth="1"/>
    <col min="15363" max="15366" width="8.85546875" style="11"/>
    <col min="15367" max="15367" width="12.5703125" style="11" customWidth="1"/>
    <col min="15368" max="15368" width="10.5703125" style="11" customWidth="1"/>
    <col min="15369" max="15369" width="12.85546875" style="11" customWidth="1"/>
    <col min="15370" max="15616" width="8.85546875" style="11"/>
    <col min="15617" max="15617" width="12.5703125" style="11" customWidth="1"/>
    <col min="15618" max="15618" width="14.42578125" style="11" customWidth="1"/>
    <col min="15619" max="15622" width="8.85546875" style="11"/>
    <col min="15623" max="15623" width="12.5703125" style="11" customWidth="1"/>
    <col min="15624" max="15624" width="10.5703125" style="11" customWidth="1"/>
    <col min="15625" max="15625" width="12.85546875" style="11" customWidth="1"/>
    <col min="15626" max="15872" width="8.85546875" style="11"/>
    <col min="15873" max="15873" width="12.5703125" style="11" customWidth="1"/>
    <col min="15874" max="15874" width="14.42578125" style="11" customWidth="1"/>
    <col min="15875" max="15878" width="8.85546875" style="11"/>
    <col min="15879" max="15879" width="12.5703125" style="11" customWidth="1"/>
    <col min="15880" max="15880" width="10.5703125" style="11" customWidth="1"/>
    <col min="15881" max="15881" width="12.85546875" style="11" customWidth="1"/>
    <col min="15882" max="16128" width="8.85546875" style="11"/>
    <col min="16129" max="16129" width="12.5703125" style="11" customWidth="1"/>
    <col min="16130" max="16130" width="14.42578125" style="11" customWidth="1"/>
    <col min="16131" max="16134" width="8.85546875" style="11"/>
    <col min="16135" max="16135" width="12.5703125" style="11" customWidth="1"/>
    <col min="16136" max="16136" width="10.5703125" style="11" customWidth="1"/>
    <col min="16137" max="16137" width="12.85546875" style="11" customWidth="1"/>
    <col min="16138" max="16384" width="8.85546875" style="11"/>
  </cols>
  <sheetData>
    <row r="1" spans="1:16">
      <c r="A1" s="20" t="s">
        <v>76</v>
      </c>
      <c r="J1" s="33"/>
    </row>
    <row r="2" spans="1:16">
      <c r="J2" s="33"/>
    </row>
    <row r="3" spans="1:16">
      <c r="A3" s="20" t="s">
        <v>77</v>
      </c>
      <c r="I3" s="20"/>
    </row>
    <row r="4" spans="1:16">
      <c r="C4" s="22" t="s">
        <v>78</v>
      </c>
      <c r="D4" s="34"/>
      <c r="E4" s="34"/>
      <c r="F4" s="34"/>
    </row>
    <row r="5" spans="1:16" ht="18" customHeight="1">
      <c r="C5" s="23" t="s">
        <v>350</v>
      </c>
      <c r="D5" s="23" t="s">
        <v>351</v>
      </c>
      <c r="E5" s="23" t="s">
        <v>352</v>
      </c>
      <c r="F5" s="23" t="s">
        <v>353</v>
      </c>
      <c r="K5"/>
      <c r="L5" t="s">
        <v>337</v>
      </c>
      <c r="M5" t="s">
        <v>338</v>
      </c>
      <c r="N5" t="s">
        <v>339</v>
      </c>
      <c r="O5" t="s">
        <v>340</v>
      </c>
      <c r="P5" t="s">
        <v>341</v>
      </c>
    </row>
    <row r="6" spans="1:16">
      <c r="A6" s="11" t="s">
        <v>83</v>
      </c>
      <c r="B6" s="11" t="s">
        <v>346</v>
      </c>
      <c r="C6" s="35">
        <f>L6*$P6</f>
        <v>490</v>
      </c>
      <c r="D6" s="35">
        <f t="shared" ref="D6:F6" si="0">M6*$P6</f>
        <v>574</v>
      </c>
      <c r="E6" s="35">
        <f t="shared" si="0"/>
        <v>378</v>
      </c>
      <c r="F6" s="35">
        <f t="shared" si="0"/>
        <v>560</v>
      </c>
      <c r="K6" t="s">
        <v>342</v>
      </c>
      <c r="L6">
        <v>35</v>
      </c>
      <c r="M6">
        <v>41</v>
      </c>
      <c r="N6">
        <v>27</v>
      </c>
      <c r="O6">
        <v>40</v>
      </c>
      <c r="P6">
        <v>14</v>
      </c>
    </row>
    <row r="7" spans="1:16">
      <c r="B7" s="11" t="s">
        <v>347</v>
      </c>
      <c r="C7" s="35">
        <f t="shared" ref="C7:C8" si="1">L7*$P7</f>
        <v>564</v>
      </c>
      <c r="D7" s="35">
        <f t="shared" ref="D7:D8" si="2">M7*$P7</f>
        <v>540</v>
      </c>
      <c r="E7" s="35">
        <f t="shared" ref="E7:E8" si="3">N7*$P7</f>
        <v>384</v>
      </c>
      <c r="F7" s="35">
        <f t="shared" ref="F7:F8" si="4">O7*$P7</f>
        <v>612</v>
      </c>
      <c r="K7" t="s">
        <v>343</v>
      </c>
      <c r="L7">
        <v>47</v>
      </c>
      <c r="M7">
        <v>45</v>
      </c>
      <c r="N7">
        <v>32</v>
      </c>
      <c r="O7">
        <v>51</v>
      </c>
      <c r="P7">
        <v>12</v>
      </c>
    </row>
    <row r="8" spans="1:16">
      <c r="B8" s="11" t="s">
        <v>348</v>
      </c>
      <c r="C8" s="35">
        <f t="shared" si="1"/>
        <v>507</v>
      </c>
      <c r="D8" s="35">
        <f t="shared" si="2"/>
        <v>728</v>
      </c>
      <c r="E8" s="35">
        <f t="shared" si="3"/>
        <v>468</v>
      </c>
      <c r="F8" s="35">
        <f t="shared" si="4"/>
        <v>559</v>
      </c>
      <c r="K8" t="s">
        <v>344</v>
      </c>
      <c r="L8">
        <v>39</v>
      </c>
      <c r="M8">
        <v>56</v>
      </c>
      <c r="N8">
        <v>36</v>
      </c>
      <c r="O8">
        <v>43</v>
      </c>
      <c r="P8">
        <v>13</v>
      </c>
    </row>
    <row r="9" spans="1:16">
      <c r="B9" s="11" t="s">
        <v>349</v>
      </c>
      <c r="C9" s="35">
        <f t="shared" ref="C9" si="5">L9*$P9</f>
        <v>480</v>
      </c>
      <c r="D9" s="35">
        <f t="shared" ref="D9" si="6">M9*$P9</f>
        <v>765</v>
      </c>
      <c r="E9" s="35">
        <f t="shared" ref="E9" si="7">N9*$P9</f>
        <v>375</v>
      </c>
      <c r="F9" s="35">
        <f t="shared" ref="F9" si="8">O9*$P9</f>
        <v>690</v>
      </c>
      <c r="K9" t="s">
        <v>345</v>
      </c>
      <c r="L9">
        <v>32</v>
      </c>
      <c r="M9">
        <v>51</v>
      </c>
      <c r="N9">
        <v>25</v>
      </c>
      <c r="O9">
        <v>46</v>
      </c>
      <c r="P9">
        <v>15</v>
      </c>
    </row>
    <row r="10" spans="1:16">
      <c r="A10" s="20" t="s">
        <v>87</v>
      </c>
    </row>
    <row r="11" spans="1:16">
      <c r="C11" s="22" t="s">
        <v>78</v>
      </c>
      <c r="D11" s="34"/>
      <c r="E11" s="34"/>
      <c r="F11" s="34"/>
    </row>
    <row r="12" spans="1:16">
      <c r="C12" s="23" t="s">
        <v>350</v>
      </c>
      <c r="D12" s="23" t="s">
        <v>351</v>
      </c>
      <c r="E12" s="23" t="s">
        <v>352</v>
      </c>
      <c r="F12" s="23" t="s">
        <v>353</v>
      </c>
      <c r="G12" s="23" t="s">
        <v>88</v>
      </c>
      <c r="H12" s="23"/>
      <c r="I12" s="23" t="s">
        <v>89</v>
      </c>
      <c r="K12" s="23"/>
    </row>
    <row r="13" spans="1:16">
      <c r="A13" s="11" t="s">
        <v>83</v>
      </c>
      <c r="B13" s="11" t="s">
        <v>346</v>
      </c>
      <c r="C13" s="47">
        <v>0</v>
      </c>
      <c r="D13" s="47">
        <v>0</v>
      </c>
      <c r="E13" s="47">
        <v>1</v>
      </c>
      <c r="F13" s="47">
        <v>0</v>
      </c>
      <c r="G13" s="11">
        <f>SUM(C13:F13)</f>
        <v>1</v>
      </c>
      <c r="H13" s="36" t="s">
        <v>354</v>
      </c>
      <c r="I13" s="13">
        <v>1</v>
      </c>
    </row>
    <row r="14" spans="1:16">
      <c r="B14" s="11" t="s">
        <v>347</v>
      </c>
      <c r="C14" s="47">
        <v>0</v>
      </c>
      <c r="D14" s="47">
        <v>1</v>
      </c>
      <c r="E14" s="47">
        <v>0</v>
      </c>
      <c r="F14" s="47">
        <v>0</v>
      </c>
      <c r="G14" s="11">
        <f t="shared" ref="G14:G16" si="9">SUM(C14:F14)</f>
        <v>1</v>
      </c>
      <c r="H14" s="36"/>
      <c r="I14" s="13">
        <v>1</v>
      </c>
    </row>
    <row r="15" spans="1:16">
      <c r="B15" s="11" t="s">
        <v>348</v>
      </c>
      <c r="C15" s="47">
        <v>0</v>
      </c>
      <c r="D15" s="47">
        <v>0</v>
      </c>
      <c r="E15" s="47">
        <v>0</v>
      </c>
      <c r="F15" s="47">
        <v>1</v>
      </c>
      <c r="G15" s="11">
        <f t="shared" si="9"/>
        <v>1</v>
      </c>
      <c r="H15" s="36"/>
      <c r="I15" s="13">
        <v>1</v>
      </c>
    </row>
    <row r="16" spans="1:16">
      <c r="B16" s="11" t="s">
        <v>349</v>
      </c>
      <c r="C16" s="47">
        <v>1</v>
      </c>
      <c r="D16" s="47">
        <v>0</v>
      </c>
      <c r="E16" s="47">
        <v>0</v>
      </c>
      <c r="F16" s="47">
        <v>0</v>
      </c>
      <c r="G16" s="11">
        <f t="shared" si="9"/>
        <v>1</v>
      </c>
      <c r="H16" s="36"/>
      <c r="I16" s="13">
        <v>1</v>
      </c>
    </row>
    <row r="17" spans="1:11">
      <c r="B17" s="11" t="s">
        <v>90</v>
      </c>
      <c r="C17" s="11">
        <f>SUM(C13:C16)</f>
        <v>1</v>
      </c>
      <c r="D17" s="11">
        <f t="shared" ref="D17:F17" si="10">SUM(D13:D16)</f>
        <v>1</v>
      </c>
      <c r="E17" s="11">
        <f t="shared" si="10"/>
        <v>1</v>
      </c>
      <c r="F17" s="11">
        <f t="shared" si="10"/>
        <v>1</v>
      </c>
    </row>
    <row r="18" spans="1:11">
      <c r="C18" s="21" t="s">
        <v>354</v>
      </c>
      <c r="D18" s="21"/>
      <c r="E18" s="21"/>
      <c r="F18" s="21"/>
      <c r="K18" s="23"/>
    </row>
    <row r="19" spans="1:11">
      <c r="B19" s="11" t="s">
        <v>54</v>
      </c>
      <c r="C19" s="13">
        <v>1</v>
      </c>
      <c r="D19" s="13">
        <v>1</v>
      </c>
      <c r="E19" s="13">
        <v>1</v>
      </c>
      <c r="F19" s="13">
        <v>1</v>
      </c>
      <c r="K19" s="37"/>
    </row>
    <row r="21" spans="1:11">
      <c r="A21" s="20" t="s">
        <v>91</v>
      </c>
    </row>
    <row r="22" spans="1:11">
      <c r="A22" s="22" t="s">
        <v>92</v>
      </c>
      <c r="B22" s="38">
        <f>SUMPRODUCT(C6:F9,C13:F16)</f>
        <v>1957</v>
      </c>
    </row>
  </sheetData>
  <phoneticPr fontId="1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EF314-017F-4330-8EC3-C4F5979707FD}">
  <dimension ref="A1:I17"/>
  <sheetViews>
    <sheetView zoomScale="130" zoomScaleNormal="130" workbookViewId="0">
      <selection activeCell="J1" sqref="J1"/>
    </sheetView>
  </sheetViews>
  <sheetFormatPr defaultRowHeight="15"/>
  <cols>
    <col min="1" max="1" width="13.5703125" bestFit="1" customWidth="1"/>
    <col min="2" max="2" width="10" bestFit="1" customWidth="1"/>
  </cols>
  <sheetData>
    <row r="1" spans="1:9">
      <c r="A1" t="s">
        <v>414</v>
      </c>
      <c r="B1" s="79">
        <v>8</v>
      </c>
    </row>
    <row r="2" spans="1:9">
      <c r="A2" t="s">
        <v>415</v>
      </c>
    </row>
    <row r="4" spans="1:9">
      <c r="B4" t="s">
        <v>417</v>
      </c>
    </row>
    <row r="6" spans="1:9">
      <c r="A6" t="s">
        <v>369</v>
      </c>
      <c r="B6" t="s">
        <v>416</v>
      </c>
      <c r="C6" t="s">
        <v>418</v>
      </c>
      <c r="D6" t="s">
        <v>419</v>
      </c>
      <c r="E6" t="s">
        <v>420</v>
      </c>
      <c r="F6" t="s">
        <v>421</v>
      </c>
      <c r="G6" t="s">
        <v>422</v>
      </c>
      <c r="H6" t="s">
        <v>423</v>
      </c>
      <c r="I6" t="s">
        <v>424</v>
      </c>
    </row>
    <row r="7" spans="1:9">
      <c r="A7">
        <v>1</v>
      </c>
      <c r="B7" s="79">
        <v>4</v>
      </c>
    </row>
    <row r="8" spans="1:9">
      <c r="A8">
        <v>2</v>
      </c>
      <c r="B8" s="79">
        <v>3</v>
      </c>
    </row>
    <row r="9" spans="1:9">
      <c r="A9">
        <v>3</v>
      </c>
      <c r="B9" s="79">
        <v>5</v>
      </c>
    </row>
    <row r="10" spans="1:9">
      <c r="A10">
        <v>4</v>
      </c>
      <c r="B10" s="79">
        <v>4</v>
      </c>
    </row>
    <row r="11" spans="1:9">
      <c r="A11">
        <v>5</v>
      </c>
      <c r="B11" s="79">
        <v>1</v>
      </c>
    </row>
    <row r="12" spans="1:9">
      <c r="A12">
        <v>6</v>
      </c>
      <c r="B12" s="79">
        <v>2</v>
      </c>
    </row>
    <row r="13" spans="1:9">
      <c r="A13">
        <v>7</v>
      </c>
      <c r="B13" s="79">
        <v>4</v>
      </c>
    </row>
    <row r="15" spans="1:9">
      <c r="B15" t="s">
        <v>426</v>
      </c>
    </row>
    <row r="16" spans="1:9">
      <c r="C16" s="73" t="s">
        <v>278</v>
      </c>
    </row>
    <row r="17" spans="2:2">
      <c r="B17" t="s">
        <v>425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525D-8CA6-4025-AEB1-68EFB4069FDC}">
  <dimension ref="A1:H6"/>
  <sheetViews>
    <sheetView workbookViewId="0">
      <selection activeCell="I3" sqref="I3"/>
    </sheetView>
  </sheetViews>
  <sheetFormatPr defaultRowHeight="15"/>
  <cols>
    <col min="1" max="1" width="14.85546875" bestFit="1" customWidth="1"/>
  </cols>
  <sheetData>
    <row r="1" spans="1:8">
      <c r="B1" t="s">
        <v>427</v>
      </c>
      <c r="C1" t="s">
        <v>428</v>
      </c>
      <c r="D1" t="s">
        <v>429</v>
      </c>
      <c r="E1" t="s">
        <v>430</v>
      </c>
    </row>
    <row r="2" spans="1:8">
      <c r="A2" t="s">
        <v>431</v>
      </c>
      <c r="B2" s="52">
        <v>5</v>
      </c>
      <c r="C2" s="52">
        <v>1</v>
      </c>
      <c r="D2" s="52">
        <v>3</v>
      </c>
      <c r="E2" s="52">
        <v>0</v>
      </c>
    </row>
    <row r="3" spans="1:8">
      <c r="A3" t="s">
        <v>432</v>
      </c>
      <c r="B3">
        <v>1</v>
      </c>
      <c r="C3">
        <v>1</v>
      </c>
      <c r="D3">
        <v>1</v>
      </c>
      <c r="E3">
        <v>1</v>
      </c>
      <c r="F3">
        <f>SUMPRODUCT($B$2:$E$2,B3:E3)</f>
        <v>9</v>
      </c>
      <c r="H3" t="s">
        <v>54</v>
      </c>
    </row>
    <row r="4" spans="1:8">
      <c r="A4" t="s">
        <v>433</v>
      </c>
      <c r="B4">
        <v>1</v>
      </c>
      <c r="C4">
        <v>0</v>
      </c>
      <c r="D4">
        <v>0</v>
      </c>
      <c r="E4">
        <v>0</v>
      </c>
      <c r="F4">
        <f t="shared" ref="F4:F6" si="0">SUMPRODUCT($B$2:$E$2,B4:E4)</f>
        <v>5</v>
      </c>
      <c r="G4" s="73" t="s">
        <v>220</v>
      </c>
      <c r="H4">
        <v>5</v>
      </c>
    </row>
    <row r="5" spans="1:8">
      <c r="A5" t="s">
        <v>434</v>
      </c>
      <c r="B5">
        <v>1</v>
      </c>
      <c r="C5">
        <v>0</v>
      </c>
      <c r="D5">
        <v>2</v>
      </c>
      <c r="E5">
        <v>3</v>
      </c>
      <c r="F5">
        <f t="shared" si="0"/>
        <v>11</v>
      </c>
      <c r="G5" s="73" t="s">
        <v>220</v>
      </c>
      <c r="H5">
        <v>10</v>
      </c>
    </row>
    <row r="6" spans="1:8">
      <c r="A6" t="s">
        <v>435</v>
      </c>
      <c r="B6">
        <v>0</v>
      </c>
      <c r="C6">
        <v>2</v>
      </c>
      <c r="D6">
        <v>1</v>
      </c>
      <c r="E6">
        <v>0</v>
      </c>
      <c r="F6">
        <f t="shared" si="0"/>
        <v>5</v>
      </c>
      <c r="G6" s="73" t="s">
        <v>220</v>
      </c>
      <c r="H6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E5C17-D921-4574-A082-7E0E95290DFB}">
  <dimension ref="A1:Z38"/>
  <sheetViews>
    <sheetView zoomScale="90" zoomScaleNormal="90" workbookViewId="0">
      <selection activeCell="A6" sqref="A6:G13"/>
    </sheetView>
  </sheetViews>
  <sheetFormatPr defaultRowHeight="15"/>
  <cols>
    <col min="1" max="1" width="20.140625" style="11" customWidth="1"/>
    <col min="2" max="2" width="16.140625" style="11" customWidth="1"/>
    <col min="3" max="3" width="12" style="11" customWidth="1"/>
    <col min="4" max="5" width="8.85546875" style="11" customWidth="1"/>
    <col min="6" max="6" width="6" style="11" bestFit="1" customWidth="1"/>
    <col min="7" max="7" width="7.5703125" style="11" customWidth="1"/>
    <col min="8" max="8" width="4.42578125" style="11" customWidth="1"/>
    <col min="9" max="11" width="12.140625" style="11" customWidth="1"/>
    <col min="12" max="12" width="19.140625" style="11" customWidth="1"/>
    <col min="13" max="13" width="2.85546875" style="11" customWidth="1"/>
    <col min="14" max="14" width="16.140625" style="11" bestFit="1" customWidth="1"/>
    <col min="15" max="15" width="9" style="11" customWidth="1"/>
    <col min="16" max="16" width="21.140625" style="11" bestFit="1" customWidth="1"/>
    <col min="17" max="17" width="10.42578125" style="11" bestFit="1" customWidth="1"/>
    <col min="18" max="18" width="10.85546875" style="11" bestFit="1" customWidth="1"/>
    <col min="19" max="25" width="8.7109375" style="11"/>
    <col min="26" max="26" width="10.85546875" style="11" bestFit="1" customWidth="1"/>
    <col min="27" max="259" width="8.7109375" style="11"/>
    <col min="260" max="260" width="20.140625" style="11" customWidth="1"/>
    <col min="261" max="261" width="16.140625" style="11" customWidth="1"/>
    <col min="262" max="262" width="12" style="11" customWidth="1"/>
    <col min="263" max="263" width="8.85546875" style="11" customWidth="1"/>
    <col min="264" max="264" width="9.42578125" style="11" customWidth="1"/>
    <col min="265" max="265" width="11.5703125" style="11" customWidth="1"/>
    <col min="266" max="266" width="12" style="11" bestFit="1" customWidth="1"/>
    <col min="267" max="267" width="12.140625" style="11" customWidth="1"/>
    <col min="268" max="268" width="20.140625" style="11" bestFit="1" customWidth="1"/>
    <col min="269" max="269" width="10.5703125" style="11" bestFit="1" customWidth="1"/>
    <col min="270" max="270" width="16.140625" style="11" bestFit="1" customWidth="1"/>
    <col min="271" max="271" width="9" style="11" customWidth="1"/>
    <col min="272" max="272" width="21.140625" style="11" bestFit="1" customWidth="1"/>
    <col min="273" max="515" width="8.7109375" style="11"/>
    <col min="516" max="516" width="20.140625" style="11" customWidth="1"/>
    <col min="517" max="517" width="16.140625" style="11" customWidth="1"/>
    <col min="518" max="518" width="12" style="11" customWidth="1"/>
    <col min="519" max="519" width="8.85546875" style="11" customWidth="1"/>
    <col min="520" max="520" width="9.42578125" style="11" customWidth="1"/>
    <col min="521" max="521" width="11.5703125" style="11" customWidth="1"/>
    <col min="522" max="522" width="12" style="11" bestFit="1" customWidth="1"/>
    <col min="523" max="523" width="12.140625" style="11" customWidth="1"/>
    <col min="524" max="524" width="20.140625" style="11" bestFit="1" customWidth="1"/>
    <col min="525" max="525" width="10.5703125" style="11" bestFit="1" customWidth="1"/>
    <col min="526" max="526" width="16.140625" style="11" bestFit="1" customWidth="1"/>
    <col min="527" max="527" width="9" style="11" customWidth="1"/>
    <col min="528" max="528" width="21.140625" style="11" bestFit="1" customWidth="1"/>
    <col min="529" max="771" width="8.7109375" style="11"/>
    <col min="772" max="772" width="20.140625" style="11" customWidth="1"/>
    <col min="773" max="773" width="16.140625" style="11" customWidth="1"/>
    <col min="774" max="774" width="12" style="11" customWidth="1"/>
    <col min="775" max="775" width="8.85546875" style="11" customWidth="1"/>
    <col min="776" max="776" width="9.42578125" style="11" customWidth="1"/>
    <col min="777" max="777" width="11.5703125" style="11" customWidth="1"/>
    <col min="778" max="778" width="12" style="11" bestFit="1" customWidth="1"/>
    <col min="779" max="779" width="12.140625" style="11" customWidth="1"/>
    <col min="780" max="780" width="20.140625" style="11" bestFit="1" customWidth="1"/>
    <col min="781" max="781" width="10.5703125" style="11" bestFit="1" customWidth="1"/>
    <col min="782" max="782" width="16.140625" style="11" bestFit="1" customWidth="1"/>
    <col min="783" max="783" width="9" style="11" customWidth="1"/>
    <col min="784" max="784" width="21.140625" style="11" bestFit="1" customWidth="1"/>
    <col min="785" max="1027" width="8.7109375" style="11"/>
    <col min="1028" max="1028" width="20.140625" style="11" customWidth="1"/>
    <col min="1029" max="1029" width="16.140625" style="11" customWidth="1"/>
    <col min="1030" max="1030" width="12" style="11" customWidth="1"/>
    <col min="1031" max="1031" width="8.85546875" style="11" customWidth="1"/>
    <col min="1032" max="1032" width="9.42578125" style="11" customWidth="1"/>
    <col min="1033" max="1033" width="11.5703125" style="11" customWidth="1"/>
    <col min="1034" max="1034" width="12" style="11" bestFit="1" customWidth="1"/>
    <col min="1035" max="1035" width="12.140625" style="11" customWidth="1"/>
    <col min="1036" max="1036" width="20.140625" style="11" bestFit="1" customWidth="1"/>
    <col min="1037" max="1037" width="10.5703125" style="11" bestFit="1" customWidth="1"/>
    <col min="1038" max="1038" width="16.140625" style="11" bestFit="1" customWidth="1"/>
    <col min="1039" max="1039" width="9" style="11" customWidth="1"/>
    <col min="1040" max="1040" width="21.140625" style="11" bestFit="1" customWidth="1"/>
    <col min="1041" max="1283" width="8.7109375" style="11"/>
    <col min="1284" max="1284" width="20.140625" style="11" customWidth="1"/>
    <col min="1285" max="1285" width="16.140625" style="11" customWidth="1"/>
    <col min="1286" max="1286" width="12" style="11" customWidth="1"/>
    <col min="1287" max="1287" width="8.85546875" style="11" customWidth="1"/>
    <col min="1288" max="1288" width="9.42578125" style="11" customWidth="1"/>
    <col min="1289" max="1289" width="11.5703125" style="11" customWidth="1"/>
    <col min="1290" max="1290" width="12" style="11" bestFit="1" customWidth="1"/>
    <col min="1291" max="1291" width="12.140625" style="11" customWidth="1"/>
    <col min="1292" max="1292" width="20.140625" style="11" bestFit="1" customWidth="1"/>
    <col min="1293" max="1293" width="10.5703125" style="11" bestFit="1" customWidth="1"/>
    <col min="1294" max="1294" width="16.140625" style="11" bestFit="1" customWidth="1"/>
    <col min="1295" max="1295" width="9" style="11" customWidth="1"/>
    <col min="1296" max="1296" width="21.140625" style="11" bestFit="1" customWidth="1"/>
    <col min="1297" max="1539" width="8.7109375" style="11"/>
    <col min="1540" max="1540" width="20.140625" style="11" customWidth="1"/>
    <col min="1541" max="1541" width="16.140625" style="11" customWidth="1"/>
    <col min="1542" max="1542" width="12" style="11" customWidth="1"/>
    <col min="1543" max="1543" width="8.85546875" style="11" customWidth="1"/>
    <col min="1544" max="1544" width="9.42578125" style="11" customWidth="1"/>
    <col min="1545" max="1545" width="11.5703125" style="11" customWidth="1"/>
    <col min="1546" max="1546" width="12" style="11" bestFit="1" customWidth="1"/>
    <col min="1547" max="1547" width="12.140625" style="11" customWidth="1"/>
    <col min="1548" max="1548" width="20.140625" style="11" bestFit="1" customWidth="1"/>
    <col min="1549" max="1549" width="10.5703125" style="11" bestFit="1" customWidth="1"/>
    <col min="1550" max="1550" width="16.140625" style="11" bestFit="1" customWidth="1"/>
    <col min="1551" max="1551" width="9" style="11" customWidth="1"/>
    <col min="1552" max="1552" width="21.140625" style="11" bestFit="1" customWidth="1"/>
    <col min="1553" max="1795" width="8.7109375" style="11"/>
    <col min="1796" max="1796" width="20.140625" style="11" customWidth="1"/>
    <col min="1797" max="1797" width="16.140625" style="11" customWidth="1"/>
    <col min="1798" max="1798" width="12" style="11" customWidth="1"/>
    <col min="1799" max="1799" width="8.85546875" style="11" customWidth="1"/>
    <col min="1800" max="1800" width="9.42578125" style="11" customWidth="1"/>
    <col min="1801" max="1801" width="11.5703125" style="11" customWidth="1"/>
    <col min="1802" max="1802" width="12" style="11" bestFit="1" customWidth="1"/>
    <col min="1803" max="1803" width="12.140625" style="11" customWidth="1"/>
    <col min="1804" max="1804" width="20.140625" style="11" bestFit="1" customWidth="1"/>
    <col min="1805" max="1805" width="10.5703125" style="11" bestFit="1" customWidth="1"/>
    <col min="1806" max="1806" width="16.140625" style="11" bestFit="1" customWidth="1"/>
    <col min="1807" max="1807" width="9" style="11" customWidth="1"/>
    <col min="1808" max="1808" width="21.140625" style="11" bestFit="1" customWidth="1"/>
    <col min="1809" max="2051" width="8.7109375" style="11"/>
    <col min="2052" max="2052" width="20.140625" style="11" customWidth="1"/>
    <col min="2053" max="2053" width="16.140625" style="11" customWidth="1"/>
    <col min="2054" max="2054" width="12" style="11" customWidth="1"/>
    <col min="2055" max="2055" width="8.85546875" style="11" customWidth="1"/>
    <col min="2056" max="2056" width="9.42578125" style="11" customWidth="1"/>
    <col min="2057" max="2057" width="11.5703125" style="11" customWidth="1"/>
    <col min="2058" max="2058" width="12" style="11" bestFit="1" customWidth="1"/>
    <col min="2059" max="2059" width="12.140625" style="11" customWidth="1"/>
    <col min="2060" max="2060" width="20.140625" style="11" bestFit="1" customWidth="1"/>
    <col min="2061" max="2061" width="10.5703125" style="11" bestFit="1" customWidth="1"/>
    <col min="2062" max="2062" width="16.140625" style="11" bestFit="1" customWidth="1"/>
    <col min="2063" max="2063" width="9" style="11" customWidth="1"/>
    <col min="2064" max="2064" width="21.140625" style="11" bestFit="1" customWidth="1"/>
    <col min="2065" max="2307" width="8.7109375" style="11"/>
    <col min="2308" max="2308" width="20.140625" style="11" customWidth="1"/>
    <col min="2309" max="2309" width="16.140625" style="11" customWidth="1"/>
    <col min="2310" max="2310" width="12" style="11" customWidth="1"/>
    <col min="2311" max="2311" width="8.85546875" style="11" customWidth="1"/>
    <col min="2312" max="2312" width="9.42578125" style="11" customWidth="1"/>
    <col min="2313" max="2313" width="11.5703125" style="11" customWidth="1"/>
    <col min="2314" max="2314" width="12" style="11" bestFit="1" customWidth="1"/>
    <col min="2315" max="2315" width="12.140625" style="11" customWidth="1"/>
    <col min="2316" max="2316" width="20.140625" style="11" bestFit="1" customWidth="1"/>
    <col min="2317" max="2317" width="10.5703125" style="11" bestFit="1" customWidth="1"/>
    <col min="2318" max="2318" width="16.140625" style="11" bestFit="1" customWidth="1"/>
    <col min="2319" max="2319" width="9" style="11" customWidth="1"/>
    <col min="2320" max="2320" width="21.140625" style="11" bestFit="1" customWidth="1"/>
    <col min="2321" max="2563" width="8.7109375" style="11"/>
    <col min="2564" max="2564" width="20.140625" style="11" customWidth="1"/>
    <col min="2565" max="2565" width="16.140625" style="11" customWidth="1"/>
    <col min="2566" max="2566" width="12" style="11" customWidth="1"/>
    <col min="2567" max="2567" width="8.85546875" style="11" customWidth="1"/>
    <col min="2568" max="2568" width="9.42578125" style="11" customWidth="1"/>
    <col min="2569" max="2569" width="11.5703125" style="11" customWidth="1"/>
    <col min="2570" max="2570" width="12" style="11" bestFit="1" customWidth="1"/>
    <col min="2571" max="2571" width="12.140625" style="11" customWidth="1"/>
    <col min="2572" max="2572" width="20.140625" style="11" bestFit="1" customWidth="1"/>
    <col min="2573" max="2573" width="10.5703125" style="11" bestFit="1" customWidth="1"/>
    <col min="2574" max="2574" width="16.140625" style="11" bestFit="1" customWidth="1"/>
    <col min="2575" max="2575" width="9" style="11" customWidth="1"/>
    <col min="2576" max="2576" width="21.140625" style="11" bestFit="1" customWidth="1"/>
    <col min="2577" max="2819" width="8.7109375" style="11"/>
    <col min="2820" max="2820" width="20.140625" style="11" customWidth="1"/>
    <col min="2821" max="2821" width="16.140625" style="11" customWidth="1"/>
    <col min="2822" max="2822" width="12" style="11" customWidth="1"/>
    <col min="2823" max="2823" width="8.85546875" style="11" customWidth="1"/>
    <col min="2824" max="2824" width="9.42578125" style="11" customWidth="1"/>
    <col min="2825" max="2825" width="11.5703125" style="11" customWidth="1"/>
    <col min="2826" max="2826" width="12" style="11" bestFit="1" customWidth="1"/>
    <col min="2827" max="2827" width="12.140625" style="11" customWidth="1"/>
    <col min="2828" max="2828" width="20.140625" style="11" bestFit="1" customWidth="1"/>
    <col min="2829" max="2829" width="10.5703125" style="11" bestFit="1" customWidth="1"/>
    <col min="2830" max="2830" width="16.140625" style="11" bestFit="1" customWidth="1"/>
    <col min="2831" max="2831" width="9" style="11" customWidth="1"/>
    <col min="2832" max="2832" width="21.140625" style="11" bestFit="1" customWidth="1"/>
    <col min="2833" max="3075" width="8.7109375" style="11"/>
    <col min="3076" max="3076" width="20.140625" style="11" customWidth="1"/>
    <col min="3077" max="3077" width="16.140625" style="11" customWidth="1"/>
    <col min="3078" max="3078" width="12" style="11" customWidth="1"/>
    <col min="3079" max="3079" width="8.85546875" style="11" customWidth="1"/>
    <col min="3080" max="3080" width="9.42578125" style="11" customWidth="1"/>
    <col min="3081" max="3081" width="11.5703125" style="11" customWidth="1"/>
    <col min="3082" max="3082" width="12" style="11" bestFit="1" customWidth="1"/>
    <col min="3083" max="3083" width="12.140625" style="11" customWidth="1"/>
    <col min="3084" max="3084" width="20.140625" style="11" bestFit="1" customWidth="1"/>
    <col min="3085" max="3085" width="10.5703125" style="11" bestFit="1" customWidth="1"/>
    <col min="3086" max="3086" width="16.140625" style="11" bestFit="1" customWidth="1"/>
    <col min="3087" max="3087" width="9" style="11" customWidth="1"/>
    <col min="3088" max="3088" width="21.140625" style="11" bestFit="1" customWidth="1"/>
    <col min="3089" max="3331" width="8.7109375" style="11"/>
    <col min="3332" max="3332" width="20.140625" style="11" customWidth="1"/>
    <col min="3333" max="3333" width="16.140625" style="11" customWidth="1"/>
    <col min="3334" max="3334" width="12" style="11" customWidth="1"/>
    <col min="3335" max="3335" width="8.85546875" style="11" customWidth="1"/>
    <col min="3336" max="3336" width="9.42578125" style="11" customWidth="1"/>
    <col min="3337" max="3337" width="11.5703125" style="11" customWidth="1"/>
    <col min="3338" max="3338" width="12" style="11" bestFit="1" customWidth="1"/>
    <col min="3339" max="3339" width="12.140625" style="11" customWidth="1"/>
    <col min="3340" max="3340" width="20.140625" style="11" bestFit="1" customWidth="1"/>
    <col min="3341" max="3341" width="10.5703125" style="11" bestFit="1" customWidth="1"/>
    <col min="3342" max="3342" width="16.140625" style="11" bestFit="1" customWidth="1"/>
    <col min="3343" max="3343" width="9" style="11" customWidth="1"/>
    <col min="3344" max="3344" width="21.140625" style="11" bestFit="1" customWidth="1"/>
    <col min="3345" max="3587" width="8.7109375" style="11"/>
    <col min="3588" max="3588" width="20.140625" style="11" customWidth="1"/>
    <col min="3589" max="3589" width="16.140625" style="11" customWidth="1"/>
    <col min="3590" max="3590" width="12" style="11" customWidth="1"/>
    <col min="3591" max="3591" width="8.85546875" style="11" customWidth="1"/>
    <col min="3592" max="3592" width="9.42578125" style="11" customWidth="1"/>
    <col min="3593" max="3593" width="11.5703125" style="11" customWidth="1"/>
    <col min="3594" max="3594" width="12" style="11" bestFit="1" customWidth="1"/>
    <col min="3595" max="3595" width="12.140625" style="11" customWidth="1"/>
    <col min="3596" max="3596" width="20.140625" style="11" bestFit="1" customWidth="1"/>
    <col min="3597" max="3597" width="10.5703125" style="11" bestFit="1" customWidth="1"/>
    <col min="3598" max="3598" width="16.140625" style="11" bestFit="1" customWidth="1"/>
    <col min="3599" max="3599" width="9" style="11" customWidth="1"/>
    <col min="3600" max="3600" width="21.140625" style="11" bestFit="1" customWidth="1"/>
    <col min="3601" max="3843" width="8.7109375" style="11"/>
    <col min="3844" max="3844" width="20.140625" style="11" customWidth="1"/>
    <col min="3845" max="3845" width="16.140625" style="11" customWidth="1"/>
    <col min="3846" max="3846" width="12" style="11" customWidth="1"/>
    <col min="3847" max="3847" width="8.85546875" style="11" customWidth="1"/>
    <col min="3848" max="3848" width="9.42578125" style="11" customWidth="1"/>
    <col min="3849" max="3849" width="11.5703125" style="11" customWidth="1"/>
    <col min="3850" max="3850" width="12" style="11" bestFit="1" customWidth="1"/>
    <col min="3851" max="3851" width="12.140625" style="11" customWidth="1"/>
    <col min="3852" max="3852" width="20.140625" style="11" bestFit="1" customWidth="1"/>
    <col min="3853" max="3853" width="10.5703125" style="11" bestFit="1" customWidth="1"/>
    <col min="3854" max="3854" width="16.140625" style="11" bestFit="1" customWidth="1"/>
    <col min="3855" max="3855" width="9" style="11" customWidth="1"/>
    <col min="3856" max="3856" width="21.140625" style="11" bestFit="1" customWidth="1"/>
    <col min="3857" max="4099" width="8.7109375" style="11"/>
    <col min="4100" max="4100" width="20.140625" style="11" customWidth="1"/>
    <col min="4101" max="4101" width="16.140625" style="11" customWidth="1"/>
    <col min="4102" max="4102" width="12" style="11" customWidth="1"/>
    <col min="4103" max="4103" width="8.85546875" style="11" customWidth="1"/>
    <col min="4104" max="4104" width="9.42578125" style="11" customWidth="1"/>
    <col min="4105" max="4105" width="11.5703125" style="11" customWidth="1"/>
    <col min="4106" max="4106" width="12" style="11" bestFit="1" customWidth="1"/>
    <col min="4107" max="4107" width="12.140625" style="11" customWidth="1"/>
    <col min="4108" max="4108" width="20.140625" style="11" bestFit="1" customWidth="1"/>
    <col min="4109" max="4109" width="10.5703125" style="11" bestFit="1" customWidth="1"/>
    <col min="4110" max="4110" width="16.140625" style="11" bestFit="1" customWidth="1"/>
    <col min="4111" max="4111" width="9" style="11" customWidth="1"/>
    <col min="4112" max="4112" width="21.140625" style="11" bestFit="1" customWidth="1"/>
    <col min="4113" max="4355" width="8.7109375" style="11"/>
    <col min="4356" max="4356" width="20.140625" style="11" customWidth="1"/>
    <col min="4357" max="4357" width="16.140625" style="11" customWidth="1"/>
    <col min="4358" max="4358" width="12" style="11" customWidth="1"/>
    <col min="4359" max="4359" width="8.85546875" style="11" customWidth="1"/>
    <col min="4360" max="4360" width="9.42578125" style="11" customWidth="1"/>
    <col min="4361" max="4361" width="11.5703125" style="11" customWidth="1"/>
    <col min="4362" max="4362" width="12" style="11" bestFit="1" customWidth="1"/>
    <col min="4363" max="4363" width="12.140625" style="11" customWidth="1"/>
    <col min="4364" max="4364" width="20.140625" style="11" bestFit="1" customWidth="1"/>
    <col min="4365" max="4365" width="10.5703125" style="11" bestFit="1" customWidth="1"/>
    <col min="4366" max="4366" width="16.140625" style="11" bestFit="1" customWidth="1"/>
    <col min="4367" max="4367" width="9" style="11" customWidth="1"/>
    <col min="4368" max="4368" width="21.140625" style="11" bestFit="1" customWidth="1"/>
    <col min="4369" max="4611" width="8.7109375" style="11"/>
    <col min="4612" max="4612" width="20.140625" style="11" customWidth="1"/>
    <col min="4613" max="4613" width="16.140625" style="11" customWidth="1"/>
    <col min="4614" max="4614" width="12" style="11" customWidth="1"/>
    <col min="4615" max="4615" width="8.85546875" style="11" customWidth="1"/>
    <col min="4616" max="4616" width="9.42578125" style="11" customWidth="1"/>
    <col min="4617" max="4617" width="11.5703125" style="11" customWidth="1"/>
    <col min="4618" max="4618" width="12" style="11" bestFit="1" customWidth="1"/>
    <col min="4619" max="4619" width="12.140625" style="11" customWidth="1"/>
    <col min="4620" max="4620" width="20.140625" style="11" bestFit="1" customWidth="1"/>
    <col min="4621" max="4621" width="10.5703125" style="11" bestFit="1" customWidth="1"/>
    <col min="4622" max="4622" width="16.140625" style="11" bestFit="1" customWidth="1"/>
    <col min="4623" max="4623" width="9" style="11" customWidth="1"/>
    <col min="4624" max="4624" width="21.140625" style="11" bestFit="1" customWidth="1"/>
    <col min="4625" max="4867" width="8.7109375" style="11"/>
    <col min="4868" max="4868" width="20.140625" style="11" customWidth="1"/>
    <col min="4869" max="4869" width="16.140625" style="11" customWidth="1"/>
    <col min="4870" max="4870" width="12" style="11" customWidth="1"/>
    <col min="4871" max="4871" width="8.85546875" style="11" customWidth="1"/>
    <col min="4872" max="4872" width="9.42578125" style="11" customWidth="1"/>
    <col min="4873" max="4873" width="11.5703125" style="11" customWidth="1"/>
    <col min="4874" max="4874" width="12" style="11" bestFit="1" customWidth="1"/>
    <col min="4875" max="4875" width="12.140625" style="11" customWidth="1"/>
    <col min="4876" max="4876" width="20.140625" style="11" bestFit="1" customWidth="1"/>
    <col min="4877" max="4877" width="10.5703125" style="11" bestFit="1" customWidth="1"/>
    <col min="4878" max="4878" width="16.140625" style="11" bestFit="1" customWidth="1"/>
    <col min="4879" max="4879" width="9" style="11" customWidth="1"/>
    <col min="4880" max="4880" width="21.140625" style="11" bestFit="1" customWidth="1"/>
    <col min="4881" max="5123" width="8.7109375" style="11"/>
    <col min="5124" max="5124" width="20.140625" style="11" customWidth="1"/>
    <col min="5125" max="5125" width="16.140625" style="11" customWidth="1"/>
    <col min="5126" max="5126" width="12" style="11" customWidth="1"/>
    <col min="5127" max="5127" width="8.85546875" style="11" customWidth="1"/>
    <col min="5128" max="5128" width="9.42578125" style="11" customWidth="1"/>
    <col min="5129" max="5129" width="11.5703125" style="11" customWidth="1"/>
    <col min="5130" max="5130" width="12" style="11" bestFit="1" customWidth="1"/>
    <col min="5131" max="5131" width="12.140625" style="11" customWidth="1"/>
    <col min="5132" max="5132" width="20.140625" style="11" bestFit="1" customWidth="1"/>
    <col min="5133" max="5133" width="10.5703125" style="11" bestFit="1" customWidth="1"/>
    <col min="5134" max="5134" width="16.140625" style="11" bestFit="1" customWidth="1"/>
    <col min="5135" max="5135" width="9" style="11" customWidth="1"/>
    <col min="5136" max="5136" width="21.140625" style="11" bestFit="1" customWidth="1"/>
    <col min="5137" max="5379" width="8.7109375" style="11"/>
    <col min="5380" max="5380" width="20.140625" style="11" customWidth="1"/>
    <col min="5381" max="5381" width="16.140625" style="11" customWidth="1"/>
    <col min="5382" max="5382" width="12" style="11" customWidth="1"/>
    <col min="5383" max="5383" width="8.85546875" style="11" customWidth="1"/>
    <col min="5384" max="5384" width="9.42578125" style="11" customWidth="1"/>
    <col min="5385" max="5385" width="11.5703125" style="11" customWidth="1"/>
    <col min="5386" max="5386" width="12" style="11" bestFit="1" customWidth="1"/>
    <col min="5387" max="5387" width="12.140625" style="11" customWidth="1"/>
    <col min="5388" max="5388" width="20.140625" style="11" bestFit="1" customWidth="1"/>
    <col min="5389" max="5389" width="10.5703125" style="11" bestFit="1" customWidth="1"/>
    <col min="5390" max="5390" width="16.140625" style="11" bestFit="1" customWidth="1"/>
    <col min="5391" max="5391" width="9" style="11" customWidth="1"/>
    <col min="5392" max="5392" width="21.140625" style="11" bestFit="1" customWidth="1"/>
    <col min="5393" max="5635" width="8.7109375" style="11"/>
    <col min="5636" max="5636" width="20.140625" style="11" customWidth="1"/>
    <col min="5637" max="5637" width="16.140625" style="11" customWidth="1"/>
    <col min="5638" max="5638" width="12" style="11" customWidth="1"/>
    <col min="5639" max="5639" width="8.85546875" style="11" customWidth="1"/>
    <col min="5640" max="5640" width="9.42578125" style="11" customWidth="1"/>
    <col min="5641" max="5641" width="11.5703125" style="11" customWidth="1"/>
    <col min="5642" max="5642" width="12" style="11" bestFit="1" customWidth="1"/>
    <col min="5643" max="5643" width="12.140625" style="11" customWidth="1"/>
    <col min="5644" max="5644" width="20.140625" style="11" bestFit="1" customWidth="1"/>
    <col min="5645" max="5645" width="10.5703125" style="11" bestFit="1" customWidth="1"/>
    <col min="5646" max="5646" width="16.140625" style="11" bestFit="1" customWidth="1"/>
    <col min="5647" max="5647" width="9" style="11" customWidth="1"/>
    <col min="5648" max="5648" width="21.140625" style="11" bestFit="1" customWidth="1"/>
    <col min="5649" max="5891" width="8.7109375" style="11"/>
    <col min="5892" max="5892" width="20.140625" style="11" customWidth="1"/>
    <col min="5893" max="5893" width="16.140625" style="11" customWidth="1"/>
    <col min="5894" max="5894" width="12" style="11" customWidth="1"/>
    <col min="5895" max="5895" width="8.85546875" style="11" customWidth="1"/>
    <col min="5896" max="5896" width="9.42578125" style="11" customWidth="1"/>
    <col min="5897" max="5897" width="11.5703125" style="11" customWidth="1"/>
    <col min="5898" max="5898" width="12" style="11" bestFit="1" customWidth="1"/>
    <col min="5899" max="5899" width="12.140625" style="11" customWidth="1"/>
    <col min="5900" max="5900" width="20.140625" style="11" bestFit="1" customWidth="1"/>
    <col min="5901" max="5901" width="10.5703125" style="11" bestFit="1" customWidth="1"/>
    <col min="5902" max="5902" width="16.140625" style="11" bestFit="1" customWidth="1"/>
    <col min="5903" max="5903" width="9" style="11" customWidth="1"/>
    <col min="5904" max="5904" width="21.140625" style="11" bestFit="1" customWidth="1"/>
    <col min="5905" max="6147" width="8.7109375" style="11"/>
    <col min="6148" max="6148" width="20.140625" style="11" customWidth="1"/>
    <col min="6149" max="6149" width="16.140625" style="11" customWidth="1"/>
    <col min="6150" max="6150" width="12" style="11" customWidth="1"/>
    <col min="6151" max="6151" width="8.85546875" style="11" customWidth="1"/>
    <col min="6152" max="6152" width="9.42578125" style="11" customWidth="1"/>
    <col min="6153" max="6153" width="11.5703125" style="11" customWidth="1"/>
    <col min="6154" max="6154" width="12" style="11" bestFit="1" customWidth="1"/>
    <col min="6155" max="6155" width="12.140625" style="11" customWidth="1"/>
    <col min="6156" max="6156" width="20.140625" style="11" bestFit="1" customWidth="1"/>
    <col min="6157" max="6157" width="10.5703125" style="11" bestFit="1" customWidth="1"/>
    <col min="6158" max="6158" width="16.140625" style="11" bestFit="1" customWidth="1"/>
    <col min="6159" max="6159" width="9" style="11" customWidth="1"/>
    <col min="6160" max="6160" width="21.140625" style="11" bestFit="1" customWidth="1"/>
    <col min="6161" max="6403" width="8.7109375" style="11"/>
    <col min="6404" max="6404" width="20.140625" style="11" customWidth="1"/>
    <col min="6405" max="6405" width="16.140625" style="11" customWidth="1"/>
    <col min="6406" max="6406" width="12" style="11" customWidth="1"/>
    <col min="6407" max="6407" width="8.85546875" style="11" customWidth="1"/>
    <col min="6408" max="6408" width="9.42578125" style="11" customWidth="1"/>
    <col min="6409" max="6409" width="11.5703125" style="11" customWidth="1"/>
    <col min="6410" max="6410" width="12" style="11" bestFit="1" customWidth="1"/>
    <col min="6411" max="6411" width="12.140625" style="11" customWidth="1"/>
    <col min="6412" max="6412" width="20.140625" style="11" bestFit="1" customWidth="1"/>
    <col min="6413" max="6413" width="10.5703125" style="11" bestFit="1" customWidth="1"/>
    <col min="6414" max="6414" width="16.140625" style="11" bestFit="1" customWidth="1"/>
    <col min="6415" max="6415" width="9" style="11" customWidth="1"/>
    <col min="6416" max="6416" width="21.140625" style="11" bestFit="1" customWidth="1"/>
    <col min="6417" max="6659" width="8.7109375" style="11"/>
    <col min="6660" max="6660" width="20.140625" style="11" customWidth="1"/>
    <col min="6661" max="6661" width="16.140625" style="11" customWidth="1"/>
    <col min="6662" max="6662" width="12" style="11" customWidth="1"/>
    <col min="6663" max="6663" width="8.85546875" style="11" customWidth="1"/>
    <col min="6664" max="6664" width="9.42578125" style="11" customWidth="1"/>
    <col min="6665" max="6665" width="11.5703125" style="11" customWidth="1"/>
    <col min="6666" max="6666" width="12" style="11" bestFit="1" customWidth="1"/>
    <col min="6667" max="6667" width="12.140625" style="11" customWidth="1"/>
    <col min="6668" max="6668" width="20.140625" style="11" bestFit="1" customWidth="1"/>
    <col min="6669" max="6669" width="10.5703125" style="11" bestFit="1" customWidth="1"/>
    <col min="6670" max="6670" width="16.140625" style="11" bestFit="1" customWidth="1"/>
    <col min="6671" max="6671" width="9" style="11" customWidth="1"/>
    <col min="6672" max="6672" width="21.140625" style="11" bestFit="1" customWidth="1"/>
    <col min="6673" max="6915" width="8.7109375" style="11"/>
    <col min="6916" max="6916" width="20.140625" style="11" customWidth="1"/>
    <col min="6917" max="6917" width="16.140625" style="11" customWidth="1"/>
    <col min="6918" max="6918" width="12" style="11" customWidth="1"/>
    <col min="6919" max="6919" width="8.85546875" style="11" customWidth="1"/>
    <col min="6920" max="6920" width="9.42578125" style="11" customWidth="1"/>
    <col min="6921" max="6921" width="11.5703125" style="11" customWidth="1"/>
    <col min="6922" max="6922" width="12" style="11" bestFit="1" customWidth="1"/>
    <col min="6923" max="6923" width="12.140625" style="11" customWidth="1"/>
    <col min="6924" max="6924" width="20.140625" style="11" bestFit="1" customWidth="1"/>
    <col min="6925" max="6925" width="10.5703125" style="11" bestFit="1" customWidth="1"/>
    <col min="6926" max="6926" width="16.140625" style="11" bestFit="1" customWidth="1"/>
    <col min="6927" max="6927" width="9" style="11" customWidth="1"/>
    <col min="6928" max="6928" width="21.140625" style="11" bestFit="1" customWidth="1"/>
    <col min="6929" max="7171" width="8.7109375" style="11"/>
    <col min="7172" max="7172" width="20.140625" style="11" customWidth="1"/>
    <col min="7173" max="7173" width="16.140625" style="11" customWidth="1"/>
    <col min="7174" max="7174" width="12" style="11" customWidth="1"/>
    <col min="7175" max="7175" width="8.85546875" style="11" customWidth="1"/>
    <col min="7176" max="7176" width="9.42578125" style="11" customWidth="1"/>
    <col min="7177" max="7177" width="11.5703125" style="11" customWidth="1"/>
    <col min="7178" max="7178" width="12" style="11" bestFit="1" customWidth="1"/>
    <col min="7179" max="7179" width="12.140625" style="11" customWidth="1"/>
    <col min="7180" max="7180" width="20.140625" style="11" bestFit="1" customWidth="1"/>
    <col min="7181" max="7181" width="10.5703125" style="11" bestFit="1" customWidth="1"/>
    <col min="7182" max="7182" width="16.140625" style="11" bestFit="1" customWidth="1"/>
    <col min="7183" max="7183" width="9" style="11" customWidth="1"/>
    <col min="7184" max="7184" width="21.140625" style="11" bestFit="1" customWidth="1"/>
    <col min="7185" max="7427" width="8.7109375" style="11"/>
    <col min="7428" max="7428" width="20.140625" style="11" customWidth="1"/>
    <col min="7429" max="7429" width="16.140625" style="11" customWidth="1"/>
    <col min="7430" max="7430" width="12" style="11" customWidth="1"/>
    <col min="7431" max="7431" width="8.85546875" style="11" customWidth="1"/>
    <col min="7432" max="7432" width="9.42578125" style="11" customWidth="1"/>
    <col min="7433" max="7433" width="11.5703125" style="11" customWidth="1"/>
    <col min="7434" max="7434" width="12" style="11" bestFit="1" customWidth="1"/>
    <col min="7435" max="7435" width="12.140625" style="11" customWidth="1"/>
    <col min="7436" max="7436" width="20.140625" style="11" bestFit="1" customWidth="1"/>
    <col min="7437" max="7437" width="10.5703125" style="11" bestFit="1" customWidth="1"/>
    <col min="7438" max="7438" width="16.140625" style="11" bestFit="1" customWidth="1"/>
    <col min="7439" max="7439" width="9" style="11" customWidth="1"/>
    <col min="7440" max="7440" width="21.140625" style="11" bestFit="1" customWidth="1"/>
    <col min="7441" max="7683" width="8.7109375" style="11"/>
    <col min="7684" max="7684" width="20.140625" style="11" customWidth="1"/>
    <col min="7685" max="7685" width="16.140625" style="11" customWidth="1"/>
    <col min="7686" max="7686" width="12" style="11" customWidth="1"/>
    <col min="7687" max="7687" width="8.85546875" style="11" customWidth="1"/>
    <col min="7688" max="7688" width="9.42578125" style="11" customWidth="1"/>
    <col min="7689" max="7689" width="11.5703125" style="11" customWidth="1"/>
    <col min="7690" max="7690" width="12" style="11" bestFit="1" customWidth="1"/>
    <col min="7691" max="7691" width="12.140625" style="11" customWidth="1"/>
    <col min="7692" max="7692" width="20.140625" style="11" bestFit="1" customWidth="1"/>
    <col min="7693" max="7693" width="10.5703125" style="11" bestFit="1" customWidth="1"/>
    <col min="7694" max="7694" width="16.140625" style="11" bestFit="1" customWidth="1"/>
    <col min="7695" max="7695" width="9" style="11" customWidth="1"/>
    <col min="7696" max="7696" width="21.140625" style="11" bestFit="1" customWidth="1"/>
    <col min="7697" max="7939" width="8.7109375" style="11"/>
    <col min="7940" max="7940" width="20.140625" style="11" customWidth="1"/>
    <col min="7941" max="7941" width="16.140625" style="11" customWidth="1"/>
    <col min="7942" max="7942" width="12" style="11" customWidth="1"/>
    <col min="7943" max="7943" width="8.85546875" style="11" customWidth="1"/>
    <col min="7944" max="7944" width="9.42578125" style="11" customWidth="1"/>
    <col min="7945" max="7945" width="11.5703125" style="11" customWidth="1"/>
    <col min="7946" max="7946" width="12" style="11" bestFit="1" customWidth="1"/>
    <col min="7947" max="7947" width="12.140625" style="11" customWidth="1"/>
    <col min="7948" max="7948" width="20.140625" style="11" bestFit="1" customWidth="1"/>
    <col min="7949" max="7949" width="10.5703125" style="11" bestFit="1" customWidth="1"/>
    <col min="7950" max="7950" width="16.140625" style="11" bestFit="1" customWidth="1"/>
    <col min="7951" max="7951" width="9" style="11" customWidth="1"/>
    <col min="7952" max="7952" width="21.140625" style="11" bestFit="1" customWidth="1"/>
    <col min="7953" max="8195" width="8.7109375" style="11"/>
    <col min="8196" max="8196" width="20.140625" style="11" customWidth="1"/>
    <col min="8197" max="8197" width="16.140625" style="11" customWidth="1"/>
    <col min="8198" max="8198" width="12" style="11" customWidth="1"/>
    <col min="8199" max="8199" width="8.85546875" style="11" customWidth="1"/>
    <col min="8200" max="8200" width="9.42578125" style="11" customWidth="1"/>
    <col min="8201" max="8201" width="11.5703125" style="11" customWidth="1"/>
    <col min="8202" max="8202" width="12" style="11" bestFit="1" customWidth="1"/>
    <col min="8203" max="8203" width="12.140625" style="11" customWidth="1"/>
    <col min="8204" max="8204" width="20.140625" style="11" bestFit="1" customWidth="1"/>
    <col min="8205" max="8205" width="10.5703125" style="11" bestFit="1" customWidth="1"/>
    <col min="8206" max="8206" width="16.140625" style="11" bestFit="1" customWidth="1"/>
    <col min="8207" max="8207" width="9" style="11" customWidth="1"/>
    <col min="8208" max="8208" width="21.140625" style="11" bestFit="1" customWidth="1"/>
    <col min="8209" max="8451" width="8.7109375" style="11"/>
    <col min="8452" max="8452" width="20.140625" style="11" customWidth="1"/>
    <col min="8453" max="8453" width="16.140625" style="11" customWidth="1"/>
    <col min="8454" max="8454" width="12" style="11" customWidth="1"/>
    <col min="8455" max="8455" width="8.85546875" style="11" customWidth="1"/>
    <col min="8456" max="8456" width="9.42578125" style="11" customWidth="1"/>
    <col min="8457" max="8457" width="11.5703125" style="11" customWidth="1"/>
    <col min="8458" max="8458" width="12" style="11" bestFit="1" customWidth="1"/>
    <col min="8459" max="8459" width="12.140625" style="11" customWidth="1"/>
    <col min="8460" max="8460" width="20.140625" style="11" bestFit="1" customWidth="1"/>
    <col min="8461" max="8461" width="10.5703125" style="11" bestFit="1" customWidth="1"/>
    <col min="8462" max="8462" width="16.140625" style="11" bestFit="1" customWidth="1"/>
    <col min="8463" max="8463" width="9" style="11" customWidth="1"/>
    <col min="8464" max="8464" width="21.140625" style="11" bestFit="1" customWidth="1"/>
    <col min="8465" max="8707" width="8.7109375" style="11"/>
    <col min="8708" max="8708" width="20.140625" style="11" customWidth="1"/>
    <col min="8709" max="8709" width="16.140625" style="11" customWidth="1"/>
    <col min="8710" max="8710" width="12" style="11" customWidth="1"/>
    <col min="8711" max="8711" width="8.85546875" style="11" customWidth="1"/>
    <col min="8712" max="8712" width="9.42578125" style="11" customWidth="1"/>
    <col min="8713" max="8713" width="11.5703125" style="11" customWidth="1"/>
    <col min="8714" max="8714" width="12" style="11" bestFit="1" customWidth="1"/>
    <col min="8715" max="8715" width="12.140625" style="11" customWidth="1"/>
    <col min="8716" max="8716" width="20.140625" style="11" bestFit="1" customWidth="1"/>
    <col min="8717" max="8717" width="10.5703125" style="11" bestFit="1" customWidth="1"/>
    <col min="8718" max="8718" width="16.140625" style="11" bestFit="1" customWidth="1"/>
    <col min="8719" max="8719" width="9" style="11" customWidth="1"/>
    <col min="8720" max="8720" width="21.140625" style="11" bestFit="1" customWidth="1"/>
    <col min="8721" max="8963" width="8.7109375" style="11"/>
    <col min="8964" max="8964" width="20.140625" style="11" customWidth="1"/>
    <col min="8965" max="8965" width="16.140625" style="11" customWidth="1"/>
    <col min="8966" max="8966" width="12" style="11" customWidth="1"/>
    <col min="8967" max="8967" width="8.85546875" style="11" customWidth="1"/>
    <col min="8968" max="8968" width="9.42578125" style="11" customWidth="1"/>
    <col min="8969" max="8969" width="11.5703125" style="11" customWidth="1"/>
    <col min="8970" max="8970" width="12" style="11" bestFit="1" customWidth="1"/>
    <col min="8971" max="8971" width="12.140625" style="11" customWidth="1"/>
    <col min="8972" max="8972" width="20.140625" style="11" bestFit="1" customWidth="1"/>
    <col min="8973" max="8973" width="10.5703125" style="11" bestFit="1" customWidth="1"/>
    <col min="8974" max="8974" width="16.140625" style="11" bestFit="1" customWidth="1"/>
    <col min="8975" max="8975" width="9" style="11" customWidth="1"/>
    <col min="8976" max="8976" width="21.140625" style="11" bestFit="1" customWidth="1"/>
    <col min="8977" max="9219" width="8.7109375" style="11"/>
    <col min="9220" max="9220" width="20.140625" style="11" customWidth="1"/>
    <col min="9221" max="9221" width="16.140625" style="11" customWidth="1"/>
    <col min="9222" max="9222" width="12" style="11" customWidth="1"/>
    <col min="9223" max="9223" width="8.85546875" style="11" customWidth="1"/>
    <col min="9224" max="9224" width="9.42578125" style="11" customWidth="1"/>
    <col min="9225" max="9225" width="11.5703125" style="11" customWidth="1"/>
    <col min="9226" max="9226" width="12" style="11" bestFit="1" customWidth="1"/>
    <col min="9227" max="9227" width="12.140625" style="11" customWidth="1"/>
    <col min="9228" max="9228" width="20.140625" style="11" bestFit="1" customWidth="1"/>
    <col min="9229" max="9229" width="10.5703125" style="11" bestFit="1" customWidth="1"/>
    <col min="9230" max="9230" width="16.140625" style="11" bestFit="1" customWidth="1"/>
    <col min="9231" max="9231" width="9" style="11" customWidth="1"/>
    <col min="9232" max="9232" width="21.140625" style="11" bestFit="1" customWidth="1"/>
    <col min="9233" max="9475" width="8.7109375" style="11"/>
    <col min="9476" max="9476" width="20.140625" style="11" customWidth="1"/>
    <col min="9477" max="9477" width="16.140625" style="11" customWidth="1"/>
    <col min="9478" max="9478" width="12" style="11" customWidth="1"/>
    <col min="9479" max="9479" width="8.85546875" style="11" customWidth="1"/>
    <col min="9480" max="9480" width="9.42578125" style="11" customWidth="1"/>
    <col min="9481" max="9481" width="11.5703125" style="11" customWidth="1"/>
    <col min="9482" max="9482" width="12" style="11" bestFit="1" customWidth="1"/>
    <col min="9483" max="9483" width="12.140625" style="11" customWidth="1"/>
    <col min="9484" max="9484" width="20.140625" style="11" bestFit="1" customWidth="1"/>
    <col min="9485" max="9485" width="10.5703125" style="11" bestFit="1" customWidth="1"/>
    <col min="9486" max="9486" width="16.140625" style="11" bestFit="1" customWidth="1"/>
    <col min="9487" max="9487" width="9" style="11" customWidth="1"/>
    <col min="9488" max="9488" width="21.140625" style="11" bestFit="1" customWidth="1"/>
    <col min="9489" max="9731" width="8.7109375" style="11"/>
    <col min="9732" max="9732" width="20.140625" style="11" customWidth="1"/>
    <col min="9733" max="9733" width="16.140625" style="11" customWidth="1"/>
    <col min="9734" max="9734" width="12" style="11" customWidth="1"/>
    <col min="9735" max="9735" width="8.85546875" style="11" customWidth="1"/>
    <col min="9736" max="9736" width="9.42578125" style="11" customWidth="1"/>
    <col min="9737" max="9737" width="11.5703125" style="11" customWidth="1"/>
    <col min="9738" max="9738" width="12" style="11" bestFit="1" customWidth="1"/>
    <col min="9739" max="9739" width="12.140625" style="11" customWidth="1"/>
    <col min="9740" max="9740" width="20.140625" style="11" bestFit="1" customWidth="1"/>
    <col min="9741" max="9741" width="10.5703125" style="11" bestFit="1" customWidth="1"/>
    <col min="9742" max="9742" width="16.140625" style="11" bestFit="1" customWidth="1"/>
    <col min="9743" max="9743" width="9" style="11" customWidth="1"/>
    <col min="9744" max="9744" width="21.140625" style="11" bestFit="1" customWidth="1"/>
    <col min="9745" max="9987" width="8.7109375" style="11"/>
    <col min="9988" max="9988" width="20.140625" style="11" customWidth="1"/>
    <col min="9989" max="9989" width="16.140625" style="11" customWidth="1"/>
    <col min="9990" max="9990" width="12" style="11" customWidth="1"/>
    <col min="9991" max="9991" width="8.85546875" style="11" customWidth="1"/>
    <col min="9992" max="9992" width="9.42578125" style="11" customWidth="1"/>
    <col min="9993" max="9993" width="11.5703125" style="11" customWidth="1"/>
    <col min="9994" max="9994" width="12" style="11" bestFit="1" customWidth="1"/>
    <col min="9995" max="9995" width="12.140625" style="11" customWidth="1"/>
    <col min="9996" max="9996" width="20.140625" style="11" bestFit="1" customWidth="1"/>
    <col min="9997" max="9997" width="10.5703125" style="11" bestFit="1" customWidth="1"/>
    <col min="9998" max="9998" width="16.140625" style="11" bestFit="1" customWidth="1"/>
    <col min="9999" max="9999" width="9" style="11" customWidth="1"/>
    <col min="10000" max="10000" width="21.140625" style="11" bestFit="1" customWidth="1"/>
    <col min="10001" max="10243" width="8.7109375" style="11"/>
    <col min="10244" max="10244" width="20.140625" style="11" customWidth="1"/>
    <col min="10245" max="10245" width="16.140625" style="11" customWidth="1"/>
    <col min="10246" max="10246" width="12" style="11" customWidth="1"/>
    <col min="10247" max="10247" width="8.85546875" style="11" customWidth="1"/>
    <col min="10248" max="10248" width="9.42578125" style="11" customWidth="1"/>
    <col min="10249" max="10249" width="11.5703125" style="11" customWidth="1"/>
    <col min="10250" max="10250" width="12" style="11" bestFit="1" customWidth="1"/>
    <col min="10251" max="10251" width="12.140625" style="11" customWidth="1"/>
    <col min="10252" max="10252" width="20.140625" style="11" bestFit="1" customWidth="1"/>
    <col min="10253" max="10253" width="10.5703125" style="11" bestFit="1" customWidth="1"/>
    <col min="10254" max="10254" width="16.140625" style="11" bestFit="1" customWidth="1"/>
    <col min="10255" max="10255" width="9" style="11" customWidth="1"/>
    <col min="10256" max="10256" width="21.140625" style="11" bestFit="1" customWidth="1"/>
    <col min="10257" max="10499" width="8.7109375" style="11"/>
    <col min="10500" max="10500" width="20.140625" style="11" customWidth="1"/>
    <col min="10501" max="10501" width="16.140625" style="11" customWidth="1"/>
    <col min="10502" max="10502" width="12" style="11" customWidth="1"/>
    <col min="10503" max="10503" width="8.85546875" style="11" customWidth="1"/>
    <col min="10504" max="10504" width="9.42578125" style="11" customWidth="1"/>
    <col min="10505" max="10505" width="11.5703125" style="11" customWidth="1"/>
    <col min="10506" max="10506" width="12" style="11" bestFit="1" customWidth="1"/>
    <col min="10507" max="10507" width="12.140625" style="11" customWidth="1"/>
    <col min="10508" max="10508" width="20.140625" style="11" bestFit="1" customWidth="1"/>
    <col min="10509" max="10509" width="10.5703125" style="11" bestFit="1" customWidth="1"/>
    <col min="10510" max="10510" width="16.140625" style="11" bestFit="1" customWidth="1"/>
    <col min="10511" max="10511" width="9" style="11" customWidth="1"/>
    <col min="10512" max="10512" width="21.140625" style="11" bestFit="1" customWidth="1"/>
    <col min="10513" max="10755" width="8.7109375" style="11"/>
    <col min="10756" max="10756" width="20.140625" style="11" customWidth="1"/>
    <col min="10757" max="10757" width="16.140625" style="11" customWidth="1"/>
    <col min="10758" max="10758" width="12" style="11" customWidth="1"/>
    <col min="10759" max="10759" width="8.85546875" style="11" customWidth="1"/>
    <col min="10760" max="10760" width="9.42578125" style="11" customWidth="1"/>
    <col min="10761" max="10761" width="11.5703125" style="11" customWidth="1"/>
    <col min="10762" max="10762" width="12" style="11" bestFit="1" customWidth="1"/>
    <col min="10763" max="10763" width="12.140625" style="11" customWidth="1"/>
    <col min="10764" max="10764" width="20.140625" style="11" bestFit="1" customWidth="1"/>
    <col min="10765" max="10765" width="10.5703125" style="11" bestFit="1" customWidth="1"/>
    <col min="10766" max="10766" width="16.140625" style="11" bestFit="1" customWidth="1"/>
    <col min="10767" max="10767" width="9" style="11" customWidth="1"/>
    <col min="10768" max="10768" width="21.140625" style="11" bestFit="1" customWidth="1"/>
    <col min="10769" max="11011" width="8.7109375" style="11"/>
    <col min="11012" max="11012" width="20.140625" style="11" customWidth="1"/>
    <col min="11013" max="11013" width="16.140625" style="11" customWidth="1"/>
    <col min="11014" max="11014" width="12" style="11" customWidth="1"/>
    <col min="11015" max="11015" width="8.85546875" style="11" customWidth="1"/>
    <col min="11016" max="11016" width="9.42578125" style="11" customWidth="1"/>
    <col min="11017" max="11017" width="11.5703125" style="11" customWidth="1"/>
    <col min="11018" max="11018" width="12" style="11" bestFit="1" customWidth="1"/>
    <col min="11019" max="11019" width="12.140625" style="11" customWidth="1"/>
    <col min="11020" max="11020" width="20.140625" style="11" bestFit="1" customWidth="1"/>
    <col min="11021" max="11021" width="10.5703125" style="11" bestFit="1" customWidth="1"/>
    <col min="11022" max="11022" width="16.140625" style="11" bestFit="1" customWidth="1"/>
    <col min="11023" max="11023" width="9" style="11" customWidth="1"/>
    <col min="11024" max="11024" width="21.140625" style="11" bestFit="1" customWidth="1"/>
    <col min="11025" max="11267" width="8.7109375" style="11"/>
    <col min="11268" max="11268" width="20.140625" style="11" customWidth="1"/>
    <col min="11269" max="11269" width="16.140625" style="11" customWidth="1"/>
    <col min="11270" max="11270" width="12" style="11" customWidth="1"/>
    <col min="11271" max="11271" width="8.85546875" style="11" customWidth="1"/>
    <col min="11272" max="11272" width="9.42578125" style="11" customWidth="1"/>
    <col min="11273" max="11273" width="11.5703125" style="11" customWidth="1"/>
    <col min="11274" max="11274" width="12" style="11" bestFit="1" customWidth="1"/>
    <col min="11275" max="11275" width="12.140625" style="11" customWidth="1"/>
    <col min="11276" max="11276" width="20.140625" style="11" bestFit="1" customWidth="1"/>
    <col min="11277" max="11277" width="10.5703125" style="11" bestFit="1" customWidth="1"/>
    <col min="11278" max="11278" width="16.140625" style="11" bestFit="1" customWidth="1"/>
    <col min="11279" max="11279" width="9" style="11" customWidth="1"/>
    <col min="11280" max="11280" width="21.140625" style="11" bestFit="1" customWidth="1"/>
    <col min="11281" max="11523" width="8.7109375" style="11"/>
    <col min="11524" max="11524" width="20.140625" style="11" customWidth="1"/>
    <col min="11525" max="11525" width="16.140625" style="11" customWidth="1"/>
    <col min="11526" max="11526" width="12" style="11" customWidth="1"/>
    <col min="11527" max="11527" width="8.85546875" style="11" customWidth="1"/>
    <col min="11528" max="11528" width="9.42578125" style="11" customWidth="1"/>
    <col min="11529" max="11529" width="11.5703125" style="11" customWidth="1"/>
    <col min="11530" max="11530" width="12" style="11" bestFit="1" customWidth="1"/>
    <col min="11531" max="11531" width="12.140625" style="11" customWidth="1"/>
    <col min="11532" max="11532" width="20.140625" style="11" bestFit="1" customWidth="1"/>
    <col min="11533" max="11533" width="10.5703125" style="11" bestFit="1" customWidth="1"/>
    <col min="11534" max="11534" width="16.140625" style="11" bestFit="1" customWidth="1"/>
    <col min="11535" max="11535" width="9" style="11" customWidth="1"/>
    <col min="11536" max="11536" width="21.140625" style="11" bestFit="1" customWidth="1"/>
    <col min="11537" max="11779" width="8.7109375" style="11"/>
    <col min="11780" max="11780" width="20.140625" style="11" customWidth="1"/>
    <col min="11781" max="11781" width="16.140625" style="11" customWidth="1"/>
    <col min="11782" max="11782" width="12" style="11" customWidth="1"/>
    <col min="11783" max="11783" width="8.85546875" style="11" customWidth="1"/>
    <col min="11784" max="11784" width="9.42578125" style="11" customWidth="1"/>
    <col min="11785" max="11785" width="11.5703125" style="11" customWidth="1"/>
    <col min="11786" max="11786" width="12" style="11" bestFit="1" customWidth="1"/>
    <col min="11787" max="11787" width="12.140625" style="11" customWidth="1"/>
    <col min="11788" max="11788" width="20.140625" style="11" bestFit="1" customWidth="1"/>
    <col min="11789" max="11789" width="10.5703125" style="11" bestFit="1" customWidth="1"/>
    <col min="11790" max="11790" width="16.140625" style="11" bestFit="1" customWidth="1"/>
    <col min="11791" max="11791" width="9" style="11" customWidth="1"/>
    <col min="11792" max="11792" width="21.140625" style="11" bestFit="1" customWidth="1"/>
    <col min="11793" max="12035" width="8.7109375" style="11"/>
    <col min="12036" max="12036" width="20.140625" style="11" customWidth="1"/>
    <col min="12037" max="12037" width="16.140625" style="11" customWidth="1"/>
    <col min="12038" max="12038" width="12" style="11" customWidth="1"/>
    <col min="12039" max="12039" width="8.85546875" style="11" customWidth="1"/>
    <col min="12040" max="12040" width="9.42578125" style="11" customWidth="1"/>
    <col min="12041" max="12041" width="11.5703125" style="11" customWidth="1"/>
    <col min="12042" max="12042" width="12" style="11" bestFit="1" customWidth="1"/>
    <col min="12043" max="12043" width="12.140625" style="11" customWidth="1"/>
    <col min="12044" max="12044" width="20.140625" style="11" bestFit="1" customWidth="1"/>
    <col min="12045" max="12045" width="10.5703125" style="11" bestFit="1" customWidth="1"/>
    <col min="12046" max="12046" width="16.140625" style="11" bestFit="1" customWidth="1"/>
    <col min="12047" max="12047" width="9" style="11" customWidth="1"/>
    <col min="12048" max="12048" width="21.140625" style="11" bestFit="1" customWidth="1"/>
    <col min="12049" max="12291" width="8.7109375" style="11"/>
    <col min="12292" max="12292" width="20.140625" style="11" customWidth="1"/>
    <col min="12293" max="12293" width="16.140625" style="11" customWidth="1"/>
    <col min="12294" max="12294" width="12" style="11" customWidth="1"/>
    <col min="12295" max="12295" width="8.85546875" style="11" customWidth="1"/>
    <col min="12296" max="12296" width="9.42578125" style="11" customWidth="1"/>
    <col min="12297" max="12297" width="11.5703125" style="11" customWidth="1"/>
    <col min="12298" max="12298" width="12" style="11" bestFit="1" customWidth="1"/>
    <col min="12299" max="12299" width="12.140625" style="11" customWidth="1"/>
    <col min="12300" max="12300" width="20.140625" style="11" bestFit="1" customWidth="1"/>
    <col min="12301" max="12301" width="10.5703125" style="11" bestFit="1" customWidth="1"/>
    <col min="12302" max="12302" width="16.140625" style="11" bestFit="1" customWidth="1"/>
    <col min="12303" max="12303" width="9" style="11" customWidth="1"/>
    <col min="12304" max="12304" width="21.140625" style="11" bestFit="1" customWidth="1"/>
    <col min="12305" max="12547" width="8.7109375" style="11"/>
    <col min="12548" max="12548" width="20.140625" style="11" customWidth="1"/>
    <col min="12549" max="12549" width="16.140625" style="11" customWidth="1"/>
    <col min="12550" max="12550" width="12" style="11" customWidth="1"/>
    <col min="12551" max="12551" width="8.85546875" style="11" customWidth="1"/>
    <col min="12552" max="12552" width="9.42578125" style="11" customWidth="1"/>
    <col min="12553" max="12553" width="11.5703125" style="11" customWidth="1"/>
    <col min="12554" max="12554" width="12" style="11" bestFit="1" customWidth="1"/>
    <col min="12555" max="12555" width="12.140625" style="11" customWidth="1"/>
    <col min="12556" max="12556" width="20.140625" style="11" bestFit="1" customWidth="1"/>
    <col min="12557" max="12557" width="10.5703125" style="11" bestFit="1" customWidth="1"/>
    <col min="12558" max="12558" width="16.140625" style="11" bestFit="1" customWidth="1"/>
    <col min="12559" max="12559" width="9" style="11" customWidth="1"/>
    <col min="12560" max="12560" width="21.140625" style="11" bestFit="1" customWidth="1"/>
    <col min="12561" max="12803" width="8.7109375" style="11"/>
    <col min="12804" max="12804" width="20.140625" style="11" customWidth="1"/>
    <col min="12805" max="12805" width="16.140625" style="11" customWidth="1"/>
    <col min="12806" max="12806" width="12" style="11" customWidth="1"/>
    <col min="12807" max="12807" width="8.85546875" style="11" customWidth="1"/>
    <col min="12808" max="12808" width="9.42578125" style="11" customWidth="1"/>
    <col min="12809" max="12809" width="11.5703125" style="11" customWidth="1"/>
    <col min="12810" max="12810" width="12" style="11" bestFit="1" customWidth="1"/>
    <col min="12811" max="12811" width="12.140625" style="11" customWidth="1"/>
    <col min="12812" max="12812" width="20.140625" style="11" bestFit="1" customWidth="1"/>
    <col min="12813" max="12813" width="10.5703125" style="11" bestFit="1" customWidth="1"/>
    <col min="12814" max="12814" width="16.140625" style="11" bestFit="1" customWidth="1"/>
    <col min="12815" max="12815" width="9" style="11" customWidth="1"/>
    <col min="12816" max="12816" width="21.140625" style="11" bestFit="1" customWidth="1"/>
    <col min="12817" max="13059" width="8.7109375" style="11"/>
    <col min="13060" max="13060" width="20.140625" style="11" customWidth="1"/>
    <col min="13061" max="13061" width="16.140625" style="11" customWidth="1"/>
    <col min="13062" max="13062" width="12" style="11" customWidth="1"/>
    <col min="13063" max="13063" width="8.85546875" style="11" customWidth="1"/>
    <col min="13064" max="13064" width="9.42578125" style="11" customWidth="1"/>
    <col min="13065" max="13065" width="11.5703125" style="11" customWidth="1"/>
    <col min="13066" max="13066" width="12" style="11" bestFit="1" customWidth="1"/>
    <col min="13067" max="13067" width="12.140625" style="11" customWidth="1"/>
    <col min="13068" max="13068" width="20.140625" style="11" bestFit="1" customWidth="1"/>
    <col min="13069" max="13069" width="10.5703125" style="11" bestFit="1" customWidth="1"/>
    <col min="13070" max="13070" width="16.140625" style="11" bestFit="1" customWidth="1"/>
    <col min="13071" max="13071" width="9" style="11" customWidth="1"/>
    <col min="13072" max="13072" width="21.140625" style="11" bestFit="1" customWidth="1"/>
    <col min="13073" max="13315" width="8.7109375" style="11"/>
    <col min="13316" max="13316" width="20.140625" style="11" customWidth="1"/>
    <col min="13317" max="13317" width="16.140625" style="11" customWidth="1"/>
    <col min="13318" max="13318" width="12" style="11" customWidth="1"/>
    <col min="13319" max="13319" width="8.85546875" style="11" customWidth="1"/>
    <col min="13320" max="13320" width="9.42578125" style="11" customWidth="1"/>
    <col min="13321" max="13321" width="11.5703125" style="11" customWidth="1"/>
    <col min="13322" max="13322" width="12" style="11" bestFit="1" customWidth="1"/>
    <col min="13323" max="13323" width="12.140625" style="11" customWidth="1"/>
    <col min="13324" max="13324" width="20.140625" style="11" bestFit="1" customWidth="1"/>
    <col min="13325" max="13325" width="10.5703125" style="11" bestFit="1" customWidth="1"/>
    <col min="13326" max="13326" width="16.140625" style="11" bestFit="1" customWidth="1"/>
    <col min="13327" max="13327" width="9" style="11" customWidth="1"/>
    <col min="13328" max="13328" width="21.140625" style="11" bestFit="1" customWidth="1"/>
    <col min="13329" max="13571" width="8.7109375" style="11"/>
    <col min="13572" max="13572" width="20.140625" style="11" customWidth="1"/>
    <col min="13573" max="13573" width="16.140625" style="11" customWidth="1"/>
    <col min="13574" max="13574" width="12" style="11" customWidth="1"/>
    <col min="13575" max="13575" width="8.85546875" style="11" customWidth="1"/>
    <col min="13576" max="13576" width="9.42578125" style="11" customWidth="1"/>
    <col min="13577" max="13577" width="11.5703125" style="11" customWidth="1"/>
    <col min="13578" max="13578" width="12" style="11" bestFit="1" customWidth="1"/>
    <col min="13579" max="13579" width="12.140625" style="11" customWidth="1"/>
    <col min="13580" max="13580" width="20.140625" style="11" bestFit="1" customWidth="1"/>
    <col min="13581" max="13581" width="10.5703125" style="11" bestFit="1" customWidth="1"/>
    <col min="13582" max="13582" width="16.140625" style="11" bestFit="1" customWidth="1"/>
    <col min="13583" max="13583" width="9" style="11" customWidth="1"/>
    <col min="13584" max="13584" width="21.140625" style="11" bestFit="1" customWidth="1"/>
    <col min="13585" max="13827" width="8.7109375" style="11"/>
    <col min="13828" max="13828" width="20.140625" style="11" customWidth="1"/>
    <col min="13829" max="13829" width="16.140625" style="11" customWidth="1"/>
    <col min="13830" max="13830" width="12" style="11" customWidth="1"/>
    <col min="13831" max="13831" width="8.85546875" style="11" customWidth="1"/>
    <col min="13832" max="13832" width="9.42578125" style="11" customWidth="1"/>
    <col min="13833" max="13833" width="11.5703125" style="11" customWidth="1"/>
    <col min="13834" max="13834" width="12" style="11" bestFit="1" customWidth="1"/>
    <col min="13835" max="13835" width="12.140625" style="11" customWidth="1"/>
    <col min="13836" max="13836" width="20.140625" style="11" bestFit="1" customWidth="1"/>
    <col min="13837" max="13837" width="10.5703125" style="11" bestFit="1" customWidth="1"/>
    <col min="13838" max="13838" width="16.140625" style="11" bestFit="1" customWidth="1"/>
    <col min="13839" max="13839" width="9" style="11" customWidth="1"/>
    <col min="13840" max="13840" width="21.140625" style="11" bestFit="1" customWidth="1"/>
    <col min="13841" max="14083" width="8.7109375" style="11"/>
    <col min="14084" max="14084" width="20.140625" style="11" customWidth="1"/>
    <col min="14085" max="14085" width="16.140625" style="11" customWidth="1"/>
    <col min="14086" max="14086" width="12" style="11" customWidth="1"/>
    <col min="14087" max="14087" width="8.85546875" style="11" customWidth="1"/>
    <col min="14088" max="14088" width="9.42578125" style="11" customWidth="1"/>
    <col min="14089" max="14089" width="11.5703125" style="11" customWidth="1"/>
    <col min="14090" max="14090" width="12" style="11" bestFit="1" customWidth="1"/>
    <col min="14091" max="14091" width="12.140625" style="11" customWidth="1"/>
    <col min="14092" max="14092" width="20.140625" style="11" bestFit="1" customWidth="1"/>
    <col min="14093" max="14093" width="10.5703125" style="11" bestFit="1" customWidth="1"/>
    <col min="14094" max="14094" width="16.140625" style="11" bestFit="1" customWidth="1"/>
    <col min="14095" max="14095" width="9" style="11" customWidth="1"/>
    <col min="14096" max="14096" width="21.140625" style="11" bestFit="1" customWidth="1"/>
    <col min="14097" max="14339" width="8.7109375" style="11"/>
    <col min="14340" max="14340" width="20.140625" style="11" customWidth="1"/>
    <col min="14341" max="14341" width="16.140625" style="11" customWidth="1"/>
    <col min="14342" max="14342" width="12" style="11" customWidth="1"/>
    <col min="14343" max="14343" width="8.85546875" style="11" customWidth="1"/>
    <col min="14344" max="14344" width="9.42578125" style="11" customWidth="1"/>
    <col min="14345" max="14345" width="11.5703125" style="11" customWidth="1"/>
    <col min="14346" max="14346" width="12" style="11" bestFit="1" customWidth="1"/>
    <col min="14347" max="14347" width="12.140625" style="11" customWidth="1"/>
    <col min="14348" max="14348" width="20.140625" style="11" bestFit="1" customWidth="1"/>
    <col min="14349" max="14349" width="10.5703125" style="11" bestFit="1" customWidth="1"/>
    <col min="14350" max="14350" width="16.140625" style="11" bestFit="1" customWidth="1"/>
    <col min="14351" max="14351" width="9" style="11" customWidth="1"/>
    <col min="14352" max="14352" width="21.140625" style="11" bestFit="1" customWidth="1"/>
    <col min="14353" max="14595" width="8.7109375" style="11"/>
    <col min="14596" max="14596" width="20.140625" style="11" customWidth="1"/>
    <col min="14597" max="14597" width="16.140625" style="11" customWidth="1"/>
    <col min="14598" max="14598" width="12" style="11" customWidth="1"/>
    <col min="14599" max="14599" width="8.85546875" style="11" customWidth="1"/>
    <col min="14600" max="14600" width="9.42578125" style="11" customWidth="1"/>
    <col min="14601" max="14601" width="11.5703125" style="11" customWidth="1"/>
    <col min="14602" max="14602" width="12" style="11" bestFit="1" customWidth="1"/>
    <col min="14603" max="14603" width="12.140625" style="11" customWidth="1"/>
    <col min="14604" max="14604" width="20.140625" style="11" bestFit="1" customWidth="1"/>
    <col min="14605" max="14605" width="10.5703125" style="11" bestFit="1" customWidth="1"/>
    <col min="14606" max="14606" width="16.140625" style="11" bestFit="1" customWidth="1"/>
    <col min="14607" max="14607" width="9" style="11" customWidth="1"/>
    <col min="14608" max="14608" width="21.140625" style="11" bestFit="1" customWidth="1"/>
    <col min="14609" max="14851" width="8.7109375" style="11"/>
    <col min="14852" max="14852" width="20.140625" style="11" customWidth="1"/>
    <col min="14853" max="14853" width="16.140625" style="11" customWidth="1"/>
    <col min="14854" max="14854" width="12" style="11" customWidth="1"/>
    <col min="14855" max="14855" width="8.85546875" style="11" customWidth="1"/>
    <col min="14856" max="14856" width="9.42578125" style="11" customWidth="1"/>
    <col min="14857" max="14857" width="11.5703125" style="11" customWidth="1"/>
    <col min="14858" max="14858" width="12" style="11" bestFit="1" customWidth="1"/>
    <col min="14859" max="14859" width="12.140625" style="11" customWidth="1"/>
    <col min="14860" max="14860" width="20.140625" style="11" bestFit="1" customWidth="1"/>
    <col min="14861" max="14861" width="10.5703125" style="11" bestFit="1" customWidth="1"/>
    <col min="14862" max="14862" width="16.140625" style="11" bestFit="1" customWidth="1"/>
    <col min="14863" max="14863" width="9" style="11" customWidth="1"/>
    <col min="14864" max="14864" width="21.140625" style="11" bestFit="1" customWidth="1"/>
    <col min="14865" max="15107" width="8.7109375" style="11"/>
    <col min="15108" max="15108" width="20.140625" style="11" customWidth="1"/>
    <col min="15109" max="15109" width="16.140625" style="11" customWidth="1"/>
    <col min="15110" max="15110" width="12" style="11" customWidth="1"/>
    <col min="15111" max="15111" width="8.85546875" style="11" customWidth="1"/>
    <col min="15112" max="15112" width="9.42578125" style="11" customWidth="1"/>
    <col min="15113" max="15113" width="11.5703125" style="11" customWidth="1"/>
    <col min="15114" max="15114" width="12" style="11" bestFit="1" customWidth="1"/>
    <col min="15115" max="15115" width="12.140625" style="11" customWidth="1"/>
    <col min="15116" max="15116" width="20.140625" style="11" bestFit="1" customWidth="1"/>
    <col min="15117" max="15117" width="10.5703125" style="11" bestFit="1" customWidth="1"/>
    <col min="15118" max="15118" width="16.140625" style="11" bestFit="1" customWidth="1"/>
    <col min="15119" max="15119" width="9" style="11" customWidth="1"/>
    <col min="15120" max="15120" width="21.140625" style="11" bestFit="1" customWidth="1"/>
    <col min="15121" max="15363" width="8.7109375" style="11"/>
    <col min="15364" max="15364" width="20.140625" style="11" customWidth="1"/>
    <col min="15365" max="15365" width="16.140625" style="11" customWidth="1"/>
    <col min="15366" max="15366" width="12" style="11" customWidth="1"/>
    <col min="15367" max="15367" width="8.85546875" style="11" customWidth="1"/>
    <col min="15368" max="15368" width="9.42578125" style="11" customWidth="1"/>
    <col min="15369" max="15369" width="11.5703125" style="11" customWidth="1"/>
    <col min="15370" max="15370" width="12" style="11" bestFit="1" customWidth="1"/>
    <col min="15371" max="15371" width="12.140625" style="11" customWidth="1"/>
    <col min="15372" max="15372" width="20.140625" style="11" bestFit="1" customWidth="1"/>
    <col min="15373" max="15373" width="10.5703125" style="11" bestFit="1" customWidth="1"/>
    <col min="15374" max="15374" width="16.140625" style="11" bestFit="1" customWidth="1"/>
    <col min="15375" max="15375" width="9" style="11" customWidth="1"/>
    <col min="15376" max="15376" width="21.140625" style="11" bestFit="1" customWidth="1"/>
    <col min="15377" max="15619" width="8.7109375" style="11"/>
    <col min="15620" max="15620" width="20.140625" style="11" customWidth="1"/>
    <col min="15621" max="15621" width="16.140625" style="11" customWidth="1"/>
    <col min="15622" max="15622" width="12" style="11" customWidth="1"/>
    <col min="15623" max="15623" width="8.85546875" style="11" customWidth="1"/>
    <col min="15624" max="15624" width="9.42578125" style="11" customWidth="1"/>
    <col min="15625" max="15625" width="11.5703125" style="11" customWidth="1"/>
    <col min="15626" max="15626" width="12" style="11" bestFit="1" customWidth="1"/>
    <col min="15627" max="15627" width="12.140625" style="11" customWidth="1"/>
    <col min="15628" max="15628" width="20.140625" style="11" bestFit="1" customWidth="1"/>
    <col min="15629" max="15629" width="10.5703125" style="11" bestFit="1" customWidth="1"/>
    <col min="15630" max="15630" width="16.140625" style="11" bestFit="1" customWidth="1"/>
    <col min="15631" max="15631" width="9" style="11" customWidth="1"/>
    <col min="15632" max="15632" width="21.140625" style="11" bestFit="1" customWidth="1"/>
    <col min="15633" max="15875" width="8.7109375" style="11"/>
    <col min="15876" max="15876" width="20.140625" style="11" customWidth="1"/>
    <col min="15877" max="15877" width="16.140625" style="11" customWidth="1"/>
    <col min="15878" max="15878" width="12" style="11" customWidth="1"/>
    <col min="15879" max="15879" width="8.85546875" style="11" customWidth="1"/>
    <col min="15880" max="15880" width="9.42578125" style="11" customWidth="1"/>
    <col min="15881" max="15881" width="11.5703125" style="11" customWidth="1"/>
    <col min="15882" max="15882" width="12" style="11" bestFit="1" customWidth="1"/>
    <col min="15883" max="15883" width="12.140625" style="11" customWidth="1"/>
    <col min="15884" max="15884" width="20.140625" style="11" bestFit="1" customWidth="1"/>
    <col min="15885" max="15885" width="10.5703125" style="11" bestFit="1" customWidth="1"/>
    <col min="15886" max="15886" width="16.140625" style="11" bestFit="1" customWidth="1"/>
    <col min="15887" max="15887" width="9" style="11" customWidth="1"/>
    <col min="15888" max="15888" width="21.140625" style="11" bestFit="1" customWidth="1"/>
    <col min="15889" max="16131" width="8.7109375" style="11"/>
    <col min="16132" max="16132" width="20.140625" style="11" customWidth="1"/>
    <col min="16133" max="16133" width="16.140625" style="11" customWidth="1"/>
    <col min="16134" max="16134" width="12" style="11" customWidth="1"/>
    <col min="16135" max="16135" width="8.85546875" style="11" customWidth="1"/>
    <col min="16136" max="16136" width="9.42578125" style="11" customWidth="1"/>
    <col min="16137" max="16137" width="11.5703125" style="11" customWidth="1"/>
    <col min="16138" max="16138" width="12" style="11" bestFit="1" customWidth="1"/>
    <col min="16139" max="16139" width="12.140625" style="11" customWidth="1"/>
    <col min="16140" max="16140" width="20.140625" style="11" bestFit="1" customWidth="1"/>
    <col min="16141" max="16141" width="10.5703125" style="11" bestFit="1" customWidth="1"/>
    <col min="16142" max="16142" width="16.140625" style="11" bestFit="1" customWidth="1"/>
    <col min="16143" max="16143" width="9" style="11" customWidth="1"/>
    <col min="16144" max="16144" width="21.140625" style="11" bestFit="1" customWidth="1"/>
    <col min="16145" max="16384" width="8.7109375" style="11"/>
  </cols>
  <sheetData>
    <row r="1" spans="1:26" ht="20.25" thickBot="1">
      <c r="A1" s="20" t="s">
        <v>93</v>
      </c>
      <c r="J1" s="89" t="s">
        <v>455</v>
      </c>
      <c r="M1" s="33"/>
      <c r="P1" s="89" t="s">
        <v>449</v>
      </c>
    </row>
    <row r="2" spans="1:26" ht="15.75" thickTop="1">
      <c r="M2" s="33"/>
    </row>
    <row r="3" spans="1:26">
      <c r="A3" s="20" t="s">
        <v>94</v>
      </c>
      <c r="P3" s="20"/>
      <c r="Q3" s="23" t="s">
        <v>98</v>
      </c>
      <c r="R3" s="11">
        <v>1</v>
      </c>
      <c r="S3" s="11">
        <v>1</v>
      </c>
      <c r="T3" s="11">
        <v>2</v>
      </c>
      <c r="U3" s="11">
        <v>2</v>
      </c>
      <c r="V3" s="11">
        <v>3</v>
      </c>
      <c r="W3" s="11">
        <v>3</v>
      </c>
    </row>
    <row r="4" spans="1:26">
      <c r="B4" s="13"/>
      <c r="N4" s="20"/>
      <c r="Q4" s="23" t="s">
        <v>99</v>
      </c>
      <c r="R4" s="11">
        <v>3</v>
      </c>
      <c r="S4" s="11">
        <v>4</v>
      </c>
      <c r="T4" s="11">
        <v>3</v>
      </c>
      <c r="U4" s="11">
        <v>5</v>
      </c>
      <c r="V4" s="11">
        <v>4</v>
      </c>
      <c r="W4" s="11">
        <v>5</v>
      </c>
    </row>
    <row r="5" spans="1:26">
      <c r="N5" s="20"/>
      <c r="Q5" s="23" t="s">
        <v>101</v>
      </c>
      <c r="R5" s="46">
        <v>50</v>
      </c>
      <c r="S5" s="46">
        <v>30</v>
      </c>
      <c r="T5" s="46">
        <v>30</v>
      </c>
      <c r="U5" s="46">
        <v>40</v>
      </c>
      <c r="V5" s="46">
        <v>30</v>
      </c>
      <c r="W5" s="46">
        <v>50</v>
      </c>
    </row>
    <row r="6" spans="1:26">
      <c r="A6" s="20" t="s">
        <v>96</v>
      </c>
      <c r="I6" s="20" t="s">
        <v>97</v>
      </c>
      <c r="J6" s="20"/>
      <c r="K6" s="20"/>
      <c r="Q6" s="23" t="s">
        <v>100</v>
      </c>
      <c r="R6" s="13">
        <v>300</v>
      </c>
      <c r="S6" s="13">
        <v>700</v>
      </c>
      <c r="T6" s="13">
        <v>500</v>
      </c>
      <c r="U6" s="13">
        <v>1000</v>
      </c>
      <c r="V6" s="13">
        <v>200</v>
      </c>
      <c r="W6" s="13">
        <v>400</v>
      </c>
    </row>
    <row r="7" spans="1:26">
      <c r="A7" s="23" t="s">
        <v>98</v>
      </c>
      <c r="B7" s="23" t="s">
        <v>99</v>
      </c>
      <c r="C7" s="23" t="s">
        <v>100</v>
      </c>
      <c r="D7" s="23" t="s">
        <v>101</v>
      </c>
      <c r="E7" s="23"/>
      <c r="G7" s="23" t="s">
        <v>102</v>
      </c>
      <c r="I7" s="11" t="s">
        <v>103</v>
      </c>
      <c r="Q7" s="11" t="s">
        <v>450</v>
      </c>
      <c r="R7" s="11">
        <v>1</v>
      </c>
      <c r="S7" s="11">
        <v>1</v>
      </c>
      <c r="T7" s="11">
        <v>0</v>
      </c>
      <c r="U7" s="11">
        <v>0</v>
      </c>
      <c r="V7" s="11">
        <v>0</v>
      </c>
      <c r="W7" s="11">
        <v>0</v>
      </c>
      <c r="X7" s="11">
        <f>SUMPRODUCT($R$5:$W$5,R7:W7)</f>
        <v>80</v>
      </c>
      <c r="Y7" s="36" t="s">
        <v>354</v>
      </c>
      <c r="Z7" s="13">
        <v>80</v>
      </c>
    </row>
    <row r="8" spans="1:26">
      <c r="A8" s="11">
        <v>1</v>
      </c>
      <c r="B8" s="11">
        <v>3</v>
      </c>
      <c r="C8" s="13">
        <v>300</v>
      </c>
      <c r="D8" s="46">
        <v>50</v>
      </c>
      <c r="E8" s="28" t="s">
        <v>278</v>
      </c>
      <c r="F8" s="36">
        <v>50</v>
      </c>
      <c r="I8" s="23" t="s">
        <v>104</v>
      </c>
      <c r="J8" s="11" t="s">
        <v>231</v>
      </c>
      <c r="K8" s="11" t="s">
        <v>232</v>
      </c>
      <c r="L8" s="23" t="s">
        <v>445</v>
      </c>
      <c r="M8" s="23"/>
      <c r="N8" s="23" t="s">
        <v>446</v>
      </c>
      <c r="Q8" s="11" t="s">
        <v>451</v>
      </c>
      <c r="R8" s="11">
        <v>0</v>
      </c>
      <c r="S8" s="11">
        <v>0</v>
      </c>
      <c r="T8" s="11">
        <v>1</v>
      </c>
      <c r="U8" s="11">
        <v>1</v>
      </c>
      <c r="V8" s="11">
        <v>0</v>
      </c>
      <c r="W8" s="11">
        <v>0</v>
      </c>
      <c r="X8" s="11">
        <f t="shared" ref="X8:X10" si="0">SUMPRODUCT($R$5:$W$5,R8:W8)</f>
        <v>70</v>
      </c>
      <c r="Y8" s="36" t="s">
        <v>354</v>
      </c>
      <c r="Z8" s="13">
        <v>70</v>
      </c>
    </row>
    <row r="9" spans="1:26">
      <c r="A9" s="11">
        <v>1</v>
      </c>
      <c r="B9" s="11">
        <v>4</v>
      </c>
      <c r="C9" s="13">
        <v>700</v>
      </c>
      <c r="D9" s="46">
        <v>30</v>
      </c>
      <c r="E9" s="28" t="s">
        <v>278</v>
      </c>
      <c r="F9" s="29">
        <f>1E+99</f>
        <v>9.9999999999999997E+98</v>
      </c>
      <c r="I9" s="11">
        <v>1</v>
      </c>
      <c r="J9" s="11">
        <f>SUMIF($A$8:$A$13, I9,$D$8:$D$13)</f>
        <v>80</v>
      </c>
      <c r="K9" s="11">
        <f>SUMIF($B$8:$B$13, I9,$D$8:$D$13)</f>
        <v>0</v>
      </c>
      <c r="L9" s="11">
        <f>J9-K9</f>
        <v>80</v>
      </c>
      <c r="M9" s="36" t="s">
        <v>354</v>
      </c>
      <c r="N9" s="13">
        <v>80</v>
      </c>
      <c r="Q9" s="11" t="s">
        <v>452</v>
      </c>
      <c r="R9" s="11">
        <v>-1</v>
      </c>
      <c r="S9" s="11">
        <v>0</v>
      </c>
      <c r="T9" s="11">
        <v>-1</v>
      </c>
      <c r="U9" s="11">
        <v>0</v>
      </c>
      <c r="V9" s="11">
        <v>1</v>
      </c>
      <c r="W9" s="11">
        <v>1</v>
      </c>
      <c r="X9" s="11">
        <f t="shared" si="0"/>
        <v>0</v>
      </c>
      <c r="Y9" s="36" t="s">
        <v>354</v>
      </c>
      <c r="Z9" s="13">
        <v>0</v>
      </c>
    </row>
    <row r="10" spans="1:26">
      <c r="A10" s="11">
        <v>2</v>
      </c>
      <c r="B10" s="11">
        <v>3</v>
      </c>
      <c r="C10" s="13">
        <v>500</v>
      </c>
      <c r="D10" s="46">
        <v>30</v>
      </c>
      <c r="E10" s="28" t="s">
        <v>278</v>
      </c>
      <c r="F10" s="29">
        <v>50</v>
      </c>
      <c r="I10" s="11">
        <v>2</v>
      </c>
      <c r="J10" s="11">
        <f t="shared" ref="J10:J13" si="1">SUMIF($A$8:$A$13, I10,$D$8:$D$13)</f>
        <v>70</v>
      </c>
      <c r="K10" s="11">
        <f>SUMIF($B$8:$B$13, I10,$D$8:$D$13)</f>
        <v>0</v>
      </c>
      <c r="L10" s="11">
        <f t="shared" ref="L10:L13" si="2">J10-K10</f>
        <v>70</v>
      </c>
      <c r="M10" s="36" t="s">
        <v>354</v>
      </c>
      <c r="N10" s="13">
        <v>70</v>
      </c>
      <c r="Q10" s="11" t="s">
        <v>453</v>
      </c>
      <c r="R10" s="11">
        <v>0</v>
      </c>
      <c r="S10" s="11">
        <v>-1</v>
      </c>
      <c r="T10" s="11">
        <v>0</v>
      </c>
      <c r="U10" s="11">
        <v>0</v>
      </c>
      <c r="V10" s="11">
        <v>-1</v>
      </c>
      <c r="W10" s="11">
        <v>0</v>
      </c>
      <c r="X10" s="11">
        <f t="shared" si="0"/>
        <v>-60</v>
      </c>
      <c r="Y10" s="36" t="s">
        <v>354</v>
      </c>
      <c r="Z10" s="13">
        <v>-60</v>
      </c>
    </row>
    <row r="11" spans="1:26">
      <c r="A11" s="11">
        <v>2</v>
      </c>
      <c r="B11" s="11">
        <v>5</v>
      </c>
      <c r="C11" s="13">
        <v>1000</v>
      </c>
      <c r="D11" s="46">
        <v>40</v>
      </c>
      <c r="E11" s="28" t="s">
        <v>278</v>
      </c>
      <c r="F11" s="29">
        <f>1E+99</f>
        <v>9.9999999999999997E+98</v>
      </c>
      <c r="I11" s="11">
        <v>3</v>
      </c>
      <c r="J11" s="11">
        <f t="shared" si="1"/>
        <v>80</v>
      </c>
      <c r="K11" s="11">
        <f>SUMIF($B$8:$B$13, I11,$D$8:$D$13)</f>
        <v>80</v>
      </c>
      <c r="L11" s="11">
        <f t="shared" si="2"/>
        <v>0</v>
      </c>
      <c r="M11" s="36" t="s">
        <v>354</v>
      </c>
      <c r="N11" s="13">
        <v>0</v>
      </c>
      <c r="Q11" s="11" t="s">
        <v>454</v>
      </c>
      <c r="R11" s="11">
        <v>0</v>
      </c>
      <c r="S11" s="11">
        <v>0</v>
      </c>
      <c r="T11" s="11">
        <v>0</v>
      </c>
      <c r="U11" s="11">
        <v>-1</v>
      </c>
      <c r="V11" s="11">
        <v>0</v>
      </c>
      <c r="W11" s="11">
        <v>-1</v>
      </c>
      <c r="X11" s="11">
        <f>SUMPRODUCT($R$5:$W$5,R11:W11)</f>
        <v>-90</v>
      </c>
      <c r="Y11" s="36" t="s">
        <v>354</v>
      </c>
      <c r="Z11" s="13">
        <v>-90</v>
      </c>
    </row>
    <row r="12" spans="1:26">
      <c r="A12" s="11">
        <v>3</v>
      </c>
      <c r="B12" s="11">
        <v>4</v>
      </c>
      <c r="C12" s="13">
        <v>200</v>
      </c>
      <c r="D12" s="46">
        <v>30</v>
      </c>
      <c r="E12" s="28" t="s">
        <v>278</v>
      </c>
      <c r="F12" s="29">
        <v>50</v>
      </c>
      <c r="I12" s="11">
        <v>4</v>
      </c>
      <c r="J12" s="11">
        <f t="shared" si="1"/>
        <v>0</v>
      </c>
      <c r="K12" s="11">
        <f>SUMIF($B$8:$B$13, I12,$D$8:$D$13)</f>
        <v>60</v>
      </c>
      <c r="L12" s="11">
        <f>J12-K12</f>
        <v>-60</v>
      </c>
      <c r="M12" s="36" t="s">
        <v>354</v>
      </c>
      <c r="N12" s="13">
        <v>-60</v>
      </c>
    </row>
    <row r="13" spans="1:26">
      <c r="A13" s="11">
        <v>3</v>
      </c>
      <c r="B13" s="11">
        <v>5</v>
      </c>
      <c r="C13" s="13">
        <v>400</v>
      </c>
      <c r="D13" s="46">
        <v>50</v>
      </c>
      <c r="E13" s="28" t="s">
        <v>278</v>
      </c>
      <c r="F13" s="29">
        <v>50</v>
      </c>
      <c r="I13" s="11">
        <v>5</v>
      </c>
      <c r="J13" s="11">
        <f t="shared" si="1"/>
        <v>0</v>
      </c>
      <c r="K13" s="11">
        <f t="shared" ref="K13" si="3">SUMIF($B$8:$B$13, I13,$D$8:$D$13)</f>
        <v>90</v>
      </c>
      <c r="L13" s="11">
        <f t="shared" si="2"/>
        <v>-90</v>
      </c>
      <c r="M13" s="36" t="s">
        <v>354</v>
      </c>
      <c r="N13" s="13">
        <v>-90</v>
      </c>
      <c r="Q13" s="11" t="s">
        <v>456</v>
      </c>
      <c r="R13" s="104">
        <f>SUMPRODUCT(R5:W5,R6:W6)</f>
        <v>117000</v>
      </c>
    </row>
    <row r="14" spans="1:26">
      <c r="D14" s="28"/>
      <c r="E14" s="28"/>
      <c r="F14" s="29"/>
      <c r="I14" s="23"/>
      <c r="L14" s="23"/>
      <c r="M14" s="23"/>
      <c r="N14" s="23"/>
    </row>
    <row r="15" spans="1:26">
      <c r="D15" s="28"/>
      <c r="E15" s="28"/>
      <c r="F15" s="29"/>
      <c r="L15" s="28"/>
      <c r="M15" s="36"/>
    </row>
    <row r="16" spans="1:26">
      <c r="A16" s="20" t="s">
        <v>91</v>
      </c>
      <c r="D16" s="28"/>
      <c r="E16" s="28"/>
      <c r="F16" s="29"/>
      <c r="L16" s="28"/>
      <c r="M16" s="36"/>
    </row>
    <row r="17" spans="1:14">
      <c r="A17" s="11" t="s">
        <v>92</v>
      </c>
      <c r="B17" s="103">
        <f>SUMPRODUCT(C8:C13,D8:D13)</f>
        <v>117000</v>
      </c>
      <c r="D17" s="28"/>
      <c r="E17" s="28"/>
      <c r="F17" s="29"/>
    </row>
    <row r="18" spans="1:14">
      <c r="D18" s="28"/>
      <c r="E18" s="28"/>
      <c r="F18" s="29"/>
    </row>
    <row r="19" spans="1:14">
      <c r="D19" s="28"/>
      <c r="E19" s="28"/>
      <c r="F19" s="29"/>
      <c r="I19" s="23"/>
      <c r="L19" s="23"/>
      <c r="M19" s="23"/>
      <c r="N19" s="23"/>
    </row>
    <row r="20" spans="1:14">
      <c r="D20" s="28"/>
      <c r="E20" s="28"/>
      <c r="F20" s="29"/>
      <c r="M20" s="36"/>
    </row>
    <row r="21" spans="1:14">
      <c r="D21" s="28"/>
      <c r="E21" s="28"/>
      <c r="F21" s="29"/>
      <c r="M21" s="29"/>
    </row>
    <row r="22" spans="1:14">
      <c r="D22" s="28"/>
      <c r="E22" s="28"/>
      <c r="F22" s="29"/>
    </row>
    <row r="23" spans="1:14">
      <c r="D23" s="28"/>
      <c r="E23" s="28"/>
      <c r="F23" s="29"/>
    </row>
    <row r="24" spans="1:14">
      <c r="D24" s="28"/>
      <c r="E24" s="28"/>
      <c r="F24" s="29"/>
    </row>
    <row r="25" spans="1:14">
      <c r="D25" s="28"/>
      <c r="E25" s="28"/>
      <c r="F25" s="29"/>
    </row>
    <row r="26" spans="1:14">
      <c r="D26" s="28"/>
      <c r="E26" s="28"/>
      <c r="F26" s="29"/>
    </row>
    <row r="27" spans="1:14">
      <c r="D27" s="28"/>
      <c r="E27" s="28"/>
      <c r="F27" s="29"/>
    </row>
    <row r="28" spans="1:14">
      <c r="D28" s="28"/>
      <c r="E28" s="28"/>
      <c r="F28" s="29"/>
    </row>
    <row r="29" spans="1:14">
      <c r="D29" s="28"/>
      <c r="E29" s="28"/>
      <c r="F29" s="29"/>
    </row>
    <row r="30" spans="1:14">
      <c r="D30" s="28"/>
      <c r="E30" s="28"/>
      <c r="F30" s="29"/>
    </row>
    <row r="31" spans="1:14">
      <c r="D31" s="28"/>
      <c r="E31" s="28"/>
      <c r="F31" s="29"/>
    </row>
    <row r="32" spans="1:14">
      <c r="D32" s="28"/>
      <c r="E32" s="28"/>
      <c r="F32" s="29"/>
    </row>
    <row r="33" spans="1:6">
      <c r="D33" s="28"/>
      <c r="E33" s="28"/>
      <c r="F33" s="29"/>
    </row>
    <row r="38" spans="1:6">
      <c r="A38" s="20"/>
    </row>
  </sheetData>
  <phoneticPr fontId="1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8"/>
  <sheetViews>
    <sheetView topLeftCell="A6" zoomScale="80" zoomScaleNormal="80" workbookViewId="0">
      <selection activeCell="M20" sqref="M20"/>
    </sheetView>
  </sheetViews>
  <sheetFormatPr defaultRowHeight="15"/>
  <cols>
    <col min="1" max="1" width="20.140625" style="11" customWidth="1"/>
    <col min="2" max="2" width="16.140625" style="11" customWidth="1"/>
    <col min="3" max="3" width="12" style="11" customWidth="1"/>
    <col min="4" max="4" width="8.85546875" style="11" customWidth="1"/>
    <col min="5" max="5" width="4.5703125" style="11" customWidth="1"/>
    <col min="6" max="6" width="11.5703125" style="11" customWidth="1"/>
    <col min="7" max="7" width="4.42578125" style="11" customWidth="1"/>
    <col min="8" max="10" width="12.140625" style="11" customWidth="1"/>
    <col min="11" max="11" width="19.140625" style="11" customWidth="1"/>
    <col min="12" max="12" width="2.85546875" style="11" customWidth="1"/>
    <col min="13" max="13" width="16.140625" style="11" bestFit="1" customWidth="1"/>
    <col min="14" max="14" width="9" style="11" customWidth="1"/>
    <col min="15" max="15" width="21.140625" style="11" bestFit="1" customWidth="1"/>
    <col min="16" max="258" width="9.140625" style="11"/>
    <col min="259" max="259" width="20.140625" style="11" customWidth="1"/>
    <col min="260" max="260" width="16.140625" style="11" customWidth="1"/>
    <col min="261" max="261" width="12" style="11" customWidth="1"/>
    <col min="262" max="262" width="8.85546875" style="11" customWidth="1"/>
    <col min="263" max="263" width="9.42578125" style="11" customWidth="1"/>
    <col min="264" max="264" width="11.5703125" style="11" customWidth="1"/>
    <col min="265" max="265" width="12" style="11" bestFit="1" customWidth="1"/>
    <col min="266" max="266" width="12.140625" style="11" customWidth="1"/>
    <col min="267" max="267" width="20.140625" style="11" bestFit="1" customWidth="1"/>
    <col min="268" max="268" width="10.5703125" style="11" bestFit="1" customWidth="1"/>
    <col min="269" max="269" width="16.140625" style="11" bestFit="1" customWidth="1"/>
    <col min="270" max="270" width="9" style="11" customWidth="1"/>
    <col min="271" max="271" width="21.140625" style="11" bestFit="1" customWidth="1"/>
    <col min="272" max="514" width="9.140625" style="11"/>
    <col min="515" max="515" width="20.140625" style="11" customWidth="1"/>
    <col min="516" max="516" width="16.140625" style="11" customWidth="1"/>
    <col min="517" max="517" width="12" style="11" customWidth="1"/>
    <col min="518" max="518" width="8.85546875" style="11" customWidth="1"/>
    <col min="519" max="519" width="9.42578125" style="11" customWidth="1"/>
    <col min="520" max="520" width="11.5703125" style="11" customWidth="1"/>
    <col min="521" max="521" width="12" style="11" bestFit="1" customWidth="1"/>
    <col min="522" max="522" width="12.140625" style="11" customWidth="1"/>
    <col min="523" max="523" width="20.140625" style="11" bestFit="1" customWidth="1"/>
    <col min="524" max="524" width="10.5703125" style="11" bestFit="1" customWidth="1"/>
    <col min="525" max="525" width="16.140625" style="11" bestFit="1" customWidth="1"/>
    <col min="526" max="526" width="9" style="11" customWidth="1"/>
    <col min="527" max="527" width="21.140625" style="11" bestFit="1" customWidth="1"/>
    <col min="528" max="770" width="9.140625" style="11"/>
    <col min="771" max="771" width="20.140625" style="11" customWidth="1"/>
    <col min="772" max="772" width="16.140625" style="11" customWidth="1"/>
    <col min="773" max="773" width="12" style="11" customWidth="1"/>
    <col min="774" max="774" width="8.85546875" style="11" customWidth="1"/>
    <col min="775" max="775" width="9.42578125" style="11" customWidth="1"/>
    <col min="776" max="776" width="11.5703125" style="11" customWidth="1"/>
    <col min="777" max="777" width="12" style="11" bestFit="1" customWidth="1"/>
    <col min="778" max="778" width="12.140625" style="11" customWidth="1"/>
    <col min="779" max="779" width="20.140625" style="11" bestFit="1" customWidth="1"/>
    <col min="780" max="780" width="10.5703125" style="11" bestFit="1" customWidth="1"/>
    <col min="781" max="781" width="16.140625" style="11" bestFit="1" customWidth="1"/>
    <col min="782" max="782" width="9" style="11" customWidth="1"/>
    <col min="783" max="783" width="21.140625" style="11" bestFit="1" customWidth="1"/>
    <col min="784" max="1026" width="9.140625" style="11"/>
    <col min="1027" max="1027" width="20.140625" style="11" customWidth="1"/>
    <col min="1028" max="1028" width="16.140625" style="11" customWidth="1"/>
    <col min="1029" max="1029" width="12" style="11" customWidth="1"/>
    <col min="1030" max="1030" width="8.85546875" style="11" customWidth="1"/>
    <col min="1031" max="1031" width="9.42578125" style="11" customWidth="1"/>
    <col min="1032" max="1032" width="11.5703125" style="11" customWidth="1"/>
    <col min="1033" max="1033" width="12" style="11" bestFit="1" customWidth="1"/>
    <col min="1034" max="1034" width="12.140625" style="11" customWidth="1"/>
    <col min="1035" max="1035" width="20.140625" style="11" bestFit="1" customWidth="1"/>
    <col min="1036" max="1036" width="10.5703125" style="11" bestFit="1" customWidth="1"/>
    <col min="1037" max="1037" width="16.140625" style="11" bestFit="1" customWidth="1"/>
    <col min="1038" max="1038" width="9" style="11" customWidth="1"/>
    <col min="1039" max="1039" width="21.140625" style="11" bestFit="1" customWidth="1"/>
    <col min="1040" max="1282" width="9.140625" style="11"/>
    <col min="1283" max="1283" width="20.140625" style="11" customWidth="1"/>
    <col min="1284" max="1284" width="16.140625" style="11" customWidth="1"/>
    <col min="1285" max="1285" width="12" style="11" customWidth="1"/>
    <col min="1286" max="1286" width="8.85546875" style="11" customWidth="1"/>
    <col min="1287" max="1287" width="9.42578125" style="11" customWidth="1"/>
    <col min="1288" max="1288" width="11.5703125" style="11" customWidth="1"/>
    <col min="1289" max="1289" width="12" style="11" bestFit="1" customWidth="1"/>
    <col min="1290" max="1290" width="12.140625" style="11" customWidth="1"/>
    <col min="1291" max="1291" width="20.140625" style="11" bestFit="1" customWidth="1"/>
    <col min="1292" max="1292" width="10.5703125" style="11" bestFit="1" customWidth="1"/>
    <col min="1293" max="1293" width="16.140625" style="11" bestFit="1" customWidth="1"/>
    <col min="1294" max="1294" width="9" style="11" customWidth="1"/>
    <col min="1295" max="1295" width="21.140625" style="11" bestFit="1" customWidth="1"/>
    <col min="1296" max="1538" width="9.140625" style="11"/>
    <col min="1539" max="1539" width="20.140625" style="11" customWidth="1"/>
    <col min="1540" max="1540" width="16.140625" style="11" customWidth="1"/>
    <col min="1541" max="1541" width="12" style="11" customWidth="1"/>
    <col min="1542" max="1542" width="8.85546875" style="11" customWidth="1"/>
    <col min="1543" max="1543" width="9.42578125" style="11" customWidth="1"/>
    <col min="1544" max="1544" width="11.5703125" style="11" customWidth="1"/>
    <col min="1545" max="1545" width="12" style="11" bestFit="1" customWidth="1"/>
    <col min="1546" max="1546" width="12.140625" style="11" customWidth="1"/>
    <col min="1547" max="1547" width="20.140625" style="11" bestFit="1" customWidth="1"/>
    <col min="1548" max="1548" width="10.5703125" style="11" bestFit="1" customWidth="1"/>
    <col min="1549" max="1549" width="16.140625" style="11" bestFit="1" customWidth="1"/>
    <col min="1550" max="1550" width="9" style="11" customWidth="1"/>
    <col min="1551" max="1551" width="21.140625" style="11" bestFit="1" customWidth="1"/>
    <col min="1552" max="1794" width="9.140625" style="11"/>
    <col min="1795" max="1795" width="20.140625" style="11" customWidth="1"/>
    <col min="1796" max="1796" width="16.140625" style="11" customWidth="1"/>
    <col min="1797" max="1797" width="12" style="11" customWidth="1"/>
    <col min="1798" max="1798" width="8.85546875" style="11" customWidth="1"/>
    <col min="1799" max="1799" width="9.42578125" style="11" customWidth="1"/>
    <col min="1800" max="1800" width="11.5703125" style="11" customWidth="1"/>
    <col min="1801" max="1801" width="12" style="11" bestFit="1" customWidth="1"/>
    <col min="1802" max="1802" width="12.140625" style="11" customWidth="1"/>
    <col min="1803" max="1803" width="20.140625" style="11" bestFit="1" customWidth="1"/>
    <col min="1804" max="1804" width="10.5703125" style="11" bestFit="1" customWidth="1"/>
    <col min="1805" max="1805" width="16.140625" style="11" bestFit="1" customWidth="1"/>
    <col min="1806" max="1806" width="9" style="11" customWidth="1"/>
    <col min="1807" max="1807" width="21.140625" style="11" bestFit="1" customWidth="1"/>
    <col min="1808" max="2050" width="9.140625" style="11"/>
    <col min="2051" max="2051" width="20.140625" style="11" customWidth="1"/>
    <col min="2052" max="2052" width="16.140625" style="11" customWidth="1"/>
    <col min="2053" max="2053" width="12" style="11" customWidth="1"/>
    <col min="2054" max="2054" width="8.85546875" style="11" customWidth="1"/>
    <col min="2055" max="2055" width="9.42578125" style="11" customWidth="1"/>
    <col min="2056" max="2056" width="11.5703125" style="11" customWidth="1"/>
    <col min="2057" max="2057" width="12" style="11" bestFit="1" customWidth="1"/>
    <col min="2058" max="2058" width="12.140625" style="11" customWidth="1"/>
    <col min="2059" max="2059" width="20.140625" style="11" bestFit="1" customWidth="1"/>
    <col min="2060" max="2060" width="10.5703125" style="11" bestFit="1" customWidth="1"/>
    <col min="2061" max="2061" width="16.140625" style="11" bestFit="1" customWidth="1"/>
    <col min="2062" max="2062" width="9" style="11" customWidth="1"/>
    <col min="2063" max="2063" width="21.140625" style="11" bestFit="1" customWidth="1"/>
    <col min="2064" max="2306" width="9.140625" style="11"/>
    <col min="2307" max="2307" width="20.140625" style="11" customWidth="1"/>
    <col min="2308" max="2308" width="16.140625" style="11" customWidth="1"/>
    <col min="2309" max="2309" width="12" style="11" customWidth="1"/>
    <col min="2310" max="2310" width="8.85546875" style="11" customWidth="1"/>
    <col min="2311" max="2311" width="9.42578125" style="11" customWidth="1"/>
    <col min="2312" max="2312" width="11.5703125" style="11" customWidth="1"/>
    <col min="2313" max="2313" width="12" style="11" bestFit="1" customWidth="1"/>
    <col min="2314" max="2314" width="12.140625" style="11" customWidth="1"/>
    <col min="2315" max="2315" width="20.140625" style="11" bestFit="1" customWidth="1"/>
    <col min="2316" max="2316" width="10.5703125" style="11" bestFit="1" customWidth="1"/>
    <col min="2317" max="2317" width="16.140625" style="11" bestFit="1" customWidth="1"/>
    <col min="2318" max="2318" width="9" style="11" customWidth="1"/>
    <col min="2319" max="2319" width="21.140625" style="11" bestFit="1" customWidth="1"/>
    <col min="2320" max="2562" width="9.140625" style="11"/>
    <col min="2563" max="2563" width="20.140625" style="11" customWidth="1"/>
    <col min="2564" max="2564" width="16.140625" style="11" customWidth="1"/>
    <col min="2565" max="2565" width="12" style="11" customWidth="1"/>
    <col min="2566" max="2566" width="8.85546875" style="11" customWidth="1"/>
    <col min="2567" max="2567" width="9.42578125" style="11" customWidth="1"/>
    <col min="2568" max="2568" width="11.5703125" style="11" customWidth="1"/>
    <col min="2569" max="2569" width="12" style="11" bestFit="1" customWidth="1"/>
    <col min="2570" max="2570" width="12.140625" style="11" customWidth="1"/>
    <col min="2571" max="2571" width="20.140625" style="11" bestFit="1" customWidth="1"/>
    <col min="2572" max="2572" width="10.5703125" style="11" bestFit="1" customWidth="1"/>
    <col min="2573" max="2573" width="16.140625" style="11" bestFit="1" customWidth="1"/>
    <col min="2574" max="2574" width="9" style="11" customWidth="1"/>
    <col min="2575" max="2575" width="21.140625" style="11" bestFit="1" customWidth="1"/>
    <col min="2576" max="2818" width="9.140625" style="11"/>
    <col min="2819" max="2819" width="20.140625" style="11" customWidth="1"/>
    <col min="2820" max="2820" width="16.140625" style="11" customWidth="1"/>
    <col min="2821" max="2821" width="12" style="11" customWidth="1"/>
    <col min="2822" max="2822" width="8.85546875" style="11" customWidth="1"/>
    <col min="2823" max="2823" width="9.42578125" style="11" customWidth="1"/>
    <col min="2824" max="2824" width="11.5703125" style="11" customWidth="1"/>
    <col min="2825" max="2825" width="12" style="11" bestFit="1" customWidth="1"/>
    <col min="2826" max="2826" width="12.140625" style="11" customWidth="1"/>
    <col min="2827" max="2827" width="20.140625" style="11" bestFit="1" customWidth="1"/>
    <col min="2828" max="2828" width="10.5703125" style="11" bestFit="1" customWidth="1"/>
    <col min="2829" max="2829" width="16.140625" style="11" bestFit="1" customWidth="1"/>
    <col min="2830" max="2830" width="9" style="11" customWidth="1"/>
    <col min="2831" max="2831" width="21.140625" style="11" bestFit="1" customWidth="1"/>
    <col min="2832" max="3074" width="9.140625" style="11"/>
    <col min="3075" max="3075" width="20.140625" style="11" customWidth="1"/>
    <col min="3076" max="3076" width="16.140625" style="11" customWidth="1"/>
    <col min="3077" max="3077" width="12" style="11" customWidth="1"/>
    <col min="3078" max="3078" width="8.85546875" style="11" customWidth="1"/>
    <col min="3079" max="3079" width="9.42578125" style="11" customWidth="1"/>
    <col min="3080" max="3080" width="11.5703125" style="11" customWidth="1"/>
    <col min="3081" max="3081" width="12" style="11" bestFit="1" customWidth="1"/>
    <col min="3082" max="3082" width="12.140625" style="11" customWidth="1"/>
    <col min="3083" max="3083" width="20.140625" style="11" bestFit="1" customWidth="1"/>
    <col min="3084" max="3084" width="10.5703125" style="11" bestFit="1" customWidth="1"/>
    <col min="3085" max="3085" width="16.140625" style="11" bestFit="1" customWidth="1"/>
    <col min="3086" max="3086" width="9" style="11" customWidth="1"/>
    <col min="3087" max="3087" width="21.140625" style="11" bestFit="1" customWidth="1"/>
    <col min="3088" max="3330" width="9.140625" style="11"/>
    <col min="3331" max="3331" width="20.140625" style="11" customWidth="1"/>
    <col min="3332" max="3332" width="16.140625" style="11" customWidth="1"/>
    <col min="3333" max="3333" width="12" style="11" customWidth="1"/>
    <col min="3334" max="3334" width="8.85546875" style="11" customWidth="1"/>
    <col min="3335" max="3335" width="9.42578125" style="11" customWidth="1"/>
    <col min="3336" max="3336" width="11.5703125" style="11" customWidth="1"/>
    <col min="3337" max="3337" width="12" style="11" bestFit="1" customWidth="1"/>
    <col min="3338" max="3338" width="12.140625" style="11" customWidth="1"/>
    <col min="3339" max="3339" width="20.140625" style="11" bestFit="1" customWidth="1"/>
    <col min="3340" max="3340" width="10.5703125" style="11" bestFit="1" customWidth="1"/>
    <col min="3341" max="3341" width="16.140625" style="11" bestFit="1" customWidth="1"/>
    <col min="3342" max="3342" width="9" style="11" customWidth="1"/>
    <col min="3343" max="3343" width="21.140625" style="11" bestFit="1" customWidth="1"/>
    <col min="3344" max="3586" width="9.140625" style="11"/>
    <col min="3587" max="3587" width="20.140625" style="11" customWidth="1"/>
    <col min="3588" max="3588" width="16.140625" style="11" customWidth="1"/>
    <col min="3589" max="3589" width="12" style="11" customWidth="1"/>
    <col min="3590" max="3590" width="8.85546875" style="11" customWidth="1"/>
    <col min="3591" max="3591" width="9.42578125" style="11" customWidth="1"/>
    <col min="3592" max="3592" width="11.5703125" style="11" customWidth="1"/>
    <col min="3593" max="3593" width="12" style="11" bestFit="1" customWidth="1"/>
    <col min="3594" max="3594" width="12.140625" style="11" customWidth="1"/>
    <col min="3595" max="3595" width="20.140625" style="11" bestFit="1" customWidth="1"/>
    <col min="3596" max="3596" width="10.5703125" style="11" bestFit="1" customWidth="1"/>
    <col min="3597" max="3597" width="16.140625" style="11" bestFit="1" customWidth="1"/>
    <col min="3598" max="3598" width="9" style="11" customWidth="1"/>
    <col min="3599" max="3599" width="21.140625" style="11" bestFit="1" customWidth="1"/>
    <col min="3600" max="3842" width="9.140625" style="11"/>
    <col min="3843" max="3843" width="20.140625" style="11" customWidth="1"/>
    <col min="3844" max="3844" width="16.140625" style="11" customWidth="1"/>
    <col min="3845" max="3845" width="12" style="11" customWidth="1"/>
    <col min="3846" max="3846" width="8.85546875" style="11" customWidth="1"/>
    <col min="3847" max="3847" width="9.42578125" style="11" customWidth="1"/>
    <col min="3848" max="3848" width="11.5703125" style="11" customWidth="1"/>
    <col min="3849" max="3849" width="12" style="11" bestFit="1" customWidth="1"/>
    <col min="3850" max="3850" width="12.140625" style="11" customWidth="1"/>
    <col min="3851" max="3851" width="20.140625" style="11" bestFit="1" customWidth="1"/>
    <col min="3852" max="3852" width="10.5703125" style="11" bestFit="1" customWidth="1"/>
    <col min="3853" max="3853" width="16.140625" style="11" bestFit="1" customWidth="1"/>
    <col min="3854" max="3854" width="9" style="11" customWidth="1"/>
    <col min="3855" max="3855" width="21.140625" style="11" bestFit="1" customWidth="1"/>
    <col min="3856" max="4098" width="9.140625" style="11"/>
    <col min="4099" max="4099" width="20.140625" style="11" customWidth="1"/>
    <col min="4100" max="4100" width="16.140625" style="11" customWidth="1"/>
    <col min="4101" max="4101" width="12" style="11" customWidth="1"/>
    <col min="4102" max="4102" width="8.85546875" style="11" customWidth="1"/>
    <col min="4103" max="4103" width="9.42578125" style="11" customWidth="1"/>
    <col min="4104" max="4104" width="11.5703125" style="11" customWidth="1"/>
    <col min="4105" max="4105" width="12" style="11" bestFit="1" customWidth="1"/>
    <col min="4106" max="4106" width="12.140625" style="11" customWidth="1"/>
    <col min="4107" max="4107" width="20.140625" style="11" bestFit="1" customWidth="1"/>
    <col min="4108" max="4108" width="10.5703125" style="11" bestFit="1" customWidth="1"/>
    <col min="4109" max="4109" width="16.140625" style="11" bestFit="1" customWidth="1"/>
    <col min="4110" max="4110" width="9" style="11" customWidth="1"/>
    <col min="4111" max="4111" width="21.140625" style="11" bestFit="1" customWidth="1"/>
    <col min="4112" max="4354" width="9.140625" style="11"/>
    <col min="4355" max="4355" width="20.140625" style="11" customWidth="1"/>
    <col min="4356" max="4356" width="16.140625" style="11" customWidth="1"/>
    <col min="4357" max="4357" width="12" style="11" customWidth="1"/>
    <col min="4358" max="4358" width="8.85546875" style="11" customWidth="1"/>
    <col min="4359" max="4359" width="9.42578125" style="11" customWidth="1"/>
    <col min="4360" max="4360" width="11.5703125" style="11" customWidth="1"/>
    <col min="4361" max="4361" width="12" style="11" bestFit="1" customWidth="1"/>
    <col min="4362" max="4362" width="12.140625" style="11" customWidth="1"/>
    <col min="4363" max="4363" width="20.140625" style="11" bestFit="1" customWidth="1"/>
    <col min="4364" max="4364" width="10.5703125" style="11" bestFit="1" customWidth="1"/>
    <col min="4365" max="4365" width="16.140625" style="11" bestFit="1" customWidth="1"/>
    <col min="4366" max="4366" width="9" style="11" customWidth="1"/>
    <col min="4367" max="4367" width="21.140625" style="11" bestFit="1" customWidth="1"/>
    <col min="4368" max="4610" width="9.140625" style="11"/>
    <col min="4611" max="4611" width="20.140625" style="11" customWidth="1"/>
    <col min="4612" max="4612" width="16.140625" style="11" customWidth="1"/>
    <col min="4613" max="4613" width="12" style="11" customWidth="1"/>
    <col min="4614" max="4614" width="8.85546875" style="11" customWidth="1"/>
    <col min="4615" max="4615" width="9.42578125" style="11" customWidth="1"/>
    <col min="4616" max="4616" width="11.5703125" style="11" customWidth="1"/>
    <col min="4617" max="4617" width="12" style="11" bestFit="1" customWidth="1"/>
    <col min="4618" max="4618" width="12.140625" style="11" customWidth="1"/>
    <col min="4619" max="4619" width="20.140625" style="11" bestFit="1" customWidth="1"/>
    <col min="4620" max="4620" width="10.5703125" style="11" bestFit="1" customWidth="1"/>
    <col min="4621" max="4621" width="16.140625" style="11" bestFit="1" customWidth="1"/>
    <col min="4622" max="4622" width="9" style="11" customWidth="1"/>
    <col min="4623" max="4623" width="21.140625" style="11" bestFit="1" customWidth="1"/>
    <col min="4624" max="4866" width="9.140625" style="11"/>
    <col min="4867" max="4867" width="20.140625" style="11" customWidth="1"/>
    <col min="4868" max="4868" width="16.140625" style="11" customWidth="1"/>
    <col min="4869" max="4869" width="12" style="11" customWidth="1"/>
    <col min="4870" max="4870" width="8.85546875" style="11" customWidth="1"/>
    <col min="4871" max="4871" width="9.42578125" style="11" customWidth="1"/>
    <col min="4872" max="4872" width="11.5703125" style="11" customWidth="1"/>
    <col min="4873" max="4873" width="12" style="11" bestFit="1" customWidth="1"/>
    <col min="4874" max="4874" width="12.140625" style="11" customWidth="1"/>
    <col min="4875" max="4875" width="20.140625" style="11" bestFit="1" customWidth="1"/>
    <col min="4876" max="4876" width="10.5703125" style="11" bestFit="1" customWidth="1"/>
    <col min="4877" max="4877" width="16.140625" style="11" bestFit="1" customWidth="1"/>
    <col min="4878" max="4878" width="9" style="11" customWidth="1"/>
    <col min="4879" max="4879" width="21.140625" style="11" bestFit="1" customWidth="1"/>
    <col min="4880" max="5122" width="9.140625" style="11"/>
    <col min="5123" max="5123" width="20.140625" style="11" customWidth="1"/>
    <col min="5124" max="5124" width="16.140625" style="11" customWidth="1"/>
    <col min="5125" max="5125" width="12" style="11" customWidth="1"/>
    <col min="5126" max="5126" width="8.85546875" style="11" customWidth="1"/>
    <col min="5127" max="5127" width="9.42578125" style="11" customWidth="1"/>
    <col min="5128" max="5128" width="11.5703125" style="11" customWidth="1"/>
    <col min="5129" max="5129" width="12" style="11" bestFit="1" customWidth="1"/>
    <col min="5130" max="5130" width="12.140625" style="11" customWidth="1"/>
    <col min="5131" max="5131" width="20.140625" style="11" bestFit="1" customWidth="1"/>
    <col min="5132" max="5132" width="10.5703125" style="11" bestFit="1" customWidth="1"/>
    <col min="5133" max="5133" width="16.140625" style="11" bestFit="1" customWidth="1"/>
    <col min="5134" max="5134" width="9" style="11" customWidth="1"/>
    <col min="5135" max="5135" width="21.140625" style="11" bestFit="1" customWidth="1"/>
    <col min="5136" max="5378" width="9.140625" style="11"/>
    <col min="5379" max="5379" width="20.140625" style="11" customWidth="1"/>
    <col min="5380" max="5380" width="16.140625" style="11" customWidth="1"/>
    <col min="5381" max="5381" width="12" style="11" customWidth="1"/>
    <col min="5382" max="5382" width="8.85546875" style="11" customWidth="1"/>
    <col min="5383" max="5383" width="9.42578125" style="11" customWidth="1"/>
    <col min="5384" max="5384" width="11.5703125" style="11" customWidth="1"/>
    <col min="5385" max="5385" width="12" style="11" bestFit="1" customWidth="1"/>
    <col min="5386" max="5386" width="12.140625" style="11" customWidth="1"/>
    <col min="5387" max="5387" width="20.140625" style="11" bestFit="1" customWidth="1"/>
    <col min="5388" max="5388" width="10.5703125" style="11" bestFit="1" customWidth="1"/>
    <col min="5389" max="5389" width="16.140625" style="11" bestFit="1" customWidth="1"/>
    <col min="5390" max="5390" width="9" style="11" customWidth="1"/>
    <col min="5391" max="5391" width="21.140625" style="11" bestFit="1" customWidth="1"/>
    <col min="5392" max="5634" width="9.140625" style="11"/>
    <col min="5635" max="5635" width="20.140625" style="11" customWidth="1"/>
    <col min="5636" max="5636" width="16.140625" style="11" customWidth="1"/>
    <col min="5637" max="5637" width="12" style="11" customWidth="1"/>
    <col min="5638" max="5638" width="8.85546875" style="11" customWidth="1"/>
    <col min="5639" max="5639" width="9.42578125" style="11" customWidth="1"/>
    <col min="5640" max="5640" width="11.5703125" style="11" customWidth="1"/>
    <col min="5641" max="5641" width="12" style="11" bestFit="1" customWidth="1"/>
    <col min="5642" max="5642" width="12.140625" style="11" customWidth="1"/>
    <col min="5643" max="5643" width="20.140625" style="11" bestFit="1" customWidth="1"/>
    <col min="5644" max="5644" width="10.5703125" style="11" bestFit="1" customWidth="1"/>
    <col min="5645" max="5645" width="16.140625" style="11" bestFit="1" customWidth="1"/>
    <col min="5646" max="5646" width="9" style="11" customWidth="1"/>
    <col min="5647" max="5647" width="21.140625" style="11" bestFit="1" customWidth="1"/>
    <col min="5648" max="5890" width="9.140625" style="11"/>
    <col min="5891" max="5891" width="20.140625" style="11" customWidth="1"/>
    <col min="5892" max="5892" width="16.140625" style="11" customWidth="1"/>
    <col min="5893" max="5893" width="12" style="11" customWidth="1"/>
    <col min="5894" max="5894" width="8.85546875" style="11" customWidth="1"/>
    <col min="5895" max="5895" width="9.42578125" style="11" customWidth="1"/>
    <col min="5896" max="5896" width="11.5703125" style="11" customWidth="1"/>
    <col min="5897" max="5897" width="12" style="11" bestFit="1" customWidth="1"/>
    <col min="5898" max="5898" width="12.140625" style="11" customWidth="1"/>
    <col min="5899" max="5899" width="20.140625" style="11" bestFit="1" customWidth="1"/>
    <col min="5900" max="5900" width="10.5703125" style="11" bestFit="1" customWidth="1"/>
    <col min="5901" max="5901" width="16.140625" style="11" bestFit="1" customWidth="1"/>
    <col min="5902" max="5902" width="9" style="11" customWidth="1"/>
    <col min="5903" max="5903" width="21.140625" style="11" bestFit="1" customWidth="1"/>
    <col min="5904" max="6146" width="9.140625" style="11"/>
    <col min="6147" max="6147" width="20.140625" style="11" customWidth="1"/>
    <col min="6148" max="6148" width="16.140625" style="11" customWidth="1"/>
    <col min="6149" max="6149" width="12" style="11" customWidth="1"/>
    <col min="6150" max="6150" width="8.85546875" style="11" customWidth="1"/>
    <col min="6151" max="6151" width="9.42578125" style="11" customWidth="1"/>
    <col min="6152" max="6152" width="11.5703125" style="11" customWidth="1"/>
    <col min="6153" max="6153" width="12" style="11" bestFit="1" customWidth="1"/>
    <col min="6154" max="6154" width="12.140625" style="11" customWidth="1"/>
    <col min="6155" max="6155" width="20.140625" style="11" bestFit="1" customWidth="1"/>
    <col min="6156" max="6156" width="10.5703125" style="11" bestFit="1" customWidth="1"/>
    <col min="6157" max="6157" width="16.140625" style="11" bestFit="1" customWidth="1"/>
    <col min="6158" max="6158" width="9" style="11" customWidth="1"/>
    <col min="6159" max="6159" width="21.140625" style="11" bestFit="1" customWidth="1"/>
    <col min="6160" max="6402" width="9.140625" style="11"/>
    <col min="6403" max="6403" width="20.140625" style="11" customWidth="1"/>
    <col min="6404" max="6404" width="16.140625" style="11" customWidth="1"/>
    <col min="6405" max="6405" width="12" style="11" customWidth="1"/>
    <col min="6406" max="6406" width="8.85546875" style="11" customWidth="1"/>
    <col min="6407" max="6407" width="9.42578125" style="11" customWidth="1"/>
    <col min="6408" max="6408" width="11.5703125" style="11" customWidth="1"/>
    <col min="6409" max="6409" width="12" style="11" bestFit="1" customWidth="1"/>
    <col min="6410" max="6410" width="12.140625" style="11" customWidth="1"/>
    <col min="6411" max="6411" width="20.140625" style="11" bestFit="1" customWidth="1"/>
    <col min="6412" max="6412" width="10.5703125" style="11" bestFit="1" customWidth="1"/>
    <col min="6413" max="6413" width="16.140625" style="11" bestFit="1" customWidth="1"/>
    <col min="6414" max="6414" width="9" style="11" customWidth="1"/>
    <col min="6415" max="6415" width="21.140625" style="11" bestFit="1" customWidth="1"/>
    <col min="6416" max="6658" width="9.140625" style="11"/>
    <col min="6659" max="6659" width="20.140625" style="11" customWidth="1"/>
    <col min="6660" max="6660" width="16.140625" style="11" customWidth="1"/>
    <col min="6661" max="6661" width="12" style="11" customWidth="1"/>
    <col min="6662" max="6662" width="8.85546875" style="11" customWidth="1"/>
    <col min="6663" max="6663" width="9.42578125" style="11" customWidth="1"/>
    <col min="6664" max="6664" width="11.5703125" style="11" customWidth="1"/>
    <col min="6665" max="6665" width="12" style="11" bestFit="1" customWidth="1"/>
    <col min="6666" max="6666" width="12.140625" style="11" customWidth="1"/>
    <col min="6667" max="6667" width="20.140625" style="11" bestFit="1" customWidth="1"/>
    <col min="6668" max="6668" width="10.5703125" style="11" bestFit="1" customWidth="1"/>
    <col min="6669" max="6669" width="16.140625" style="11" bestFit="1" customWidth="1"/>
    <col min="6670" max="6670" width="9" style="11" customWidth="1"/>
    <col min="6671" max="6671" width="21.140625" style="11" bestFit="1" customWidth="1"/>
    <col min="6672" max="6914" width="9.140625" style="11"/>
    <col min="6915" max="6915" width="20.140625" style="11" customWidth="1"/>
    <col min="6916" max="6916" width="16.140625" style="11" customWidth="1"/>
    <col min="6917" max="6917" width="12" style="11" customWidth="1"/>
    <col min="6918" max="6918" width="8.85546875" style="11" customWidth="1"/>
    <col min="6919" max="6919" width="9.42578125" style="11" customWidth="1"/>
    <col min="6920" max="6920" width="11.5703125" style="11" customWidth="1"/>
    <col min="6921" max="6921" width="12" style="11" bestFit="1" customWidth="1"/>
    <col min="6922" max="6922" width="12.140625" style="11" customWidth="1"/>
    <col min="6923" max="6923" width="20.140625" style="11" bestFit="1" customWidth="1"/>
    <col min="6924" max="6924" width="10.5703125" style="11" bestFit="1" customWidth="1"/>
    <col min="6925" max="6925" width="16.140625" style="11" bestFit="1" customWidth="1"/>
    <col min="6926" max="6926" width="9" style="11" customWidth="1"/>
    <col min="6927" max="6927" width="21.140625" style="11" bestFit="1" customWidth="1"/>
    <col min="6928" max="7170" width="9.140625" style="11"/>
    <col min="7171" max="7171" width="20.140625" style="11" customWidth="1"/>
    <col min="7172" max="7172" width="16.140625" style="11" customWidth="1"/>
    <col min="7173" max="7173" width="12" style="11" customWidth="1"/>
    <col min="7174" max="7174" width="8.85546875" style="11" customWidth="1"/>
    <col min="7175" max="7175" width="9.42578125" style="11" customWidth="1"/>
    <col min="7176" max="7176" width="11.5703125" style="11" customWidth="1"/>
    <col min="7177" max="7177" width="12" style="11" bestFit="1" customWidth="1"/>
    <col min="7178" max="7178" width="12.140625" style="11" customWidth="1"/>
    <col min="7179" max="7179" width="20.140625" style="11" bestFit="1" customWidth="1"/>
    <col min="7180" max="7180" width="10.5703125" style="11" bestFit="1" customWidth="1"/>
    <col min="7181" max="7181" width="16.140625" style="11" bestFit="1" customWidth="1"/>
    <col min="7182" max="7182" width="9" style="11" customWidth="1"/>
    <col min="7183" max="7183" width="21.140625" style="11" bestFit="1" customWidth="1"/>
    <col min="7184" max="7426" width="9.140625" style="11"/>
    <col min="7427" max="7427" width="20.140625" style="11" customWidth="1"/>
    <col min="7428" max="7428" width="16.140625" style="11" customWidth="1"/>
    <col min="7429" max="7429" width="12" style="11" customWidth="1"/>
    <col min="7430" max="7430" width="8.85546875" style="11" customWidth="1"/>
    <col min="7431" max="7431" width="9.42578125" style="11" customWidth="1"/>
    <col min="7432" max="7432" width="11.5703125" style="11" customWidth="1"/>
    <col min="7433" max="7433" width="12" style="11" bestFit="1" customWidth="1"/>
    <col min="7434" max="7434" width="12.140625" style="11" customWidth="1"/>
    <col min="7435" max="7435" width="20.140625" style="11" bestFit="1" customWidth="1"/>
    <col min="7436" max="7436" width="10.5703125" style="11" bestFit="1" customWidth="1"/>
    <col min="7437" max="7437" width="16.140625" style="11" bestFit="1" customWidth="1"/>
    <col min="7438" max="7438" width="9" style="11" customWidth="1"/>
    <col min="7439" max="7439" width="21.140625" style="11" bestFit="1" customWidth="1"/>
    <col min="7440" max="7682" width="9.140625" style="11"/>
    <col min="7683" max="7683" width="20.140625" style="11" customWidth="1"/>
    <col min="7684" max="7684" width="16.140625" style="11" customWidth="1"/>
    <col min="7685" max="7685" width="12" style="11" customWidth="1"/>
    <col min="7686" max="7686" width="8.85546875" style="11" customWidth="1"/>
    <col min="7687" max="7687" width="9.42578125" style="11" customWidth="1"/>
    <col min="7688" max="7688" width="11.5703125" style="11" customWidth="1"/>
    <col min="7689" max="7689" width="12" style="11" bestFit="1" customWidth="1"/>
    <col min="7690" max="7690" width="12.140625" style="11" customWidth="1"/>
    <col min="7691" max="7691" width="20.140625" style="11" bestFit="1" customWidth="1"/>
    <col min="7692" max="7692" width="10.5703125" style="11" bestFit="1" customWidth="1"/>
    <col min="7693" max="7693" width="16.140625" style="11" bestFit="1" customWidth="1"/>
    <col min="7694" max="7694" width="9" style="11" customWidth="1"/>
    <col min="7695" max="7695" width="21.140625" style="11" bestFit="1" customWidth="1"/>
    <col min="7696" max="7938" width="9.140625" style="11"/>
    <col min="7939" max="7939" width="20.140625" style="11" customWidth="1"/>
    <col min="7940" max="7940" width="16.140625" style="11" customWidth="1"/>
    <col min="7941" max="7941" width="12" style="11" customWidth="1"/>
    <col min="7942" max="7942" width="8.85546875" style="11" customWidth="1"/>
    <col min="7943" max="7943" width="9.42578125" style="11" customWidth="1"/>
    <col min="7944" max="7944" width="11.5703125" style="11" customWidth="1"/>
    <col min="7945" max="7945" width="12" style="11" bestFit="1" customWidth="1"/>
    <col min="7946" max="7946" width="12.140625" style="11" customWidth="1"/>
    <col min="7947" max="7947" width="20.140625" style="11" bestFit="1" customWidth="1"/>
    <col min="7948" max="7948" width="10.5703125" style="11" bestFit="1" customWidth="1"/>
    <col min="7949" max="7949" width="16.140625" style="11" bestFit="1" customWidth="1"/>
    <col min="7950" max="7950" width="9" style="11" customWidth="1"/>
    <col min="7951" max="7951" width="21.140625" style="11" bestFit="1" customWidth="1"/>
    <col min="7952" max="8194" width="9.140625" style="11"/>
    <col min="8195" max="8195" width="20.140625" style="11" customWidth="1"/>
    <col min="8196" max="8196" width="16.140625" style="11" customWidth="1"/>
    <col min="8197" max="8197" width="12" style="11" customWidth="1"/>
    <col min="8198" max="8198" width="8.85546875" style="11" customWidth="1"/>
    <col min="8199" max="8199" width="9.42578125" style="11" customWidth="1"/>
    <col min="8200" max="8200" width="11.5703125" style="11" customWidth="1"/>
    <col min="8201" max="8201" width="12" style="11" bestFit="1" customWidth="1"/>
    <col min="8202" max="8202" width="12.140625" style="11" customWidth="1"/>
    <col min="8203" max="8203" width="20.140625" style="11" bestFit="1" customWidth="1"/>
    <col min="8204" max="8204" width="10.5703125" style="11" bestFit="1" customWidth="1"/>
    <col min="8205" max="8205" width="16.140625" style="11" bestFit="1" customWidth="1"/>
    <col min="8206" max="8206" width="9" style="11" customWidth="1"/>
    <col min="8207" max="8207" width="21.140625" style="11" bestFit="1" customWidth="1"/>
    <col min="8208" max="8450" width="9.140625" style="11"/>
    <col min="8451" max="8451" width="20.140625" style="11" customWidth="1"/>
    <col min="8452" max="8452" width="16.140625" style="11" customWidth="1"/>
    <col min="8453" max="8453" width="12" style="11" customWidth="1"/>
    <col min="8454" max="8454" width="8.85546875" style="11" customWidth="1"/>
    <col min="8455" max="8455" width="9.42578125" style="11" customWidth="1"/>
    <col min="8456" max="8456" width="11.5703125" style="11" customWidth="1"/>
    <col min="8457" max="8457" width="12" style="11" bestFit="1" customWidth="1"/>
    <col min="8458" max="8458" width="12.140625" style="11" customWidth="1"/>
    <col min="8459" max="8459" width="20.140625" style="11" bestFit="1" customWidth="1"/>
    <col min="8460" max="8460" width="10.5703125" style="11" bestFit="1" customWidth="1"/>
    <col min="8461" max="8461" width="16.140625" style="11" bestFit="1" customWidth="1"/>
    <col min="8462" max="8462" width="9" style="11" customWidth="1"/>
    <col min="8463" max="8463" width="21.140625" style="11" bestFit="1" customWidth="1"/>
    <col min="8464" max="8706" width="9.140625" style="11"/>
    <col min="8707" max="8707" width="20.140625" style="11" customWidth="1"/>
    <col min="8708" max="8708" width="16.140625" style="11" customWidth="1"/>
    <col min="8709" max="8709" width="12" style="11" customWidth="1"/>
    <col min="8710" max="8710" width="8.85546875" style="11" customWidth="1"/>
    <col min="8711" max="8711" width="9.42578125" style="11" customWidth="1"/>
    <col min="8712" max="8712" width="11.5703125" style="11" customWidth="1"/>
    <col min="8713" max="8713" width="12" style="11" bestFit="1" customWidth="1"/>
    <col min="8714" max="8714" width="12.140625" style="11" customWidth="1"/>
    <col min="8715" max="8715" width="20.140625" style="11" bestFit="1" customWidth="1"/>
    <col min="8716" max="8716" width="10.5703125" style="11" bestFit="1" customWidth="1"/>
    <col min="8717" max="8717" width="16.140625" style="11" bestFit="1" customWidth="1"/>
    <col min="8718" max="8718" width="9" style="11" customWidth="1"/>
    <col min="8719" max="8719" width="21.140625" style="11" bestFit="1" customWidth="1"/>
    <col min="8720" max="8962" width="9.140625" style="11"/>
    <col min="8963" max="8963" width="20.140625" style="11" customWidth="1"/>
    <col min="8964" max="8964" width="16.140625" style="11" customWidth="1"/>
    <col min="8965" max="8965" width="12" style="11" customWidth="1"/>
    <col min="8966" max="8966" width="8.85546875" style="11" customWidth="1"/>
    <col min="8967" max="8967" width="9.42578125" style="11" customWidth="1"/>
    <col min="8968" max="8968" width="11.5703125" style="11" customWidth="1"/>
    <col min="8969" max="8969" width="12" style="11" bestFit="1" customWidth="1"/>
    <col min="8970" max="8970" width="12.140625" style="11" customWidth="1"/>
    <col min="8971" max="8971" width="20.140625" style="11" bestFit="1" customWidth="1"/>
    <col min="8972" max="8972" width="10.5703125" style="11" bestFit="1" customWidth="1"/>
    <col min="8973" max="8973" width="16.140625" style="11" bestFit="1" customWidth="1"/>
    <col min="8974" max="8974" width="9" style="11" customWidth="1"/>
    <col min="8975" max="8975" width="21.140625" style="11" bestFit="1" customWidth="1"/>
    <col min="8976" max="9218" width="9.140625" style="11"/>
    <col min="9219" max="9219" width="20.140625" style="11" customWidth="1"/>
    <col min="9220" max="9220" width="16.140625" style="11" customWidth="1"/>
    <col min="9221" max="9221" width="12" style="11" customWidth="1"/>
    <col min="9222" max="9222" width="8.85546875" style="11" customWidth="1"/>
    <col min="9223" max="9223" width="9.42578125" style="11" customWidth="1"/>
    <col min="9224" max="9224" width="11.5703125" style="11" customWidth="1"/>
    <col min="9225" max="9225" width="12" style="11" bestFit="1" customWidth="1"/>
    <col min="9226" max="9226" width="12.140625" style="11" customWidth="1"/>
    <col min="9227" max="9227" width="20.140625" style="11" bestFit="1" customWidth="1"/>
    <col min="9228" max="9228" width="10.5703125" style="11" bestFit="1" customWidth="1"/>
    <col min="9229" max="9229" width="16.140625" style="11" bestFit="1" customWidth="1"/>
    <col min="9230" max="9230" width="9" style="11" customWidth="1"/>
    <col min="9231" max="9231" width="21.140625" style="11" bestFit="1" customWidth="1"/>
    <col min="9232" max="9474" width="9.140625" style="11"/>
    <col min="9475" max="9475" width="20.140625" style="11" customWidth="1"/>
    <col min="9476" max="9476" width="16.140625" style="11" customWidth="1"/>
    <col min="9477" max="9477" width="12" style="11" customWidth="1"/>
    <col min="9478" max="9478" width="8.85546875" style="11" customWidth="1"/>
    <col min="9479" max="9479" width="9.42578125" style="11" customWidth="1"/>
    <col min="9480" max="9480" width="11.5703125" style="11" customWidth="1"/>
    <col min="9481" max="9481" width="12" style="11" bestFit="1" customWidth="1"/>
    <col min="9482" max="9482" width="12.140625" style="11" customWidth="1"/>
    <col min="9483" max="9483" width="20.140625" style="11" bestFit="1" customWidth="1"/>
    <col min="9484" max="9484" width="10.5703125" style="11" bestFit="1" customWidth="1"/>
    <col min="9485" max="9485" width="16.140625" style="11" bestFit="1" customWidth="1"/>
    <col min="9486" max="9486" width="9" style="11" customWidth="1"/>
    <col min="9487" max="9487" width="21.140625" style="11" bestFit="1" customWidth="1"/>
    <col min="9488" max="9730" width="9.140625" style="11"/>
    <col min="9731" max="9731" width="20.140625" style="11" customWidth="1"/>
    <col min="9732" max="9732" width="16.140625" style="11" customWidth="1"/>
    <col min="9733" max="9733" width="12" style="11" customWidth="1"/>
    <col min="9734" max="9734" width="8.85546875" style="11" customWidth="1"/>
    <col min="9735" max="9735" width="9.42578125" style="11" customWidth="1"/>
    <col min="9736" max="9736" width="11.5703125" style="11" customWidth="1"/>
    <col min="9737" max="9737" width="12" style="11" bestFit="1" customWidth="1"/>
    <col min="9738" max="9738" width="12.140625" style="11" customWidth="1"/>
    <col min="9739" max="9739" width="20.140625" style="11" bestFit="1" customWidth="1"/>
    <col min="9740" max="9740" width="10.5703125" style="11" bestFit="1" customWidth="1"/>
    <col min="9741" max="9741" width="16.140625" style="11" bestFit="1" customWidth="1"/>
    <col min="9742" max="9742" width="9" style="11" customWidth="1"/>
    <col min="9743" max="9743" width="21.140625" style="11" bestFit="1" customWidth="1"/>
    <col min="9744" max="9986" width="9.140625" style="11"/>
    <col min="9987" max="9987" width="20.140625" style="11" customWidth="1"/>
    <col min="9988" max="9988" width="16.140625" style="11" customWidth="1"/>
    <col min="9989" max="9989" width="12" style="11" customWidth="1"/>
    <col min="9990" max="9990" width="8.85546875" style="11" customWidth="1"/>
    <col min="9991" max="9991" width="9.42578125" style="11" customWidth="1"/>
    <col min="9992" max="9992" width="11.5703125" style="11" customWidth="1"/>
    <col min="9993" max="9993" width="12" style="11" bestFit="1" customWidth="1"/>
    <col min="9994" max="9994" width="12.140625" style="11" customWidth="1"/>
    <col min="9995" max="9995" width="20.140625" style="11" bestFit="1" customWidth="1"/>
    <col min="9996" max="9996" width="10.5703125" style="11" bestFit="1" customWidth="1"/>
    <col min="9997" max="9997" width="16.140625" style="11" bestFit="1" customWidth="1"/>
    <col min="9998" max="9998" width="9" style="11" customWidth="1"/>
    <col min="9999" max="9999" width="21.140625" style="11" bestFit="1" customWidth="1"/>
    <col min="10000" max="10242" width="9.140625" style="11"/>
    <col min="10243" max="10243" width="20.140625" style="11" customWidth="1"/>
    <col min="10244" max="10244" width="16.140625" style="11" customWidth="1"/>
    <col min="10245" max="10245" width="12" style="11" customWidth="1"/>
    <col min="10246" max="10246" width="8.85546875" style="11" customWidth="1"/>
    <col min="10247" max="10247" width="9.42578125" style="11" customWidth="1"/>
    <col min="10248" max="10248" width="11.5703125" style="11" customWidth="1"/>
    <col min="10249" max="10249" width="12" style="11" bestFit="1" customWidth="1"/>
    <col min="10250" max="10250" width="12.140625" style="11" customWidth="1"/>
    <col min="10251" max="10251" width="20.140625" style="11" bestFit="1" customWidth="1"/>
    <col min="10252" max="10252" width="10.5703125" style="11" bestFit="1" customWidth="1"/>
    <col min="10253" max="10253" width="16.140625" style="11" bestFit="1" customWidth="1"/>
    <col min="10254" max="10254" width="9" style="11" customWidth="1"/>
    <col min="10255" max="10255" width="21.140625" style="11" bestFit="1" customWidth="1"/>
    <col min="10256" max="10498" width="9.140625" style="11"/>
    <col min="10499" max="10499" width="20.140625" style="11" customWidth="1"/>
    <col min="10500" max="10500" width="16.140625" style="11" customWidth="1"/>
    <col min="10501" max="10501" width="12" style="11" customWidth="1"/>
    <col min="10502" max="10502" width="8.85546875" style="11" customWidth="1"/>
    <col min="10503" max="10503" width="9.42578125" style="11" customWidth="1"/>
    <col min="10504" max="10504" width="11.5703125" style="11" customWidth="1"/>
    <col min="10505" max="10505" width="12" style="11" bestFit="1" customWidth="1"/>
    <col min="10506" max="10506" width="12.140625" style="11" customWidth="1"/>
    <col min="10507" max="10507" width="20.140625" style="11" bestFit="1" customWidth="1"/>
    <col min="10508" max="10508" width="10.5703125" style="11" bestFit="1" customWidth="1"/>
    <col min="10509" max="10509" width="16.140625" style="11" bestFit="1" customWidth="1"/>
    <col min="10510" max="10510" width="9" style="11" customWidth="1"/>
    <col min="10511" max="10511" width="21.140625" style="11" bestFit="1" customWidth="1"/>
    <col min="10512" max="10754" width="9.140625" style="11"/>
    <col min="10755" max="10755" width="20.140625" style="11" customWidth="1"/>
    <col min="10756" max="10756" width="16.140625" style="11" customWidth="1"/>
    <col min="10757" max="10757" width="12" style="11" customWidth="1"/>
    <col min="10758" max="10758" width="8.85546875" style="11" customWidth="1"/>
    <col min="10759" max="10759" width="9.42578125" style="11" customWidth="1"/>
    <col min="10760" max="10760" width="11.5703125" style="11" customWidth="1"/>
    <col min="10761" max="10761" width="12" style="11" bestFit="1" customWidth="1"/>
    <col min="10762" max="10762" width="12.140625" style="11" customWidth="1"/>
    <col min="10763" max="10763" width="20.140625" style="11" bestFit="1" customWidth="1"/>
    <col min="10764" max="10764" width="10.5703125" style="11" bestFit="1" customWidth="1"/>
    <col min="10765" max="10765" width="16.140625" style="11" bestFit="1" customWidth="1"/>
    <col min="10766" max="10766" width="9" style="11" customWidth="1"/>
    <col min="10767" max="10767" width="21.140625" style="11" bestFit="1" customWidth="1"/>
    <col min="10768" max="11010" width="9.140625" style="11"/>
    <col min="11011" max="11011" width="20.140625" style="11" customWidth="1"/>
    <col min="11012" max="11012" width="16.140625" style="11" customWidth="1"/>
    <col min="11013" max="11013" width="12" style="11" customWidth="1"/>
    <col min="11014" max="11014" width="8.85546875" style="11" customWidth="1"/>
    <col min="11015" max="11015" width="9.42578125" style="11" customWidth="1"/>
    <col min="11016" max="11016" width="11.5703125" style="11" customWidth="1"/>
    <col min="11017" max="11017" width="12" style="11" bestFit="1" customWidth="1"/>
    <col min="11018" max="11018" width="12.140625" style="11" customWidth="1"/>
    <col min="11019" max="11019" width="20.140625" style="11" bestFit="1" customWidth="1"/>
    <col min="11020" max="11020" width="10.5703125" style="11" bestFit="1" customWidth="1"/>
    <col min="11021" max="11021" width="16.140625" style="11" bestFit="1" customWidth="1"/>
    <col min="11022" max="11022" width="9" style="11" customWidth="1"/>
    <col min="11023" max="11023" width="21.140625" style="11" bestFit="1" customWidth="1"/>
    <col min="11024" max="11266" width="9.140625" style="11"/>
    <col min="11267" max="11267" width="20.140625" style="11" customWidth="1"/>
    <col min="11268" max="11268" width="16.140625" style="11" customWidth="1"/>
    <col min="11269" max="11269" width="12" style="11" customWidth="1"/>
    <col min="11270" max="11270" width="8.85546875" style="11" customWidth="1"/>
    <col min="11271" max="11271" width="9.42578125" style="11" customWidth="1"/>
    <col min="11272" max="11272" width="11.5703125" style="11" customWidth="1"/>
    <col min="11273" max="11273" width="12" style="11" bestFit="1" customWidth="1"/>
    <col min="11274" max="11274" width="12.140625" style="11" customWidth="1"/>
    <col min="11275" max="11275" width="20.140625" style="11" bestFit="1" customWidth="1"/>
    <col min="11276" max="11276" width="10.5703125" style="11" bestFit="1" customWidth="1"/>
    <col min="11277" max="11277" width="16.140625" style="11" bestFit="1" customWidth="1"/>
    <col min="11278" max="11278" width="9" style="11" customWidth="1"/>
    <col min="11279" max="11279" width="21.140625" style="11" bestFit="1" customWidth="1"/>
    <col min="11280" max="11522" width="9.140625" style="11"/>
    <col min="11523" max="11523" width="20.140625" style="11" customWidth="1"/>
    <col min="11524" max="11524" width="16.140625" style="11" customWidth="1"/>
    <col min="11525" max="11525" width="12" style="11" customWidth="1"/>
    <col min="11526" max="11526" width="8.85546875" style="11" customWidth="1"/>
    <col min="11527" max="11527" width="9.42578125" style="11" customWidth="1"/>
    <col min="11528" max="11528" width="11.5703125" style="11" customWidth="1"/>
    <col min="11529" max="11529" width="12" style="11" bestFit="1" customWidth="1"/>
    <col min="11530" max="11530" width="12.140625" style="11" customWidth="1"/>
    <col min="11531" max="11531" width="20.140625" style="11" bestFit="1" customWidth="1"/>
    <col min="11532" max="11532" width="10.5703125" style="11" bestFit="1" customWidth="1"/>
    <col min="11533" max="11533" width="16.140625" style="11" bestFit="1" customWidth="1"/>
    <col min="11534" max="11534" width="9" style="11" customWidth="1"/>
    <col min="11535" max="11535" width="21.140625" style="11" bestFit="1" customWidth="1"/>
    <col min="11536" max="11778" width="9.140625" style="11"/>
    <col min="11779" max="11779" width="20.140625" style="11" customWidth="1"/>
    <col min="11780" max="11780" width="16.140625" style="11" customWidth="1"/>
    <col min="11781" max="11781" width="12" style="11" customWidth="1"/>
    <col min="11782" max="11782" width="8.85546875" style="11" customWidth="1"/>
    <col min="11783" max="11783" width="9.42578125" style="11" customWidth="1"/>
    <col min="11784" max="11784" width="11.5703125" style="11" customWidth="1"/>
    <col min="11785" max="11785" width="12" style="11" bestFit="1" customWidth="1"/>
    <col min="11786" max="11786" width="12.140625" style="11" customWidth="1"/>
    <col min="11787" max="11787" width="20.140625" style="11" bestFit="1" customWidth="1"/>
    <col min="11788" max="11788" width="10.5703125" style="11" bestFit="1" customWidth="1"/>
    <col min="11789" max="11789" width="16.140625" style="11" bestFit="1" customWidth="1"/>
    <col min="11790" max="11790" width="9" style="11" customWidth="1"/>
    <col min="11791" max="11791" width="21.140625" style="11" bestFit="1" customWidth="1"/>
    <col min="11792" max="12034" width="9.140625" style="11"/>
    <col min="12035" max="12035" width="20.140625" style="11" customWidth="1"/>
    <col min="12036" max="12036" width="16.140625" style="11" customWidth="1"/>
    <col min="12037" max="12037" width="12" style="11" customWidth="1"/>
    <col min="12038" max="12038" width="8.85546875" style="11" customWidth="1"/>
    <col min="12039" max="12039" width="9.42578125" style="11" customWidth="1"/>
    <col min="12040" max="12040" width="11.5703125" style="11" customWidth="1"/>
    <col min="12041" max="12041" width="12" style="11" bestFit="1" customWidth="1"/>
    <col min="12042" max="12042" width="12.140625" style="11" customWidth="1"/>
    <col min="12043" max="12043" width="20.140625" style="11" bestFit="1" customWidth="1"/>
    <col min="12044" max="12044" width="10.5703125" style="11" bestFit="1" customWidth="1"/>
    <col min="12045" max="12045" width="16.140625" style="11" bestFit="1" customWidth="1"/>
    <col min="12046" max="12046" width="9" style="11" customWidth="1"/>
    <col min="12047" max="12047" width="21.140625" style="11" bestFit="1" customWidth="1"/>
    <col min="12048" max="12290" width="9.140625" style="11"/>
    <col min="12291" max="12291" width="20.140625" style="11" customWidth="1"/>
    <col min="12292" max="12292" width="16.140625" style="11" customWidth="1"/>
    <col min="12293" max="12293" width="12" style="11" customWidth="1"/>
    <col min="12294" max="12294" width="8.85546875" style="11" customWidth="1"/>
    <col min="12295" max="12295" width="9.42578125" style="11" customWidth="1"/>
    <col min="12296" max="12296" width="11.5703125" style="11" customWidth="1"/>
    <col min="12297" max="12297" width="12" style="11" bestFit="1" customWidth="1"/>
    <col min="12298" max="12298" width="12.140625" style="11" customWidth="1"/>
    <col min="12299" max="12299" width="20.140625" style="11" bestFit="1" customWidth="1"/>
    <col min="12300" max="12300" width="10.5703125" style="11" bestFit="1" customWidth="1"/>
    <col min="12301" max="12301" width="16.140625" style="11" bestFit="1" customWidth="1"/>
    <col min="12302" max="12302" width="9" style="11" customWidth="1"/>
    <col min="12303" max="12303" width="21.140625" style="11" bestFit="1" customWidth="1"/>
    <col min="12304" max="12546" width="9.140625" style="11"/>
    <col min="12547" max="12547" width="20.140625" style="11" customWidth="1"/>
    <col min="12548" max="12548" width="16.140625" style="11" customWidth="1"/>
    <col min="12549" max="12549" width="12" style="11" customWidth="1"/>
    <col min="12550" max="12550" width="8.85546875" style="11" customWidth="1"/>
    <col min="12551" max="12551" width="9.42578125" style="11" customWidth="1"/>
    <col min="12552" max="12552" width="11.5703125" style="11" customWidth="1"/>
    <col min="12553" max="12553" width="12" style="11" bestFit="1" customWidth="1"/>
    <col min="12554" max="12554" width="12.140625" style="11" customWidth="1"/>
    <col min="12555" max="12555" width="20.140625" style="11" bestFit="1" customWidth="1"/>
    <col min="12556" max="12556" width="10.5703125" style="11" bestFit="1" customWidth="1"/>
    <col min="12557" max="12557" width="16.140625" style="11" bestFit="1" customWidth="1"/>
    <col min="12558" max="12558" width="9" style="11" customWidth="1"/>
    <col min="12559" max="12559" width="21.140625" style="11" bestFit="1" customWidth="1"/>
    <col min="12560" max="12802" width="9.140625" style="11"/>
    <col min="12803" max="12803" width="20.140625" style="11" customWidth="1"/>
    <col min="12804" max="12804" width="16.140625" style="11" customWidth="1"/>
    <col min="12805" max="12805" width="12" style="11" customWidth="1"/>
    <col min="12806" max="12806" width="8.85546875" style="11" customWidth="1"/>
    <col min="12807" max="12807" width="9.42578125" style="11" customWidth="1"/>
    <col min="12808" max="12808" width="11.5703125" style="11" customWidth="1"/>
    <col min="12809" max="12809" width="12" style="11" bestFit="1" customWidth="1"/>
    <col min="12810" max="12810" width="12.140625" style="11" customWidth="1"/>
    <col min="12811" max="12811" width="20.140625" style="11" bestFit="1" customWidth="1"/>
    <col min="12812" max="12812" width="10.5703125" style="11" bestFit="1" customWidth="1"/>
    <col min="12813" max="12813" width="16.140625" style="11" bestFit="1" customWidth="1"/>
    <col min="12814" max="12814" width="9" style="11" customWidth="1"/>
    <col min="12815" max="12815" width="21.140625" style="11" bestFit="1" customWidth="1"/>
    <col min="12816" max="13058" width="9.140625" style="11"/>
    <col min="13059" max="13059" width="20.140625" style="11" customWidth="1"/>
    <col min="13060" max="13060" width="16.140625" style="11" customWidth="1"/>
    <col min="13061" max="13061" width="12" style="11" customWidth="1"/>
    <col min="13062" max="13062" width="8.85546875" style="11" customWidth="1"/>
    <col min="13063" max="13063" width="9.42578125" style="11" customWidth="1"/>
    <col min="13064" max="13064" width="11.5703125" style="11" customWidth="1"/>
    <col min="13065" max="13065" width="12" style="11" bestFit="1" customWidth="1"/>
    <col min="13066" max="13066" width="12.140625" style="11" customWidth="1"/>
    <col min="13067" max="13067" width="20.140625" style="11" bestFit="1" customWidth="1"/>
    <col min="13068" max="13068" width="10.5703125" style="11" bestFit="1" customWidth="1"/>
    <col min="13069" max="13069" width="16.140625" style="11" bestFit="1" customWidth="1"/>
    <col min="13070" max="13070" width="9" style="11" customWidth="1"/>
    <col min="13071" max="13071" width="21.140625" style="11" bestFit="1" customWidth="1"/>
    <col min="13072" max="13314" width="9.140625" style="11"/>
    <col min="13315" max="13315" width="20.140625" style="11" customWidth="1"/>
    <col min="13316" max="13316" width="16.140625" style="11" customWidth="1"/>
    <col min="13317" max="13317" width="12" style="11" customWidth="1"/>
    <col min="13318" max="13318" width="8.85546875" style="11" customWidth="1"/>
    <col min="13319" max="13319" width="9.42578125" style="11" customWidth="1"/>
    <col min="13320" max="13320" width="11.5703125" style="11" customWidth="1"/>
    <col min="13321" max="13321" width="12" style="11" bestFit="1" customWidth="1"/>
    <col min="13322" max="13322" width="12.140625" style="11" customWidth="1"/>
    <col min="13323" max="13323" width="20.140625" style="11" bestFit="1" customWidth="1"/>
    <col min="13324" max="13324" width="10.5703125" style="11" bestFit="1" customWidth="1"/>
    <col min="13325" max="13325" width="16.140625" style="11" bestFit="1" customWidth="1"/>
    <col min="13326" max="13326" width="9" style="11" customWidth="1"/>
    <col min="13327" max="13327" width="21.140625" style="11" bestFit="1" customWidth="1"/>
    <col min="13328" max="13570" width="9.140625" style="11"/>
    <col min="13571" max="13571" width="20.140625" style="11" customWidth="1"/>
    <col min="13572" max="13572" width="16.140625" style="11" customWidth="1"/>
    <col min="13573" max="13573" width="12" style="11" customWidth="1"/>
    <col min="13574" max="13574" width="8.85546875" style="11" customWidth="1"/>
    <col min="13575" max="13575" width="9.42578125" style="11" customWidth="1"/>
    <col min="13576" max="13576" width="11.5703125" style="11" customWidth="1"/>
    <col min="13577" max="13577" width="12" style="11" bestFit="1" customWidth="1"/>
    <col min="13578" max="13578" width="12.140625" style="11" customWidth="1"/>
    <col min="13579" max="13579" width="20.140625" style="11" bestFit="1" customWidth="1"/>
    <col min="13580" max="13580" width="10.5703125" style="11" bestFit="1" customWidth="1"/>
    <col min="13581" max="13581" width="16.140625" style="11" bestFit="1" customWidth="1"/>
    <col min="13582" max="13582" width="9" style="11" customWidth="1"/>
    <col min="13583" max="13583" width="21.140625" style="11" bestFit="1" customWidth="1"/>
    <col min="13584" max="13826" width="9.140625" style="11"/>
    <col min="13827" max="13827" width="20.140625" style="11" customWidth="1"/>
    <col min="13828" max="13828" width="16.140625" style="11" customWidth="1"/>
    <col min="13829" max="13829" width="12" style="11" customWidth="1"/>
    <col min="13830" max="13830" width="8.85546875" style="11" customWidth="1"/>
    <col min="13831" max="13831" width="9.42578125" style="11" customWidth="1"/>
    <col min="13832" max="13832" width="11.5703125" style="11" customWidth="1"/>
    <col min="13833" max="13833" width="12" style="11" bestFit="1" customWidth="1"/>
    <col min="13834" max="13834" width="12.140625" style="11" customWidth="1"/>
    <col min="13835" max="13835" width="20.140625" style="11" bestFit="1" customWidth="1"/>
    <col min="13836" max="13836" width="10.5703125" style="11" bestFit="1" customWidth="1"/>
    <col min="13837" max="13837" width="16.140625" style="11" bestFit="1" customWidth="1"/>
    <col min="13838" max="13838" width="9" style="11" customWidth="1"/>
    <col min="13839" max="13839" width="21.140625" style="11" bestFit="1" customWidth="1"/>
    <col min="13840" max="14082" width="9.140625" style="11"/>
    <col min="14083" max="14083" width="20.140625" style="11" customWidth="1"/>
    <col min="14084" max="14084" width="16.140625" style="11" customWidth="1"/>
    <col min="14085" max="14085" width="12" style="11" customWidth="1"/>
    <col min="14086" max="14086" width="8.85546875" style="11" customWidth="1"/>
    <col min="14087" max="14087" width="9.42578125" style="11" customWidth="1"/>
    <col min="14088" max="14088" width="11.5703125" style="11" customWidth="1"/>
    <col min="14089" max="14089" width="12" style="11" bestFit="1" customWidth="1"/>
    <col min="14090" max="14090" width="12.140625" style="11" customWidth="1"/>
    <col min="14091" max="14091" width="20.140625" style="11" bestFit="1" customWidth="1"/>
    <col min="14092" max="14092" width="10.5703125" style="11" bestFit="1" customWidth="1"/>
    <col min="14093" max="14093" width="16.140625" style="11" bestFit="1" customWidth="1"/>
    <col min="14094" max="14094" width="9" style="11" customWidth="1"/>
    <col min="14095" max="14095" width="21.140625" style="11" bestFit="1" customWidth="1"/>
    <col min="14096" max="14338" width="9.140625" style="11"/>
    <col min="14339" max="14339" width="20.140625" style="11" customWidth="1"/>
    <col min="14340" max="14340" width="16.140625" style="11" customWidth="1"/>
    <col min="14341" max="14341" width="12" style="11" customWidth="1"/>
    <col min="14342" max="14342" width="8.85546875" style="11" customWidth="1"/>
    <col min="14343" max="14343" width="9.42578125" style="11" customWidth="1"/>
    <col min="14344" max="14344" width="11.5703125" style="11" customWidth="1"/>
    <col min="14345" max="14345" width="12" style="11" bestFit="1" customWidth="1"/>
    <col min="14346" max="14346" width="12.140625" style="11" customWidth="1"/>
    <col min="14347" max="14347" width="20.140625" style="11" bestFit="1" customWidth="1"/>
    <col min="14348" max="14348" width="10.5703125" style="11" bestFit="1" customWidth="1"/>
    <col min="14349" max="14349" width="16.140625" style="11" bestFit="1" customWidth="1"/>
    <col min="14350" max="14350" width="9" style="11" customWidth="1"/>
    <col min="14351" max="14351" width="21.140625" style="11" bestFit="1" customWidth="1"/>
    <col min="14352" max="14594" width="9.140625" style="11"/>
    <col min="14595" max="14595" width="20.140625" style="11" customWidth="1"/>
    <col min="14596" max="14596" width="16.140625" style="11" customWidth="1"/>
    <col min="14597" max="14597" width="12" style="11" customWidth="1"/>
    <col min="14598" max="14598" width="8.85546875" style="11" customWidth="1"/>
    <col min="14599" max="14599" width="9.42578125" style="11" customWidth="1"/>
    <col min="14600" max="14600" width="11.5703125" style="11" customWidth="1"/>
    <col min="14601" max="14601" width="12" style="11" bestFit="1" customWidth="1"/>
    <col min="14602" max="14602" width="12.140625" style="11" customWidth="1"/>
    <col min="14603" max="14603" width="20.140625" style="11" bestFit="1" customWidth="1"/>
    <col min="14604" max="14604" width="10.5703125" style="11" bestFit="1" customWidth="1"/>
    <col min="14605" max="14605" width="16.140625" style="11" bestFit="1" customWidth="1"/>
    <col min="14606" max="14606" width="9" style="11" customWidth="1"/>
    <col min="14607" max="14607" width="21.140625" style="11" bestFit="1" customWidth="1"/>
    <col min="14608" max="14850" width="9.140625" style="11"/>
    <col min="14851" max="14851" width="20.140625" style="11" customWidth="1"/>
    <col min="14852" max="14852" width="16.140625" style="11" customWidth="1"/>
    <col min="14853" max="14853" width="12" style="11" customWidth="1"/>
    <col min="14854" max="14854" width="8.85546875" style="11" customWidth="1"/>
    <col min="14855" max="14855" width="9.42578125" style="11" customWidth="1"/>
    <col min="14856" max="14856" width="11.5703125" style="11" customWidth="1"/>
    <col min="14857" max="14857" width="12" style="11" bestFit="1" customWidth="1"/>
    <col min="14858" max="14858" width="12.140625" style="11" customWidth="1"/>
    <col min="14859" max="14859" width="20.140625" style="11" bestFit="1" customWidth="1"/>
    <col min="14860" max="14860" width="10.5703125" style="11" bestFit="1" customWidth="1"/>
    <col min="14861" max="14861" width="16.140625" style="11" bestFit="1" customWidth="1"/>
    <col min="14862" max="14862" width="9" style="11" customWidth="1"/>
    <col min="14863" max="14863" width="21.140625" style="11" bestFit="1" customWidth="1"/>
    <col min="14864" max="15106" width="9.140625" style="11"/>
    <col min="15107" max="15107" width="20.140625" style="11" customWidth="1"/>
    <col min="15108" max="15108" width="16.140625" style="11" customWidth="1"/>
    <col min="15109" max="15109" width="12" style="11" customWidth="1"/>
    <col min="15110" max="15110" width="8.85546875" style="11" customWidth="1"/>
    <col min="15111" max="15111" width="9.42578125" style="11" customWidth="1"/>
    <col min="15112" max="15112" width="11.5703125" style="11" customWidth="1"/>
    <col min="15113" max="15113" width="12" style="11" bestFit="1" customWidth="1"/>
    <col min="15114" max="15114" width="12.140625" style="11" customWidth="1"/>
    <col min="15115" max="15115" width="20.140625" style="11" bestFit="1" customWidth="1"/>
    <col min="15116" max="15116" width="10.5703125" style="11" bestFit="1" customWidth="1"/>
    <col min="15117" max="15117" width="16.140625" style="11" bestFit="1" customWidth="1"/>
    <col min="15118" max="15118" width="9" style="11" customWidth="1"/>
    <col min="15119" max="15119" width="21.140625" style="11" bestFit="1" customWidth="1"/>
    <col min="15120" max="15362" width="9.140625" style="11"/>
    <col min="15363" max="15363" width="20.140625" style="11" customWidth="1"/>
    <col min="15364" max="15364" width="16.140625" style="11" customWidth="1"/>
    <col min="15365" max="15365" width="12" style="11" customWidth="1"/>
    <col min="15366" max="15366" width="8.85546875" style="11" customWidth="1"/>
    <col min="15367" max="15367" width="9.42578125" style="11" customWidth="1"/>
    <col min="15368" max="15368" width="11.5703125" style="11" customWidth="1"/>
    <col min="15369" max="15369" width="12" style="11" bestFit="1" customWidth="1"/>
    <col min="15370" max="15370" width="12.140625" style="11" customWidth="1"/>
    <col min="15371" max="15371" width="20.140625" style="11" bestFit="1" customWidth="1"/>
    <col min="15372" max="15372" width="10.5703125" style="11" bestFit="1" customWidth="1"/>
    <col min="15373" max="15373" width="16.140625" style="11" bestFit="1" customWidth="1"/>
    <col min="15374" max="15374" width="9" style="11" customWidth="1"/>
    <col min="15375" max="15375" width="21.140625" style="11" bestFit="1" customWidth="1"/>
    <col min="15376" max="15618" width="9.140625" style="11"/>
    <col min="15619" max="15619" width="20.140625" style="11" customWidth="1"/>
    <col min="15620" max="15620" width="16.140625" style="11" customWidth="1"/>
    <col min="15621" max="15621" width="12" style="11" customWidth="1"/>
    <col min="15622" max="15622" width="8.85546875" style="11" customWidth="1"/>
    <col min="15623" max="15623" width="9.42578125" style="11" customWidth="1"/>
    <col min="15624" max="15624" width="11.5703125" style="11" customWidth="1"/>
    <col min="15625" max="15625" width="12" style="11" bestFit="1" customWidth="1"/>
    <col min="15626" max="15626" width="12.140625" style="11" customWidth="1"/>
    <col min="15627" max="15627" width="20.140625" style="11" bestFit="1" customWidth="1"/>
    <col min="15628" max="15628" width="10.5703125" style="11" bestFit="1" customWidth="1"/>
    <col min="15629" max="15629" width="16.140625" style="11" bestFit="1" customWidth="1"/>
    <col min="15630" max="15630" width="9" style="11" customWidth="1"/>
    <col min="15631" max="15631" width="21.140625" style="11" bestFit="1" customWidth="1"/>
    <col min="15632" max="15874" width="9.140625" style="11"/>
    <col min="15875" max="15875" width="20.140625" style="11" customWidth="1"/>
    <col min="15876" max="15876" width="16.140625" style="11" customWidth="1"/>
    <col min="15877" max="15877" width="12" style="11" customWidth="1"/>
    <col min="15878" max="15878" width="8.85546875" style="11" customWidth="1"/>
    <col min="15879" max="15879" width="9.42578125" style="11" customWidth="1"/>
    <col min="15880" max="15880" width="11.5703125" style="11" customWidth="1"/>
    <col min="15881" max="15881" width="12" style="11" bestFit="1" customWidth="1"/>
    <col min="15882" max="15882" width="12.140625" style="11" customWidth="1"/>
    <col min="15883" max="15883" width="20.140625" style="11" bestFit="1" customWidth="1"/>
    <col min="15884" max="15884" width="10.5703125" style="11" bestFit="1" customWidth="1"/>
    <col min="15885" max="15885" width="16.140625" style="11" bestFit="1" customWidth="1"/>
    <col min="15886" max="15886" width="9" style="11" customWidth="1"/>
    <col min="15887" max="15887" width="21.140625" style="11" bestFit="1" customWidth="1"/>
    <col min="15888" max="16130" width="9.140625" style="11"/>
    <col min="16131" max="16131" width="20.140625" style="11" customWidth="1"/>
    <col min="16132" max="16132" width="16.140625" style="11" customWidth="1"/>
    <col min="16133" max="16133" width="12" style="11" customWidth="1"/>
    <col min="16134" max="16134" width="8.85546875" style="11" customWidth="1"/>
    <col min="16135" max="16135" width="9.42578125" style="11" customWidth="1"/>
    <col min="16136" max="16136" width="11.5703125" style="11" customWidth="1"/>
    <col min="16137" max="16137" width="12" style="11" bestFit="1" customWidth="1"/>
    <col min="16138" max="16138" width="12.140625" style="11" customWidth="1"/>
    <col min="16139" max="16139" width="20.140625" style="11" bestFit="1" customWidth="1"/>
    <col min="16140" max="16140" width="10.5703125" style="11" bestFit="1" customWidth="1"/>
    <col min="16141" max="16141" width="16.140625" style="11" bestFit="1" customWidth="1"/>
    <col min="16142" max="16142" width="9" style="11" customWidth="1"/>
    <col min="16143" max="16143" width="21.140625" style="11" bestFit="1" customWidth="1"/>
    <col min="16144" max="16384" width="9.140625" style="11"/>
  </cols>
  <sheetData>
    <row r="1" spans="1:15">
      <c r="A1" s="20" t="s">
        <v>93</v>
      </c>
      <c r="F1" s="11">
        <f>SUMIF($A$8:$A$33,E1,$D$8:$D$33)</f>
        <v>0</v>
      </c>
      <c r="L1" s="33"/>
    </row>
    <row r="2" spans="1:15">
      <c r="L2" s="33"/>
    </row>
    <row r="3" spans="1:15">
      <c r="A3" s="20" t="s">
        <v>94</v>
      </c>
      <c r="O3" s="20"/>
    </row>
    <row r="4" spans="1:15">
      <c r="A4" s="11" t="s">
        <v>95</v>
      </c>
      <c r="B4" s="13">
        <v>200</v>
      </c>
      <c r="M4" s="20"/>
    </row>
    <row r="5" spans="1:15">
      <c r="M5" s="20"/>
    </row>
    <row r="6" spans="1:15">
      <c r="A6" s="20" t="s">
        <v>96</v>
      </c>
      <c r="H6" s="20" t="s">
        <v>97</v>
      </c>
      <c r="I6" s="20"/>
      <c r="J6" s="20"/>
    </row>
    <row r="7" spans="1:15">
      <c r="A7" s="23" t="s">
        <v>98</v>
      </c>
      <c r="B7" s="23" t="s">
        <v>99</v>
      </c>
      <c r="C7" s="23" t="s">
        <v>100</v>
      </c>
      <c r="D7" s="23" t="s">
        <v>101</v>
      </c>
      <c r="F7" s="23" t="s">
        <v>102</v>
      </c>
      <c r="H7" s="11" t="s">
        <v>103</v>
      </c>
    </row>
    <row r="8" spans="1:15">
      <c r="A8" s="11">
        <v>1</v>
      </c>
      <c r="B8" s="11">
        <v>2</v>
      </c>
      <c r="C8" s="13">
        <v>5</v>
      </c>
      <c r="D8" s="46">
        <v>0</v>
      </c>
      <c r="E8" s="36" t="s">
        <v>278</v>
      </c>
      <c r="F8" s="11">
        <f>$B$4</f>
        <v>200</v>
      </c>
      <c r="H8" s="23" t="s">
        <v>104</v>
      </c>
      <c r="I8" s="11" t="s">
        <v>231</v>
      </c>
      <c r="J8" s="11" t="s">
        <v>232</v>
      </c>
      <c r="K8" s="23" t="s">
        <v>105</v>
      </c>
      <c r="L8" s="23"/>
      <c r="M8" s="23" t="s">
        <v>106</v>
      </c>
    </row>
    <row r="9" spans="1:15">
      <c r="A9" s="11">
        <v>1</v>
      </c>
      <c r="B9" s="11">
        <v>3</v>
      </c>
      <c r="C9" s="13">
        <v>3</v>
      </c>
      <c r="D9" s="46">
        <v>180</v>
      </c>
      <c r="E9" s="29"/>
      <c r="F9" s="11">
        <f t="shared" ref="F9:F33" si="0">$B$4</f>
        <v>200</v>
      </c>
      <c r="H9" s="11">
        <v>1</v>
      </c>
      <c r="I9" s="11">
        <f>SUMIF($A$8:$A$33,H9,$D$8:$D$33)</f>
        <v>180</v>
      </c>
      <c r="J9" s="11">
        <f>SUMIF($B$8:$B$33,H9,$D$8:$D$33)</f>
        <v>0</v>
      </c>
      <c r="K9" s="11">
        <f>I9-J9</f>
        <v>180</v>
      </c>
      <c r="L9" s="36" t="s">
        <v>278</v>
      </c>
      <c r="M9" s="13">
        <v>200</v>
      </c>
    </row>
    <row r="10" spans="1:15">
      <c r="A10" s="11">
        <v>1</v>
      </c>
      <c r="B10" s="11">
        <v>4</v>
      </c>
      <c r="C10" s="13">
        <v>5</v>
      </c>
      <c r="D10" s="46">
        <v>0</v>
      </c>
      <c r="E10" s="29"/>
      <c r="F10" s="11">
        <f t="shared" si="0"/>
        <v>200</v>
      </c>
      <c r="H10" s="11">
        <v>2</v>
      </c>
      <c r="I10" s="11">
        <f t="shared" ref="I10:I11" si="1">SUMIF($A$8:$A$33,H10,$D$8:$D$33)</f>
        <v>300</v>
      </c>
      <c r="J10" s="11">
        <f t="shared" ref="J10" si="2">SUMIF($B$8:$B$33,H10,$D$8:$D$33)</f>
        <v>0</v>
      </c>
      <c r="K10" s="11">
        <f t="shared" ref="K10:K11" si="3">I10-J10</f>
        <v>300</v>
      </c>
      <c r="L10" s="36" t="s">
        <v>278</v>
      </c>
      <c r="M10" s="13">
        <v>300</v>
      </c>
    </row>
    <row r="11" spans="1:15">
      <c r="A11" s="11">
        <v>1</v>
      </c>
      <c r="B11" s="11">
        <v>5</v>
      </c>
      <c r="C11" s="13">
        <v>5</v>
      </c>
      <c r="D11" s="46">
        <v>0</v>
      </c>
      <c r="E11" s="29"/>
      <c r="F11" s="11">
        <f t="shared" si="0"/>
        <v>200</v>
      </c>
      <c r="H11" s="11">
        <v>3</v>
      </c>
      <c r="I11" s="11">
        <f t="shared" si="1"/>
        <v>280</v>
      </c>
      <c r="J11" s="11">
        <f>SUMIF($B$8:$B$33,H11,$D$8:$D$33)</f>
        <v>180</v>
      </c>
      <c r="K11" s="11">
        <f t="shared" si="3"/>
        <v>100</v>
      </c>
      <c r="L11" s="36" t="s">
        <v>278</v>
      </c>
      <c r="M11" s="13">
        <v>100</v>
      </c>
    </row>
    <row r="12" spans="1:15">
      <c r="A12" s="11">
        <v>1</v>
      </c>
      <c r="B12" s="11">
        <v>6</v>
      </c>
      <c r="C12" s="13">
        <v>20</v>
      </c>
      <c r="D12" s="46">
        <v>0</v>
      </c>
      <c r="E12" s="29"/>
      <c r="F12" s="11">
        <f t="shared" si="0"/>
        <v>200</v>
      </c>
    </row>
    <row r="13" spans="1:15">
      <c r="A13" s="11">
        <v>1</v>
      </c>
      <c r="B13" s="11">
        <v>7</v>
      </c>
      <c r="C13" s="13">
        <v>20</v>
      </c>
      <c r="D13" s="46">
        <v>0</v>
      </c>
      <c r="E13" s="29"/>
      <c r="F13" s="11">
        <f t="shared" si="0"/>
        <v>200</v>
      </c>
      <c r="H13" s="11" t="s">
        <v>107</v>
      </c>
    </row>
    <row r="14" spans="1:15">
      <c r="A14" s="11">
        <v>2</v>
      </c>
      <c r="B14" s="11">
        <v>1</v>
      </c>
      <c r="C14" s="13">
        <v>9</v>
      </c>
      <c r="D14" s="46">
        <v>0</v>
      </c>
      <c r="E14" s="29"/>
      <c r="F14" s="11">
        <f t="shared" si="0"/>
        <v>200</v>
      </c>
      <c r="H14" s="23" t="s">
        <v>104</v>
      </c>
      <c r="K14" s="23" t="s">
        <v>108</v>
      </c>
      <c r="L14" s="23"/>
      <c r="M14" s="23" t="s">
        <v>109</v>
      </c>
    </row>
    <row r="15" spans="1:15">
      <c r="A15" s="11">
        <v>2</v>
      </c>
      <c r="B15" s="11">
        <v>3</v>
      </c>
      <c r="C15" s="13">
        <v>9</v>
      </c>
      <c r="D15" s="46">
        <v>0</v>
      </c>
      <c r="E15" s="29"/>
      <c r="F15" s="11">
        <f t="shared" si="0"/>
        <v>200</v>
      </c>
      <c r="H15" s="11">
        <v>4</v>
      </c>
      <c r="I15" s="11">
        <f>SUMIF($A$8:$A$33,H15,$D$8:$D$33)</f>
        <v>200</v>
      </c>
      <c r="J15" s="11">
        <f>SUMIF($B$8:$B$33,H15,$D$8:$D$33)</f>
        <v>200</v>
      </c>
      <c r="K15" s="28">
        <f>I15-J15</f>
        <v>0</v>
      </c>
      <c r="L15" s="36" t="s">
        <v>354</v>
      </c>
      <c r="M15" s="11">
        <v>0</v>
      </c>
    </row>
    <row r="16" spans="1:15">
      <c r="A16" s="11">
        <v>2</v>
      </c>
      <c r="B16" s="11">
        <v>4</v>
      </c>
      <c r="C16" s="13">
        <v>1</v>
      </c>
      <c r="D16" s="46">
        <v>120</v>
      </c>
      <c r="E16" s="29"/>
      <c r="F16" s="11">
        <f t="shared" si="0"/>
        <v>200</v>
      </c>
      <c r="H16" s="11">
        <v>5</v>
      </c>
      <c r="I16" s="11">
        <f>SUMIF($A$8:$A$33,H16,$D$8:$D$33)</f>
        <v>200</v>
      </c>
      <c r="J16" s="11">
        <f>SUMIF($B$8:$B$33,H16,$D$8:$D$33)</f>
        <v>200</v>
      </c>
      <c r="K16" s="28">
        <f>I16-J16</f>
        <v>0</v>
      </c>
      <c r="L16" s="36" t="s">
        <v>354</v>
      </c>
      <c r="M16" s="11">
        <v>0</v>
      </c>
    </row>
    <row r="17" spans="1:13">
      <c r="A17" s="11">
        <v>2</v>
      </c>
      <c r="B17" s="11">
        <v>5</v>
      </c>
      <c r="C17" s="13">
        <v>1</v>
      </c>
      <c r="D17" s="46">
        <v>0</v>
      </c>
      <c r="E17" s="29"/>
      <c r="F17" s="11">
        <f t="shared" si="0"/>
        <v>200</v>
      </c>
    </row>
    <row r="18" spans="1:13">
      <c r="A18" s="11">
        <v>2</v>
      </c>
      <c r="B18" s="11">
        <v>6</v>
      </c>
      <c r="C18" s="13">
        <v>8</v>
      </c>
      <c r="D18" s="46">
        <v>180</v>
      </c>
      <c r="E18" s="29"/>
      <c r="F18" s="11">
        <f t="shared" si="0"/>
        <v>200</v>
      </c>
      <c r="H18" s="11" t="s">
        <v>110</v>
      </c>
    </row>
    <row r="19" spans="1:13">
      <c r="A19" s="11">
        <v>2</v>
      </c>
      <c r="B19" s="11">
        <v>7</v>
      </c>
      <c r="C19" s="13">
        <v>15</v>
      </c>
      <c r="D19" s="46">
        <v>0</v>
      </c>
      <c r="E19" s="29"/>
      <c r="F19" s="11">
        <f t="shared" si="0"/>
        <v>200</v>
      </c>
      <c r="H19" s="23" t="s">
        <v>104</v>
      </c>
      <c r="K19" s="23" t="s">
        <v>111</v>
      </c>
      <c r="L19" s="23"/>
      <c r="M19" s="23" t="s">
        <v>112</v>
      </c>
    </row>
    <row r="20" spans="1:13">
      <c r="A20" s="11">
        <v>3</v>
      </c>
      <c r="B20" s="11">
        <v>1</v>
      </c>
      <c r="C20" s="13">
        <v>0.4</v>
      </c>
      <c r="D20" s="46">
        <v>0</v>
      </c>
      <c r="E20" s="29"/>
      <c r="F20" s="11">
        <f t="shared" si="0"/>
        <v>200</v>
      </c>
      <c r="H20" s="11">
        <v>6</v>
      </c>
      <c r="I20" s="11">
        <f>SUMIF($A$8:$A$33,H20,$D$8:$D$33)</f>
        <v>180</v>
      </c>
      <c r="J20" s="11">
        <f>SUMIF($B$8:$B$33,H20,$D$8:$D$33)</f>
        <v>580</v>
      </c>
      <c r="K20" s="11">
        <f>J20-I20</f>
        <v>400</v>
      </c>
      <c r="L20" s="36" t="s">
        <v>220</v>
      </c>
      <c r="M20" s="13">
        <v>400</v>
      </c>
    </row>
    <row r="21" spans="1:13">
      <c r="A21" s="11">
        <v>3</v>
      </c>
      <c r="B21" s="11">
        <v>2</v>
      </c>
      <c r="C21" s="13">
        <v>8</v>
      </c>
      <c r="D21" s="46">
        <v>0</v>
      </c>
      <c r="E21" s="29"/>
      <c r="F21" s="11">
        <f t="shared" si="0"/>
        <v>200</v>
      </c>
      <c r="H21" s="11">
        <v>7</v>
      </c>
      <c r="I21" s="11">
        <f>SUMIF($A$8:$A$33,H21,$D$8:$D$33)</f>
        <v>0</v>
      </c>
      <c r="J21" s="11">
        <f>SUMIF($B$8:$B$33,H21,$D$8:$D$33)</f>
        <v>180</v>
      </c>
      <c r="K21" s="11">
        <f>J21-I21</f>
        <v>180</v>
      </c>
      <c r="L21" s="29"/>
      <c r="M21" s="13">
        <v>180</v>
      </c>
    </row>
    <row r="22" spans="1:13">
      <c r="A22" s="11">
        <v>3</v>
      </c>
      <c r="B22" s="11">
        <v>4</v>
      </c>
      <c r="C22" s="13">
        <v>1</v>
      </c>
      <c r="D22" s="46">
        <v>80</v>
      </c>
      <c r="E22" s="29"/>
      <c r="F22" s="11">
        <f t="shared" si="0"/>
        <v>200</v>
      </c>
    </row>
    <row r="23" spans="1:13">
      <c r="A23" s="11">
        <v>3</v>
      </c>
      <c r="B23" s="11">
        <v>5</v>
      </c>
      <c r="C23" s="13">
        <v>0.5</v>
      </c>
      <c r="D23" s="46">
        <v>200</v>
      </c>
      <c r="E23" s="29"/>
      <c r="F23" s="11">
        <f t="shared" si="0"/>
        <v>200</v>
      </c>
    </row>
    <row r="24" spans="1:13">
      <c r="A24" s="11">
        <v>3</v>
      </c>
      <c r="B24" s="11">
        <v>6</v>
      </c>
      <c r="C24" s="13">
        <v>10</v>
      </c>
      <c r="D24" s="46">
        <v>0</v>
      </c>
      <c r="E24" s="29"/>
      <c r="F24" s="11">
        <f t="shared" si="0"/>
        <v>200</v>
      </c>
    </row>
    <row r="25" spans="1:13">
      <c r="A25" s="11">
        <v>3</v>
      </c>
      <c r="B25" s="11">
        <v>7</v>
      </c>
      <c r="C25" s="13">
        <v>12</v>
      </c>
      <c r="D25" s="46">
        <v>0</v>
      </c>
      <c r="E25" s="29"/>
      <c r="F25" s="11">
        <f t="shared" si="0"/>
        <v>200</v>
      </c>
    </row>
    <row r="26" spans="1:13">
      <c r="A26" s="11">
        <v>4</v>
      </c>
      <c r="B26" s="11">
        <v>5</v>
      </c>
      <c r="C26" s="13">
        <v>1.2</v>
      </c>
      <c r="D26" s="46">
        <v>0</v>
      </c>
      <c r="E26" s="29"/>
      <c r="F26" s="11">
        <f t="shared" si="0"/>
        <v>200</v>
      </c>
    </row>
    <row r="27" spans="1:13">
      <c r="A27" s="11">
        <v>4</v>
      </c>
      <c r="B27" s="11">
        <v>6</v>
      </c>
      <c r="C27" s="13">
        <v>2</v>
      </c>
      <c r="D27" s="46">
        <v>200</v>
      </c>
      <c r="E27" s="29"/>
      <c r="F27" s="11">
        <f t="shared" si="0"/>
        <v>200</v>
      </c>
    </row>
    <row r="28" spans="1:13">
      <c r="A28" s="11">
        <v>4</v>
      </c>
      <c r="B28" s="11">
        <v>7</v>
      </c>
      <c r="C28" s="13">
        <v>12</v>
      </c>
      <c r="D28" s="46">
        <v>0</v>
      </c>
      <c r="E28" s="29"/>
      <c r="F28" s="11">
        <f t="shared" si="0"/>
        <v>200</v>
      </c>
    </row>
    <row r="29" spans="1:13">
      <c r="A29" s="11">
        <v>5</v>
      </c>
      <c r="B29" s="11">
        <v>4</v>
      </c>
      <c r="C29" s="13">
        <v>0.8</v>
      </c>
      <c r="D29" s="46">
        <v>0</v>
      </c>
      <c r="E29" s="29"/>
      <c r="F29" s="11">
        <f t="shared" si="0"/>
        <v>200</v>
      </c>
    </row>
    <row r="30" spans="1:13">
      <c r="A30" s="11">
        <v>5</v>
      </c>
      <c r="B30" s="11">
        <v>6</v>
      </c>
      <c r="C30" s="13">
        <v>2</v>
      </c>
      <c r="D30" s="46">
        <v>200</v>
      </c>
      <c r="E30" s="29"/>
      <c r="F30" s="11">
        <f t="shared" si="0"/>
        <v>200</v>
      </c>
    </row>
    <row r="31" spans="1:13">
      <c r="A31" s="11">
        <v>5</v>
      </c>
      <c r="B31" s="11">
        <v>7</v>
      </c>
      <c r="C31" s="13">
        <v>12</v>
      </c>
      <c r="D31" s="46">
        <v>0</v>
      </c>
      <c r="E31" s="29"/>
      <c r="F31" s="11">
        <f t="shared" si="0"/>
        <v>200</v>
      </c>
    </row>
    <row r="32" spans="1:13">
      <c r="A32" s="11">
        <v>6</v>
      </c>
      <c r="B32" s="11">
        <v>7</v>
      </c>
      <c r="C32" s="13">
        <v>1</v>
      </c>
      <c r="D32" s="46">
        <v>180</v>
      </c>
      <c r="E32" s="29"/>
      <c r="F32" s="11">
        <f t="shared" si="0"/>
        <v>200</v>
      </c>
    </row>
    <row r="33" spans="1:6">
      <c r="A33" s="11">
        <v>7</v>
      </c>
      <c r="B33" s="11">
        <v>6</v>
      </c>
      <c r="C33" s="13">
        <v>7</v>
      </c>
      <c r="D33" s="46">
        <v>0</v>
      </c>
      <c r="E33" s="29"/>
      <c r="F33" s="11">
        <f t="shared" si="0"/>
        <v>200</v>
      </c>
    </row>
    <row r="35" spans="1:6">
      <c r="A35" s="20" t="s">
        <v>91</v>
      </c>
    </row>
    <row r="36" spans="1:6">
      <c r="A36" s="11" t="s">
        <v>92</v>
      </c>
      <c r="B36" s="102">
        <f>SUMPRODUCT(C8:C33,D8:D33)</f>
        <v>3260</v>
      </c>
    </row>
    <row r="38" spans="1:6">
      <c r="A38" s="2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8E38-3B77-4A74-A10C-2B5B49E38902}">
  <dimension ref="A1:O21"/>
  <sheetViews>
    <sheetView workbookViewId="0">
      <selection activeCell="D4" sqref="D4:E4"/>
    </sheetView>
  </sheetViews>
  <sheetFormatPr defaultRowHeight="15"/>
  <cols>
    <col min="1" max="1" width="14" bestFit="1" customWidth="1"/>
    <col min="2" max="2" width="14.28515625" bestFit="1" customWidth="1"/>
    <col min="3" max="3" width="11.5703125" bestFit="1" customWidth="1"/>
    <col min="4" max="4" width="9.5703125" bestFit="1" customWidth="1"/>
    <col min="5" max="5" width="7" bestFit="1" customWidth="1"/>
    <col min="6" max="6" width="4" customWidth="1"/>
    <col min="7" max="7" width="9.140625" customWidth="1"/>
    <col min="11" max="11" width="16.28515625" bestFit="1" customWidth="1"/>
    <col min="14" max="14" width="11.28515625" bestFit="1" customWidth="1"/>
  </cols>
  <sheetData>
    <row r="1" spans="1:15" ht="15.75">
      <c r="A1" s="113" t="s">
        <v>589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5"/>
    </row>
    <row r="2" spans="1:15">
      <c r="A2" s="116"/>
      <c r="O2" s="117"/>
    </row>
    <row r="3" spans="1:15">
      <c r="A3" s="118" t="s">
        <v>580</v>
      </c>
      <c r="H3" s="1"/>
      <c r="I3" s="1" t="s">
        <v>583</v>
      </c>
      <c r="O3" s="117"/>
    </row>
    <row r="4" spans="1:15">
      <c r="A4" s="116"/>
      <c r="B4" t="s">
        <v>578</v>
      </c>
      <c r="C4" t="s">
        <v>223</v>
      </c>
      <c r="D4" t="s">
        <v>579</v>
      </c>
      <c r="E4" t="s">
        <v>225</v>
      </c>
      <c r="I4" s="2" t="s">
        <v>585</v>
      </c>
      <c r="J4" s="2" t="s">
        <v>231</v>
      </c>
      <c r="K4" s="107" t="s">
        <v>232</v>
      </c>
      <c r="L4" t="s">
        <v>586</v>
      </c>
      <c r="N4" t="s">
        <v>587</v>
      </c>
      <c r="O4" s="117"/>
    </row>
    <row r="5" spans="1:15">
      <c r="A5" s="116"/>
      <c r="B5">
        <v>1</v>
      </c>
      <c r="C5">
        <v>2</v>
      </c>
      <c r="D5" s="108">
        <v>24.5</v>
      </c>
      <c r="E5" s="52">
        <v>150000</v>
      </c>
      <c r="F5" s="15" t="s">
        <v>278</v>
      </c>
      <c r="G5" s="122">
        <v>150000</v>
      </c>
      <c r="I5" s="2">
        <v>1</v>
      </c>
      <c r="J5" s="2">
        <f>SUMIF($B$5:$B$14,$I5,$E$5:$E$14)</f>
        <v>290000</v>
      </c>
      <c r="K5" s="2">
        <f>SUMIF($C$5:$C$14,$I5,$E$5:$E$14)</f>
        <v>0</v>
      </c>
      <c r="L5">
        <f>J5-K5</f>
        <v>290000</v>
      </c>
      <c r="M5" s="2" t="s">
        <v>354</v>
      </c>
      <c r="N5" s="75">
        <v>290000</v>
      </c>
      <c r="O5" s="117"/>
    </row>
    <row r="6" spans="1:15">
      <c r="A6" s="116"/>
      <c r="B6">
        <v>1</v>
      </c>
      <c r="C6">
        <v>3</v>
      </c>
      <c r="D6" s="108">
        <v>26</v>
      </c>
      <c r="E6" s="52">
        <v>140000</v>
      </c>
      <c r="F6" s="15" t="s">
        <v>278</v>
      </c>
      <c r="G6" s="122">
        <v>150000</v>
      </c>
      <c r="I6" s="1"/>
      <c r="J6" s="2"/>
      <c r="K6" s="109"/>
      <c r="O6" s="117"/>
    </row>
    <row r="7" spans="1:15">
      <c r="A7" s="116"/>
      <c r="B7">
        <v>2</v>
      </c>
      <c r="C7">
        <v>4</v>
      </c>
      <c r="D7" s="108">
        <v>9.6</v>
      </c>
      <c r="E7" s="52">
        <v>90000</v>
      </c>
      <c r="F7" s="28"/>
      <c r="H7" s="1"/>
      <c r="I7" s="1" t="s">
        <v>584</v>
      </c>
      <c r="J7" s="2"/>
      <c r="K7" s="109"/>
      <c r="O7" s="117"/>
    </row>
    <row r="8" spans="1:15">
      <c r="A8" s="116"/>
      <c r="B8">
        <v>2</v>
      </c>
      <c r="C8">
        <v>5</v>
      </c>
      <c r="D8" s="108">
        <v>7</v>
      </c>
      <c r="E8" s="52">
        <v>60000</v>
      </c>
      <c r="F8" s="28"/>
      <c r="I8" s="2" t="s">
        <v>585</v>
      </c>
      <c r="J8" s="2" t="s">
        <v>231</v>
      </c>
      <c r="K8" s="107" t="s">
        <v>232</v>
      </c>
      <c r="L8" t="s">
        <v>586</v>
      </c>
      <c r="N8" t="s">
        <v>587</v>
      </c>
      <c r="O8" s="117"/>
    </row>
    <row r="9" spans="1:15">
      <c r="A9" s="116"/>
      <c r="B9">
        <v>2</v>
      </c>
      <c r="C9">
        <v>6</v>
      </c>
      <c r="D9" s="108">
        <v>15.2</v>
      </c>
      <c r="E9" s="52">
        <v>0</v>
      </c>
      <c r="F9" s="28"/>
      <c r="I9">
        <v>2</v>
      </c>
      <c r="J9" s="2">
        <f>SUMIF($B$5:$B$14,$I9,$E$5:$E$14)</f>
        <v>150000</v>
      </c>
      <c r="K9" s="2">
        <f>SUMIF($C$5:$C$14,$I9,$E$5:$E$14)</f>
        <v>150000</v>
      </c>
      <c r="L9">
        <f>J9-K9</f>
        <v>0</v>
      </c>
      <c r="M9" s="2" t="s">
        <v>354</v>
      </c>
      <c r="N9" s="75">
        <v>0</v>
      </c>
      <c r="O9" s="117"/>
    </row>
    <row r="10" spans="1:15">
      <c r="A10" s="116"/>
      <c r="B10">
        <v>2</v>
      </c>
      <c r="C10">
        <v>7</v>
      </c>
      <c r="D10" s="108">
        <v>28.5</v>
      </c>
      <c r="E10" s="52">
        <v>0</v>
      </c>
      <c r="F10" s="28"/>
      <c r="I10">
        <v>3</v>
      </c>
      <c r="J10" s="2">
        <f>SUMIF($B$5:$B$14,$I10,$E$5:$E$14)</f>
        <v>140000</v>
      </c>
      <c r="K10" s="2">
        <f>SUMIF($C$5:$C$14,$I10,$E$5:$E$14)</f>
        <v>140000</v>
      </c>
      <c r="L10">
        <f>J10-K10</f>
        <v>0</v>
      </c>
      <c r="M10" s="2" t="s">
        <v>354</v>
      </c>
      <c r="N10" s="75">
        <v>0</v>
      </c>
      <c r="O10" s="117"/>
    </row>
    <row r="11" spans="1:15">
      <c r="A11" s="116"/>
      <c r="B11">
        <v>3</v>
      </c>
      <c r="C11">
        <v>4</v>
      </c>
      <c r="D11" s="108">
        <v>19.5</v>
      </c>
      <c r="E11" s="52">
        <v>0</v>
      </c>
      <c r="F11" s="28"/>
      <c r="J11" s="2"/>
      <c r="K11" s="110"/>
      <c r="O11" s="117"/>
    </row>
    <row r="12" spans="1:15">
      <c r="A12" s="116"/>
      <c r="B12">
        <v>3</v>
      </c>
      <c r="C12">
        <v>5</v>
      </c>
      <c r="D12" s="108">
        <v>13.3</v>
      </c>
      <c r="E12" s="52">
        <v>20000</v>
      </c>
      <c r="F12" s="28"/>
      <c r="I12" s="1" t="s">
        <v>588</v>
      </c>
      <c r="O12" s="117"/>
    </row>
    <row r="13" spans="1:15">
      <c r="A13" s="116"/>
      <c r="B13">
        <v>3</v>
      </c>
      <c r="C13">
        <v>6</v>
      </c>
      <c r="D13" s="108">
        <v>5</v>
      </c>
      <c r="E13" s="52">
        <v>50000</v>
      </c>
      <c r="F13" s="28"/>
      <c r="I13" s="2" t="s">
        <v>585</v>
      </c>
      <c r="J13" s="2" t="s">
        <v>231</v>
      </c>
      <c r="K13" s="107" t="s">
        <v>232</v>
      </c>
      <c r="L13" t="s">
        <v>586</v>
      </c>
      <c r="N13" t="s">
        <v>587</v>
      </c>
      <c r="O13" s="117"/>
    </row>
    <row r="14" spans="1:15">
      <c r="A14" s="116"/>
      <c r="B14">
        <v>3</v>
      </c>
      <c r="C14">
        <v>7</v>
      </c>
      <c r="D14" s="108">
        <v>11.3</v>
      </c>
      <c r="E14" s="52">
        <v>70000</v>
      </c>
      <c r="F14" s="28"/>
      <c r="I14">
        <v>4</v>
      </c>
      <c r="J14" s="2">
        <f>SUMIF($B$5:$B$14,$I14,$E$5:$E$14)</f>
        <v>0</v>
      </c>
      <c r="K14" s="2">
        <f>SUMIF($C$5:$C$14,$I14,$E$5:$E$14)</f>
        <v>90000</v>
      </c>
      <c r="L14">
        <f>J14-K14</f>
        <v>-90000</v>
      </c>
      <c r="M14" s="2" t="s">
        <v>220</v>
      </c>
      <c r="N14" s="111">
        <v>-90000</v>
      </c>
      <c r="O14" s="117"/>
    </row>
    <row r="15" spans="1:15">
      <c r="A15" s="116"/>
      <c r="I15">
        <v>5</v>
      </c>
      <c r="J15" s="2">
        <f t="shared" ref="J15:J17" si="0">SUMIF($B$5:$B$14,$I15,$E$5:$E$14)</f>
        <v>0</v>
      </c>
      <c r="K15" s="2">
        <f t="shared" ref="K15:K16" si="1">SUMIF($C$5:$C$14,$I15,$E$5:$E$14)</f>
        <v>80000</v>
      </c>
      <c r="L15">
        <f t="shared" ref="L15:L17" si="2">J15-K15</f>
        <v>-80000</v>
      </c>
      <c r="M15" s="2" t="s">
        <v>220</v>
      </c>
      <c r="N15" s="111">
        <v>-80000</v>
      </c>
      <c r="O15" s="117"/>
    </row>
    <row r="16" spans="1:15" ht="14.25" customHeight="1">
      <c r="A16" s="118" t="s">
        <v>581</v>
      </c>
      <c r="I16">
        <v>6</v>
      </c>
      <c r="J16" s="2">
        <f>SUMIF($B$5:$B$14,$I16,$E$5:$E$14)</f>
        <v>0</v>
      </c>
      <c r="K16" s="2">
        <f t="shared" si="1"/>
        <v>50000</v>
      </c>
      <c r="L16">
        <f t="shared" si="2"/>
        <v>-50000</v>
      </c>
      <c r="M16" s="2" t="s">
        <v>220</v>
      </c>
      <c r="N16" s="111">
        <v>-50000</v>
      </c>
      <c r="O16" s="117"/>
    </row>
    <row r="17" spans="1:15">
      <c r="A17" s="116" t="s">
        <v>582</v>
      </c>
      <c r="B17" s="121">
        <f>SUMPRODUCT(D5:D14,E5:E14)</f>
        <v>9906000</v>
      </c>
      <c r="I17">
        <v>7</v>
      </c>
      <c r="J17" s="2">
        <f t="shared" si="0"/>
        <v>0</v>
      </c>
      <c r="K17" s="2">
        <f>SUMIF($C$5:$C$14,$I17,$E$5:$E$14)</f>
        <v>70000</v>
      </c>
      <c r="L17">
        <f t="shared" si="2"/>
        <v>-70000</v>
      </c>
      <c r="M17" s="2" t="s">
        <v>220</v>
      </c>
      <c r="N17" s="111">
        <v>-70000</v>
      </c>
      <c r="O17" s="117"/>
    </row>
    <row r="18" spans="1:15">
      <c r="A18" s="119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20"/>
    </row>
    <row r="21" spans="1:15">
      <c r="L21">
        <v>9906000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977B3-D0D2-4DB8-ACAA-07FCA3AB95F4}">
  <dimension ref="A1:J11"/>
  <sheetViews>
    <sheetView workbookViewId="0">
      <selection activeCell="F6" sqref="F6"/>
    </sheetView>
  </sheetViews>
  <sheetFormatPr defaultRowHeight="15"/>
  <sheetData>
    <row r="1" spans="1:10">
      <c r="A1" t="s">
        <v>592</v>
      </c>
      <c r="B1" s="125" t="s">
        <v>312</v>
      </c>
      <c r="C1" s="125" t="s">
        <v>591</v>
      </c>
      <c r="D1" s="125" t="s">
        <v>314</v>
      </c>
      <c r="E1" s="125" t="s">
        <v>315</v>
      </c>
      <c r="F1" s="125" t="s">
        <v>316</v>
      </c>
      <c r="G1" s="125" t="s">
        <v>317</v>
      </c>
    </row>
    <row r="2" spans="1:10">
      <c r="A2" t="s">
        <v>593</v>
      </c>
      <c r="B2" s="52">
        <v>0</v>
      </c>
      <c r="C2" s="52">
        <v>0</v>
      </c>
      <c r="D2" s="52">
        <v>0</v>
      </c>
      <c r="E2" s="52">
        <v>1</v>
      </c>
      <c r="F2" s="52">
        <v>0</v>
      </c>
      <c r="G2" s="52">
        <v>1</v>
      </c>
      <c r="H2">
        <f>SUM(B2:G2)</f>
        <v>2</v>
      </c>
      <c r="I2" s="2"/>
    </row>
    <row r="3" spans="1:10">
      <c r="A3" s="124" t="s">
        <v>312</v>
      </c>
      <c r="B3">
        <v>1</v>
      </c>
      <c r="C3">
        <v>1</v>
      </c>
      <c r="D3">
        <v>0</v>
      </c>
      <c r="E3">
        <v>1</v>
      </c>
      <c r="F3">
        <v>0</v>
      </c>
      <c r="G3">
        <v>0</v>
      </c>
      <c r="H3">
        <f>SUMPRODUCT(B3:G3,$B$2:$G$2)</f>
        <v>1</v>
      </c>
      <c r="I3" s="2" t="s">
        <v>220</v>
      </c>
      <c r="J3" s="75">
        <v>1</v>
      </c>
    </row>
    <row r="4" spans="1:10">
      <c r="A4" s="124" t="s">
        <v>591</v>
      </c>
      <c r="B4">
        <v>1</v>
      </c>
      <c r="C4">
        <v>1</v>
      </c>
      <c r="D4">
        <v>0</v>
      </c>
      <c r="E4">
        <v>1</v>
      </c>
      <c r="F4">
        <v>0</v>
      </c>
      <c r="G4">
        <v>0</v>
      </c>
      <c r="H4">
        <f>SUMPRODUCT(B4:G4,$B$2:$G$2)</f>
        <v>1</v>
      </c>
      <c r="I4" s="2" t="s">
        <v>220</v>
      </c>
      <c r="J4" s="75">
        <v>1</v>
      </c>
    </row>
    <row r="5" spans="1:10">
      <c r="A5" s="124" t="s">
        <v>314</v>
      </c>
      <c r="B5">
        <v>0</v>
      </c>
      <c r="C5">
        <v>0</v>
      </c>
      <c r="D5">
        <v>1</v>
      </c>
      <c r="E5">
        <v>0</v>
      </c>
      <c r="F5">
        <v>1</v>
      </c>
      <c r="G5">
        <v>1</v>
      </c>
      <c r="H5">
        <f t="shared" ref="H5:H8" si="0">SUMPRODUCT(B5:G5,$B$2:$G$2)</f>
        <v>1</v>
      </c>
      <c r="I5" s="2" t="s">
        <v>220</v>
      </c>
      <c r="J5" s="75">
        <v>1</v>
      </c>
    </row>
    <row r="6" spans="1:10">
      <c r="A6" s="124" t="s">
        <v>315</v>
      </c>
      <c r="B6">
        <v>1</v>
      </c>
      <c r="C6">
        <v>1</v>
      </c>
      <c r="D6">
        <v>0</v>
      </c>
      <c r="E6">
        <v>1</v>
      </c>
      <c r="F6">
        <v>1</v>
      </c>
      <c r="G6">
        <v>0</v>
      </c>
      <c r="H6">
        <f t="shared" si="0"/>
        <v>1</v>
      </c>
      <c r="I6" s="2" t="s">
        <v>220</v>
      </c>
      <c r="J6" s="75">
        <v>1</v>
      </c>
    </row>
    <row r="7" spans="1:10">
      <c r="A7" s="124" t="s">
        <v>316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>
        <f t="shared" si="0"/>
        <v>1</v>
      </c>
      <c r="I7" s="2" t="s">
        <v>220</v>
      </c>
      <c r="J7" s="75">
        <v>1</v>
      </c>
    </row>
    <row r="8" spans="1:10">
      <c r="A8" s="124" t="s">
        <v>317</v>
      </c>
      <c r="B8">
        <v>0</v>
      </c>
      <c r="C8">
        <v>0</v>
      </c>
      <c r="D8">
        <v>10</v>
      </c>
      <c r="E8">
        <v>0</v>
      </c>
      <c r="F8">
        <v>0</v>
      </c>
      <c r="G8">
        <v>1</v>
      </c>
      <c r="H8">
        <f t="shared" si="0"/>
        <v>1</v>
      </c>
      <c r="I8" s="2" t="s">
        <v>220</v>
      </c>
      <c r="J8" s="75">
        <v>1</v>
      </c>
    </row>
    <row r="9" spans="1:10">
      <c r="I9" s="2"/>
    </row>
    <row r="10" spans="1:10">
      <c r="A10" s="1" t="s">
        <v>594</v>
      </c>
      <c r="C10" s="101">
        <f>SUM(B2:G2)</f>
        <v>2</v>
      </c>
      <c r="I10" s="2"/>
    </row>
    <row r="11" spans="1:10">
      <c r="A11" s="1"/>
      <c r="I11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66C5-FFA6-46D0-9617-B8FE446A0FFB}">
  <dimension ref="A1:V12"/>
  <sheetViews>
    <sheetView workbookViewId="0">
      <selection activeCell="G9" sqref="G9"/>
    </sheetView>
  </sheetViews>
  <sheetFormatPr defaultRowHeight="15"/>
  <cols>
    <col min="1" max="1" width="12.42578125" bestFit="1" customWidth="1"/>
    <col min="2" max="2" width="13.42578125" customWidth="1"/>
    <col min="3" max="3" width="11" bestFit="1" customWidth="1"/>
    <col min="4" max="4" width="8.85546875" bestFit="1" customWidth="1"/>
    <col min="5" max="5" width="10.5703125" customWidth="1"/>
    <col min="11" max="11" width="9.85546875" bestFit="1" customWidth="1"/>
  </cols>
  <sheetData>
    <row r="1" spans="1:22" ht="20.25" thickBot="1">
      <c r="A1" s="89" t="s">
        <v>448</v>
      </c>
      <c r="B1" s="1"/>
      <c r="C1" s="1"/>
      <c r="D1" s="1"/>
      <c r="E1" s="1"/>
      <c r="K1" s="89" t="s">
        <v>447</v>
      </c>
      <c r="Q1" t="s">
        <v>444</v>
      </c>
    </row>
    <row r="2" spans="1:22" ht="15.75" thickTop="1">
      <c r="B2" t="s">
        <v>98</v>
      </c>
      <c r="C2" t="s">
        <v>99</v>
      </c>
      <c r="D2" t="s">
        <v>100</v>
      </c>
      <c r="E2" t="s">
        <v>101</v>
      </c>
      <c r="L2" t="s">
        <v>83</v>
      </c>
      <c r="M2" t="s">
        <v>78</v>
      </c>
      <c r="N2" t="s">
        <v>294</v>
      </c>
      <c r="O2" t="s">
        <v>101</v>
      </c>
    </row>
    <row r="3" spans="1:22">
      <c r="B3" t="s">
        <v>401</v>
      </c>
      <c r="C3" t="s">
        <v>402</v>
      </c>
      <c r="D3">
        <v>6</v>
      </c>
      <c r="E3" s="52"/>
      <c r="L3">
        <v>1</v>
      </c>
      <c r="M3">
        <v>2</v>
      </c>
      <c r="N3">
        <v>7</v>
      </c>
      <c r="Q3" t="s">
        <v>104</v>
      </c>
      <c r="R3" t="s">
        <v>227</v>
      </c>
      <c r="S3" t="s">
        <v>229</v>
      </c>
      <c r="T3" t="s">
        <v>445</v>
      </c>
      <c r="V3" t="s">
        <v>446</v>
      </c>
    </row>
    <row r="4" spans="1:22">
      <c r="B4" t="s">
        <v>401</v>
      </c>
      <c r="C4" t="s">
        <v>403</v>
      </c>
      <c r="D4">
        <v>1</v>
      </c>
      <c r="E4" s="52"/>
      <c r="L4">
        <v>1</v>
      </c>
      <c r="M4">
        <v>3</v>
      </c>
      <c r="N4">
        <v>8</v>
      </c>
      <c r="Q4">
        <v>1</v>
      </c>
      <c r="V4">
        <v>1</v>
      </c>
    </row>
    <row r="5" spans="1:22">
      <c r="B5" t="s">
        <v>402</v>
      </c>
      <c r="C5" t="s">
        <v>403</v>
      </c>
      <c r="D5">
        <v>3</v>
      </c>
      <c r="E5" s="52"/>
      <c r="L5">
        <v>1</v>
      </c>
      <c r="M5">
        <v>4</v>
      </c>
      <c r="N5">
        <v>5</v>
      </c>
      <c r="Q5">
        <v>2</v>
      </c>
      <c r="V5">
        <v>0</v>
      </c>
    </row>
    <row r="6" spans="1:22">
      <c r="B6" t="s">
        <v>402</v>
      </c>
      <c r="C6" t="s">
        <v>404</v>
      </c>
      <c r="D6">
        <v>9</v>
      </c>
      <c r="E6" s="52"/>
      <c r="L6">
        <v>2</v>
      </c>
      <c r="M6">
        <v>5</v>
      </c>
      <c r="N6">
        <v>12</v>
      </c>
      <c r="Q6">
        <v>3</v>
      </c>
      <c r="V6">
        <v>0</v>
      </c>
    </row>
    <row r="7" spans="1:22">
      <c r="B7" t="s">
        <v>403</v>
      </c>
      <c r="C7" t="s">
        <v>405</v>
      </c>
      <c r="D7">
        <v>10</v>
      </c>
      <c r="E7" s="52"/>
      <c r="L7">
        <v>3</v>
      </c>
      <c r="M7">
        <v>5</v>
      </c>
      <c r="N7">
        <v>8</v>
      </c>
      <c r="Q7">
        <v>4</v>
      </c>
      <c r="V7">
        <v>0</v>
      </c>
    </row>
    <row r="8" spans="1:22">
      <c r="B8" t="s">
        <v>405</v>
      </c>
      <c r="C8" t="s">
        <v>404</v>
      </c>
      <c r="D8">
        <v>2</v>
      </c>
      <c r="E8" s="52"/>
      <c r="L8">
        <v>3</v>
      </c>
      <c r="M8">
        <v>6</v>
      </c>
      <c r="N8">
        <v>9</v>
      </c>
      <c r="Q8">
        <v>5</v>
      </c>
      <c r="V8">
        <v>0</v>
      </c>
    </row>
    <row r="9" spans="1:22">
      <c r="B9" t="s">
        <v>405</v>
      </c>
      <c r="C9" t="s">
        <v>406</v>
      </c>
      <c r="D9">
        <v>4</v>
      </c>
      <c r="E9" s="52"/>
      <c r="L9">
        <v>4</v>
      </c>
      <c r="M9">
        <v>5</v>
      </c>
      <c r="N9">
        <v>7</v>
      </c>
      <c r="Q9">
        <v>6</v>
      </c>
      <c r="V9">
        <v>0</v>
      </c>
    </row>
    <row r="10" spans="1:22">
      <c r="B10" t="s">
        <v>405</v>
      </c>
      <c r="C10" t="s">
        <v>407</v>
      </c>
      <c r="D10">
        <v>13</v>
      </c>
      <c r="E10" s="52"/>
      <c r="L10">
        <v>4</v>
      </c>
      <c r="M10">
        <v>6</v>
      </c>
      <c r="N10">
        <v>13</v>
      </c>
      <c r="Q10">
        <v>7</v>
      </c>
      <c r="V10">
        <v>-1</v>
      </c>
    </row>
    <row r="11" spans="1:22">
      <c r="B11" t="s">
        <v>404</v>
      </c>
      <c r="C11" t="s">
        <v>406</v>
      </c>
      <c r="D11">
        <v>2</v>
      </c>
      <c r="E11" s="52"/>
      <c r="L11">
        <v>5</v>
      </c>
      <c r="M11">
        <v>7</v>
      </c>
      <c r="N11">
        <v>9</v>
      </c>
    </row>
    <row r="12" spans="1:22">
      <c r="B12" t="s">
        <v>407</v>
      </c>
      <c r="C12" t="s">
        <v>406</v>
      </c>
      <c r="D12">
        <v>7</v>
      </c>
      <c r="E12" s="52"/>
      <c r="L12">
        <v>6</v>
      </c>
      <c r="M12">
        <v>7</v>
      </c>
      <c r="N12">
        <v>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8"/>
  <sheetViews>
    <sheetView workbookViewId="0">
      <selection activeCell="H19" sqref="H19"/>
    </sheetView>
  </sheetViews>
  <sheetFormatPr defaultRowHeight="15"/>
  <cols>
    <col min="1" max="1" width="43.42578125" style="11" customWidth="1"/>
    <col min="2" max="5" width="9.140625" style="11"/>
    <col min="6" max="6" width="10.140625" style="11" customWidth="1"/>
    <col min="7" max="7" width="10.42578125" style="11" customWidth="1"/>
    <col min="8" max="8" width="9.140625" style="11"/>
    <col min="9" max="9" width="9.85546875" style="11" customWidth="1"/>
    <col min="10" max="256" width="9.140625" style="11"/>
    <col min="257" max="257" width="40.140625" style="11" customWidth="1"/>
    <col min="258" max="261" width="9.140625" style="11"/>
    <col min="262" max="262" width="10.140625" style="11" customWidth="1"/>
    <col min="263" max="263" width="10.42578125" style="11" customWidth="1"/>
    <col min="264" max="264" width="9.140625" style="11"/>
    <col min="265" max="265" width="9.85546875" style="11" customWidth="1"/>
    <col min="266" max="512" width="9.140625" style="11"/>
    <col min="513" max="513" width="40.140625" style="11" customWidth="1"/>
    <col min="514" max="517" width="9.140625" style="11"/>
    <col min="518" max="518" width="10.140625" style="11" customWidth="1"/>
    <col min="519" max="519" width="10.42578125" style="11" customWidth="1"/>
    <col min="520" max="520" width="9.140625" style="11"/>
    <col min="521" max="521" width="9.85546875" style="11" customWidth="1"/>
    <col min="522" max="768" width="9.140625" style="11"/>
    <col min="769" max="769" width="40.140625" style="11" customWidth="1"/>
    <col min="770" max="773" width="9.140625" style="11"/>
    <col min="774" max="774" width="10.140625" style="11" customWidth="1"/>
    <col min="775" max="775" width="10.42578125" style="11" customWidth="1"/>
    <col min="776" max="776" width="9.140625" style="11"/>
    <col min="777" max="777" width="9.85546875" style="11" customWidth="1"/>
    <col min="778" max="1024" width="9.140625" style="11"/>
    <col min="1025" max="1025" width="40.140625" style="11" customWidth="1"/>
    <col min="1026" max="1029" width="9.140625" style="11"/>
    <col min="1030" max="1030" width="10.140625" style="11" customWidth="1"/>
    <col min="1031" max="1031" width="10.42578125" style="11" customWidth="1"/>
    <col min="1032" max="1032" width="9.140625" style="11"/>
    <col min="1033" max="1033" width="9.85546875" style="11" customWidth="1"/>
    <col min="1034" max="1280" width="9.140625" style="11"/>
    <col min="1281" max="1281" width="40.140625" style="11" customWidth="1"/>
    <col min="1282" max="1285" width="9.140625" style="11"/>
    <col min="1286" max="1286" width="10.140625" style="11" customWidth="1"/>
    <col min="1287" max="1287" width="10.42578125" style="11" customWidth="1"/>
    <col min="1288" max="1288" width="9.140625" style="11"/>
    <col min="1289" max="1289" width="9.85546875" style="11" customWidth="1"/>
    <col min="1290" max="1536" width="9.140625" style="11"/>
    <col min="1537" max="1537" width="40.140625" style="11" customWidth="1"/>
    <col min="1538" max="1541" width="9.140625" style="11"/>
    <col min="1542" max="1542" width="10.140625" style="11" customWidth="1"/>
    <col min="1543" max="1543" width="10.42578125" style="11" customWidth="1"/>
    <col min="1544" max="1544" width="9.140625" style="11"/>
    <col min="1545" max="1545" width="9.85546875" style="11" customWidth="1"/>
    <col min="1546" max="1792" width="9.140625" style="11"/>
    <col min="1793" max="1793" width="40.140625" style="11" customWidth="1"/>
    <col min="1794" max="1797" width="9.140625" style="11"/>
    <col min="1798" max="1798" width="10.140625" style="11" customWidth="1"/>
    <col min="1799" max="1799" width="10.42578125" style="11" customWidth="1"/>
    <col min="1800" max="1800" width="9.140625" style="11"/>
    <col min="1801" max="1801" width="9.85546875" style="11" customWidth="1"/>
    <col min="1802" max="2048" width="9.140625" style="11"/>
    <col min="2049" max="2049" width="40.140625" style="11" customWidth="1"/>
    <col min="2050" max="2053" width="9.140625" style="11"/>
    <col min="2054" max="2054" width="10.140625" style="11" customWidth="1"/>
    <col min="2055" max="2055" width="10.42578125" style="11" customWidth="1"/>
    <col min="2056" max="2056" width="9.140625" style="11"/>
    <col min="2057" max="2057" width="9.85546875" style="11" customWidth="1"/>
    <col min="2058" max="2304" width="9.140625" style="11"/>
    <col min="2305" max="2305" width="40.140625" style="11" customWidth="1"/>
    <col min="2306" max="2309" width="9.140625" style="11"/>
    <col min="2310" max="2310" width="10.140625" style="11" customWidth="1"/>
    <col min="2311" max="2311" width="10.42578125" style="11" customWidth="1"/>
    <col min="2312" max="2312" width="9.140625" style="11"/>
    <col min="2313" max="2313" width="9.85546875" style="11" customWidth="1"/>
    <col min="2314" max="2560" width="9.140625" style="11"/>
    <col min="2561" max="2561" width="40.140625" style="11" customWidth="1"/>
    <col min="2562" max="2565" width="9.140625" style="11"/>
    <col min="2566" max="2566" width="10.140625" style="11" customWidth="1"/>
    <col min="2567" max="2567" width="10.42578125" style="11" customWidth="1"/>
    <col min="2568" max="2568" width="9.140625" style="11"/>
    <col min="2569" max="2569" width="9.85546875" style="11" customWidth="1"/>
    <col min="2570" max="2816" width="9.140625" style="11"/>
    <col min="2817" max="2817" width="40.140625" style="11" customWidth="1"/>
    <col min="2818" max="2821" width="9.140625" style="11"/>
    <col min="2822" max="2822" width="10.140625" style="11" customWidth="1"/>
    <col min="2823" max="2823" width="10.42578125" style="11" customWidth="1"/>
    <col min="2824" max="2824" width="9.140625" style="11"/>
    <col min="2825" max="2825" width="9.85546875" style="11" customWidth="1"/>
    <col min="2826" max="3072" width="9.140625" style="11"/>
    <col min="3073" max="3073" width="40.140625" style="11" customWidth="1"/>
    <col min="3074" max="3077" width="9.140625" style="11"/>
    <col min="3078" max="3078" width="10.140625" style="11" customWidth="1"/>
    <col min="3079" max="3079" width="10.42578125" style="11" customWidth="1"/>
    <col min="3080" max="3080" width="9.140625" style="11"/>
    <col min="3081" max="3081" width="9.85546875" style="11" customWidth="1"/>
    <col min="3082" max="3328" width="9.140625" style="11"/>
    <col min="3329" max="3329" width="40.140625" style="11" customWidth="1"/>
    <col min="3330" max="3333" width="9.140625" style="11"/>
    <col min="3334" max="3334" width="10.140625" style="11" customWidth="1"/>
    <col min="3335" max="3335" width="10.42578125" style="11" customWidth="1"/>
    <col min="3336" max="3336" width="9.140625" style="11"/>
    <col min="3337" max="3337" width="9.85546875" style="11" customWidth="1"/>
    <col min="3338" max="3584" width="9.140625" style="11"/>
    <col min="3585" max="3585" width="40.140625" style="11" customWidth="1"/>
    <col min="3586" max="3589" width="9.140625" style="11"/>
    <col min="3590" max="3590" width="10.140625" style="11" customWidth="1"/>
    <col min="3591" max="3591" width="10.42578125" style="11" customWidth="1"/>
    <col min="3592" max="3592" width="9.140625" style="11"/>
    <col min="3593" max="3593" width="9.85546875" style="11" customWidth="1"/>
    <col min="3594" max="3840" width="9.140625" style="11"/>
    <col min="3841" max="3841" width="40.140625" style="11" customWidth="1"/>
    <col min="3842" max="3845" width="9.140625" style="11"/>
    <col min="3846" max="3846" width="10.140625" style="11" customWidth="1"/>
    <col min="3847" max="3847" width="10.42578125" style="11" customWidth="1"/>
    <col min="3848" max="3848" width="9.140625" style="11"/>
    <col min="3849" max="3849" width="9.85546875" style="11" customWidth="1"/>
    <col min="3850" max="4096" width="9.140625" style="11"/>
    <col min="4097" max="4097" width="40.140625" style="11" customWidth="1"/>
    <col min="4098" max="4101" width="9.140625" style="11"/>
    <col min="4102" max="4102" width="10.140625" style="11" customWidth="1"/>
    <col min="4103" max="4103" width="10.42578125" style="11" customWidth="1"/>
    <col min="4104" max="4104" width="9.140625" style="11"/>
    <col min="4105" max="4105" width="9.85546875" style="11" customWidth="1"/>
    <col min="4106" max="4352" width="9.140625" style="11"/>
    <col min="4353" max="4353" width="40.140625" style="11" customWidth="1"/>
    <col min="4354" max="4357" width="9.140625" style="11"/>
    <col min="4358" max="4358" width="10.140625" style="11" customWidth="1"/>
    <col min="4359" max="4359" width="10.42578125" style="11" customWidth="1"/>
    <col min="4360" max="4360" width="9.140625" style="11"/>
    <col min="4361" max="4361" width="9.85546875" style="11" customWidth="1"/>
    <col min="4362" max="4608" width="9.140625" style="11"/>
    <col min="4609" max="4609" width="40.140625" style="11" customWidth="1"/>
    <col min="4610" max="4613" width="9.140625" style="11"/>
    <col min="4614" max="4614" width="10.140625" style="11" customWidth="1"/>
    <col min="4615" max="4615" width="10.42578125" style="11" customWidth="1"/>
    <col min="4616" max="4616" width="9.140625" style="11"/>
    <col min="4617" max="4617" width="9.85546875" style="11" customWidth="1"/>
    <col min="4618" max="4864" width="9.140625" style="11"/>
    <col min="4865" max="4865" width="40.140625" style="11" customWidth="1"/>
    <col min="4866" max="4869" width="9.140625" style="11"/>
    <col min="4870" max="4870" width="10.140625" style="11" customWidth="1"/>
    <col min="4871" max="4871" width="10.42578125" style="11" customWidth="1"/>
    <col min="4872" max="4872" width="9.140625" style="11"/>
    <col min="4873" max="4873" width="9.85546875" style="11" customWidth="1"/>
    <col min="4874" max="5120" width="9.140625" style="11"/>
    <col min="5121" max="5121" width="40.140625" style="11" customWidth="1"/>
    <col min="5122" max="5125" width="9.140625" style="11"/>
    <col min="5126" max="5126" width="10.140625" style="11" customWidth="1"/>
    <col min="5127" max="5127" width="10.42578125" style="11" customWidth="1"/>
    <col min="5128" max="5128" width="9.140625" style="11"/>
    <col min="5129" max="5129" width="9.85546875" style="11" customWidth="1"/>
    <col min="5130" max="5376" width="9.140625" style="11"/>
    <col min="5377" max="5377" width="40.140625" style="11" customWidth="1"/>
    <col min="5378" max="5381" width="9.140625" style="11"/>
    <col min="5382" max="5382" width="10.140625" style="11" customWidth="1"/>
    <col min="5383" max="5383" width="10.42578125" style="11" customWidth="1"/>
    <col min="5384" max="5384" width="9.140625" style="11"/>
    <col min="5385" max="5385" width="9.85546875" style="11" customWidth="1"/>
    <col min="5386" max="5632" width="9.140625" style="11"/>
    <col min="5633" max="5633" width="40.140625" style="11" customWidth="1"/>
    <col min="5634" max="5637" width="9.140625" style="11"/>
    <col min="5638" max="5638" width="10.140625" style="11" customWidth="1"/>
    <col min="5639" max="5639" width="10.42578125" style="11" customWidth="1"/>
    <col min="5640" max="5640" width="9.140625" style="11"/>
    <col min="5641" max="5641" width="9.85546875" style="11" customWidth="1"/>
    <col min="5642" max="5888" width="9.140625" style="11"/>
    <col min="5889" max="5889" width="40.140625" style="11" customWidth="1"/>
    <col min="5890" max="5893" width="9.140625" style="11"/>
    <col min="5894" max="5894" width="10.140625" style="11" customWidth="1"/>
    <col min="5895" max="5895" width="10.42578125" style="11" customWidth="1"/>
    <col min="5896" max="5896" width="9.140625" style="11"/>
    <col min="5897" max="5897" width="9.85546875" style="11" customWidth="1"/>
    <col min="5898" max="6144" width="9.140625" style="11"/>
    <col min="6145" max="6145" width="40.140625" style="11" customWidth="1"/>
    <col min="6146" max="6149" width="9.140625" style="11"/>
    <col min="6150" max="6150" width="10.140625" style="11" customWidth="1"/>
    <col min="6151" max="6151" width="10.42578125" style="11" customWidth="1"/>
    <col min="6152" max="6152" width="9.140625" style="11"/>
    <col min="6153" max="6153" width="9.85546875" style="11" customWidth="1"/>
    <col min="6154" max="6400" width="9.140625" style="11"/>
    <col min="6401" max="6401" width="40.140625" style="11" customWidth="1"/>
    <col min="6402" max="6405" width="9.140625" style="11"/>
    <col min="6406" max="6406" width="10.140625" style="11" customWidth="1"/>
    <col min="6407" max="6407" width="10.42578125" style="11" customWidth="1"/>
    <col min="6408" max="6408" width="9.140625" style="11"/>
    <col min="6409" max="6409" width="9.85546875" style="11" customWidth="1"/>
    <col min="6410" max="6656" width="9.140625" style="11"/>
    <col min="6657" max="6657" width="40.140625" style="11" customWidth="1"/>
    <col min="6658" max="6661" width="9.140625" style="11"/>
    <col min="6662" max="6662" width="10.140625" style="11" customWidth="1"/>
    <col min="6663" max="6663" width="10.42578125" style="11" customWidth="1"/>
    <col min="6664" max="6664" width="9.140625" style="11"/>
    <col min="6665" max="6665" width="9.85546875" style="11" customWidth="1"/>
    <col min="6666" max="6912" width="9.140625" style="11"/>
    <col min="6913" max="6913" width="40.140625" style="11" customWidth="1"/>
    <col min="6914" max="6917" width="9.140625" style="11"/>
    <col min="6918" max="6918" width="10.140625" style="11" customWidth="1"/>
    <col min="6919" max="6919" width="10.42578125" style="11" customWidth="1"/>
    <col min="6920" max="6920" width="9.140625" style="11"/>
    <col min="6921" max="6921" width="9.85546875" style="11" customWidth="1"/>
    <col min="6922" max="7168" width="9.140625" style="11"/>
    <col min="7169" max="7169" width="40.140625" style="11" customWidth="1"/>
    <col min="7170" max="7173" width="9.140625" style="11"/>
    <col min="7174" max="7174" width="10.140625" style="11" customWidth="1"/>
    <col min="7175" max="7175" width="10.42578125" style="11" customWidth="1"/>
    <col min="7176" max="7176" width="9.140625" style="11"/>
    <col min="7177" max="7177" width="9.85546875" style="11" customWidth="1"/>
    <col min="7178" max="7424" width="9.140625" style="11"/>
    <col min="7425" max="7425" width="40.140625" style="11" customWidth="1"/>
    <col min="7426" max="7429" width="9.140625" style="11"/>
    <col min="7430" max="7430" width="10.140625" style="11" customWidth="1"/>
    <col min="7431" max="7431" width="10.42578125" style="11" customWidth="1"/>
    <col min="7432" max="7432" width="9.140625" style="11"/>
    <col min="7433" max="7433" width="9.85546875" style="11" customWidth="1"/>
    <col min="7434" max="7680" width="9.140625" style="11"/>
    <col min="7681" max="7681" width="40.140625" style="11" customWidth="1"/>
    <col min="7682" max="7685" width="9.140625" style="11"/>
    <col min="7686" max="7686" width="10.140625" style="11" customWidth="1"/>
    <col min="7687" max="7687" width="10.42578125" style="11" customWidth="1"/>
    <col min="7688" max="7688" width="9.140625" style="11"/>
    <col min="7689" max="7689" width="9.85546875" style="11" customWidth="1"/>
    <col min="7690" max="7936" width="9.140625" style="11"/>
    <col min="7937" max="7937" width="40.140625" style="11" customWidth="1"/>
    <col min="7938" max="7941" width="9.140625" style="11"/>
    <col min="7942" max="7942" width="10.140625" style="11" customWidth="1"/>
    <col min="7943" max="7943" width="10.42578125" style="11" customWidth="1"/>
    <col min="7944" max="7944" width="9.140625" style="11"/>
    <col min="7945" max="7945" width="9.85546875" style="11" customWidth="1"/>
    <col min="7946" max="8192" width="9.140625" style="11"/>
    <col min="8193" max="8193" width="40.140625" style="11" customWidth="1"/>
    <col min="8194" max="8197" width="9.140625" style="11"/>
    <col min="8198" max="8198" width="10.140625" style="11" customWidth="1"/>
    <col min="8199" max="8199" width="10.42578125" style="11" customWidth="1"/>
    <col min="8200" max="8200" width="9.140625" style="11"/>
    <col min="8201" max="8201" width="9.85546875" style="11" customWidth="1"/>
    <col min="8202" max="8448" width="9.140625" style="11"/>
    <col min="8449" max="8449" width="40.140625" style="11" customWidth="1"/>
    <col min="8450" max="8453" width="9.140625" style="11"/>
    <col min="8454" max="8454" width="10.140625" style="11" customWidth="1"/>
    <col min="8455" max="8455" width="10.42578125" style="11" customWidth="1"/>
    <col min="8456" max="8456" width="9.140625" style="11"/>
    <col min="8457" max="8457" width="9.85546875" style="11" customWidth="1"/>
    <col min="8458" max="8704" width="9.140625" style="11"/>
    <col min="8705" max="8705" width="40.140625" style="11" customWidth="1"/>
    <col min="8706" max="8709" width="9.140625" style="11"/>
    <col min="8710" max="8710" width="10.140625" style="11" customWidth="1"/>
    <col min="8711" max="8711" width="10.42578125" style="11" customWidth="1"/>
    <col min="8712" max="8712" width="9.140625" style="11"/>
    <col min="8713" max="8713" width="9.85546875" style="11" customWidth="1"/>
    <col min="8714" max="8960" width="9.140625" style="11"/>
    <col min="8961" max="8961" width="40.140625" style="11" customWidth="1"/>
    <col min="8962" max="8965" width="9.140625" style="11"/>
    <col min="8966" max="8966" width="10.140625" style="11" customWidth="1"/>
    <col min="8967" max="8967" width="10.42578125" style="11" customWidth="1"/>
    <col min="8968" max="8968" width="9.140625" style="11"/>
    <col min="8969" max="8969" width="9.85546875" style="11" customWidth="1"/>
    <col min="8970" max="9216" width="9.140625" style="11"/>
    <col min="9217" max="9217" width="40.140625" style="11" customWidth="1"/>
    <col min="9218" max="9221" width="9.140625" style="11"/>
    <col min="9222" max="9222" width="10.140625" style="11" customWidth="1"/>
    <col min="9223" max="9223" width="10.42578125" style="11" customWidth="1"/>
    <col min="9224" max="9224" width="9.140625" style="11"/>
    <col min="9225" max="9225" width="9.85546875" style="11" customWidth="1"/>
    <col min="9226" max="9472" width="9.140625" style="11"/>
    <col min="9473" max="9473" width="40.140625" style="11" customWidth="1"/>
    <col min="9474" max="9477" width="9.140625" style="11"/>
    <col min="9478" max="9478" width="10.140625" style="11" customWidth="1"/>
    <col min="9479" max="9479" width="10.42578125" style="11" customWidth="1"/>
    <col min="9480" max="9480" width="9.140625" style="11"/>
    <col min="9481" max="9481" width="9.85546875" style="11" customWidth="1"/>
    <col min="9482" max="9728" width="9.140625" style="11"/>
    <col min="9729" max="9729" width="40.140625" style="11" customWidth="1"/>
    <col min="9730" max="9733" width="9.140625" style="11"/>
    <col min="9734" max="9734" width="10.140625" style="11" customWidth="1"/>
    <col min="9735" max="9735" width="10.42578125" style="11" customWidth="1"/>
    <col min="9736" max="9736" width="9.140625" style="11"/>
    <col min="9737" max="9737" width="9.85546875" style="11" customWidth="1"/>
    <col min="9738" max="9984" width="9.140625" style="11"/>
    <col min="9985" max="9985" width="40.140625" style="11" customWidth="1"/>
    <col min="9986" max="9989" width="9.140625" style="11"/>
    <col min="9990" max="9990" width="10.140625" style="11" customWidth="1"/>
    <col min="9991" max="9991" width="10.42578125" style="11" customWidth="1"/>
    <col min="9992" max="9992" width="9.140625" style="11"/>
    <col min="9993" max="9993" width="9.85546875" style="11" customWidth="1"/>
    <col min="9994" max="10240" width="9.140625" style="11"/>
    <col min="10241" max="10241" width="40.140625" style="11" customWidth="1"/>
    <col min="10242" max="10245" width="9.140625" style="11"/>
    <col min="10246" max="10246" width="10.140625" style="11" customWidth="1"/>
    <col min="10247" max="10247" width="10.42578125" style="11" customWidth="1"/>
    <col min="10248" max="10248" width="9.140625" style="11"/>
    <col min="10249" max="10249" width="9.85546875" style="11" customWidth="1"/>
    <col min="10250" max="10496" width="9.140625" style="11"/>
    <col min="10497" max="10497" width="40.140625" style="11" customWidth="1"/>
    <col min="10498" max="10501" width="9.140625" style="11"/>
    <col min="10502" max="10502" width="10.140625" style="11" customWidth="1"/>
    <col min="10503" max="10503" width="10.42578125" style="11" customWidth="1"/>
    <col min="10504" max="10504" width="9.140625" style="11"/>
    <col min="10505" max="10505" width="9.85546875" style="11" customWidth="1"/>
    <col min="10506" max="10752" width="9.140625" style="11"/>
    <col min="10753" max="10753" width="40.140625" style="11" customWidth="1"/>
    <col min="10754" max="10757" width="9.140625" style="11"/>
    <col min="10758" max="10758" width="10.140625" style="11" customWidth="1"/>
    <col min="10759" max="10759" width="10.42578125" style="11" customWidth="1"/>
    <col min="10760" max="10760" width="9.140625" style="11"/>
    <col min="10761" max="10761" width="9.85546875" style="11" customWidth="1"/>
    <col min="10762" max="11008" width="9.140625" style="11"/>
    <col min="11009" max="11009" width="40.140625" style="11" customWidth="1"/>
    <col min="11010" max="11013" width="9.140625" style="11"/>
    <col min="11014" max="11014" width="10.140625" style="11" customWidth="1"/>
    <col min="11015" max="11015" width="10.42578125" style="11" customWidth="1"/>
    <col min="11016" max="11016" width="9.140625" style="11"/>
    <col min="11017" max="11017" width="9.85546875" style="11" customWidth="1"/>
    <col min="11018" max="11264" width="9.140625" style="11"/>
    <col min="11265" max="11265" width="40.140625" style="11" customWidth="1"/>
    <col min="11266" max="11269" width="9.140625" style="11"/>
    <col min="11270" max="11270" width="10.140625" style="11" customWidth="1"/>
    <col min="11271" max="11271" width="10.42578125" style="11" customWidth="1"/>
    <col min="11272" max="11272" width="9.140625" style="11"/>
    <col min="11273" max="11273" width="9.85546875" style="11" customWidth="1"/>
    <col min="11274" max="11520" width="9.140625" style="11"/>
    <col min="11521" max="11521" width="40.140625" style="11" customWidth="1"/>
    <col min="11522" max="11525" width="9.140625" style="11"/>
    <col min="11526" max="11526" width="10.140625" style="11" customWidth="1"/>
    <col min="11527" max="11527" width="10.42578125" style="11" customWidth="1"/>
    <col min="11528" max="11528" width="9.140625" style="11"/>
    <col min="11529" max="11529" width="9.85546875" style="11" customWidth="1"/>
    <col min="11530" max="11776" width="9.140625" style="11"/>
    <col min="11777" max="11777" width="40.140625" style="11" customWidth="1"/>
    <col min="11778" max="11781" width="9.140625" style="11"/>
    <col min="11782" max="11782" width="10.140625" style="11" customWidth="1"/>
    <col min="11783" max="11783" width="10.42578125" style="11" customWidth="1"/>
    <col min="11784" max="11784" width="9.140625" style="11"/>
    <col min="11785" max="11785" width="9.85546875" style="11" customWidth="1"/>
    <col min="11786" max="12032" width="9.140625" style="11"/>
    <col min="12033" max="12033" width="40.140625" style="11" customWidth="1"/>
    <col min="12034" max="12037" width="9.140625" style="11"/>
    <col min="12038" max="12038" width="10.140625" style="11" customWidth="1"/>
    <col min="12039" max="12039" width="10.42578125" style="11" customWidth="1"/>
    <col min="12040" max="12040" width="9.140625" style="11"/>
    <col min="12041" max="12041" width="9.85546875" style="11" customWidth="1"/>
    <col min="12042" max="12288" width="9.140625" style="11"/>
    <col min="12289" max="12289" width="40.140625" style="11" customWidth="1"/>
    <col min="12290" max="12293" width="9.140625" style="11"/>
    <col min="12294" max="12294" width="10.140625" style="11" customWidth="1"/>
    <col min="12295" max="12295" width="10.42578125" style="11" customWidth="1"/>
    <col min="12296" max="12296" width="9.140625" style="11"/>
    <col min="12297" max="12297" width="9.85546875" style="11" customWidth="1"/>
    <col min="12298" max="12544" width="9.140625" style="11"/>
    <col min="12545" max="12545" width="40.140625" style="11" customWidth="1"/>
    <col min="12546" max="12549" width="9.140625" style="11"/>
    <col min="12550" max="12550" width="10.140625" style="11" customWidth="1"/>
    <col min="12551" max="12551" width="10.42578125" style="11" customWidth="1"/>
    <col min="12552" max="12552" width="9.140625" style="11"/>
    <col min="12553" max="12553" width="9.85546875" style="11" customWidth="1"/>
    <col min="12554" max="12800" width="9.140625" style="11"/>
    <col min="12801" max="12801" width="40.140625" style="11" customWidth="1"/>
    <col min="12802" max="12805" width="9.140625" style="11"/>
    <col min="12806" max="12806" width="10.140625" style="11" customWidth="1"/>
    <col min="12807" max="12807" width="10.42578125" style="11" customWidth="1"/>
    <col min="12808" max="12808" width="9.140625" style="11"/>
    <col min="12809" max="12809" width="9.85546875" style="11" customWidth="1"/>
    <col min="12810" max="13056" width="9.140625" style="11"/>
    <col min="13057" max="13057" width="40.140625" style="11" customWidth="1"/>
    <col min="13058" max="13061" width="9.140625" style="11"/>
    <col min="13062" max="13062" width="10.140625" style="11" customWidth="1"/>
    <col min="13063" max="13063" width="10.42578125" style="11" customWidth="1"/>
    <col min="13064" max="13064" width="9.140625" style="11"/>
    <col min="13065" max="13065" width="9.85546875" style="11" customWidth="1"/>
    <col min="13066" max="13312" width="9.140625" style="11"/>
    <col min="13313" max="13313" width="40.140625" style="11" customWidth="1"/>
    <col min="13314" max="13317" width="9.140625" style="11"/>
    <col min="13318" max="13318" width="10.140625" style="11" customWidth="1"/>
    <col min="13319" max="13319" width="10.42578125" style="11" customWidth="1"/>
    <col min="13320" max="13320" width="9.140625" style="11"/>
    <col min="13321" max="13321" width="9.85546875" style="11" customWidth="1"/>
    <col min="13322" max="13568" width="9.140625" style="11"/>
    <col min="13569" max="13569" width="40.140625" style="11" customWidth="1"/>
    <col min="13570" max="13573" width="9.140625" style="11"/>
    <col min="13574" max="13574" width="10.140625" style="11" customWidth="1"/>
    <col min="13575" max="13575" width="10.42578125" style="11" customWidth="1"/>
    <col min="13576" max="13576" width="9.140625" style="11"/>
    <col min="13577" max="13577" width="9.85546875" style="11" customWidth="1"/>
    <col min="13578" max="13824" width="9.140625" style="11"/>
    <col min="13825" max="13825" width="40.140625" style="11" customWidth="1"/>
    <col min="13826" max="13829" width="9.140625" style="11"/>
    <col min="13830" max="13830" width="10.140625" style="11" customWidth="1"/>
    <col min="13831" max="13831" width="10.42578125" style="11" customWidth="1"/>
    <col min="13832" max="13832" width="9.140625" style="11"/>
    <col min="13833" max="13833" width="9.85546875" style="11" customWidth="1"/>
    <col min="13834" max="14080" width="9.140625" style="11"/>
    <col min="14081" max="14081" width="40.140625" style="11" customWidth="1"/>
    <col min="14082" max="14085" width="9.140625" style="11"/>
    <col min="14086" max="14086" width="10.140625" style="11" customWidth="1"/>
    <col min="14087" max="14087" width="10.42578125" style="11" customWidth="1"/>
    <col min="14088" max="14088" width="9.140625" style="11"/>
    <col min="14089" max="14089" width="9.85546875" style="11" customWidth="1"/>
    <col min="14090" max="14336" width="9.140625" style="11"/>
    <col min="14337" max="14337" width="40.140625" style="11" customWidth="1"/>
    <col min="14338" max="14341" width="9.140625" style="11"/>
    <col min="14342" max="14342" width="10.140625" style="11" customWidth="1"/>
    <col min="14343" max="14343" width="10.42578125" style="11" customWidth="1"/>
    <col min="14344" max="14344" width="9.140625" style="11"/>
    <col min="14345" max="14345" width="9.85546875" style="11" customWidth="1"/>
    <col min="14346" max="14592" width="9.140625" style="11"/>
    <col min="14593" max="14593" width="40.140625" style="11" customWidth="1"/>
    <col min="14594" max="14597" width="9.140625" style="11"/>
    <col min="14598" max="14598" width="10.140625" style="11" customWidth="1"/>
    <col min="14599" max="14599" width="10.42578125" style="11" customWidth="1"/>
    <col min="14600" max="14600" width="9.140625" style="11"/>
    <col min="14601" max="14601" width="9.85546875" style="11" customWidth="1"/>
    <col min="14602" max="14848" width="9.140625" style="11"/>
    <col min="14849" max="14849" width="40.140625" style="11" customWidth="1"/>
    <col min="14850" max="14853" width="9.140625" style="11"/>
    <col min="14854" max="14854" width="10.140625" style="11" customWidth="1"/>
    <col min="14855" max="14855" width="10.42578125" style="11" customWidth="1"/>
    <col min="14856" max="14856" width="9.140625" style="11"/>
    <col min="14857" max="14857" width="9.85546875" style="11" customWidth="1"/>
    <col min="14858" max="15104" width="9.140625" style="11"/>
    <col min="15105" max="15105" width="40.140625" style="11" customWidth="1"/>
    <col min="15106" max="15109" width="9.140625" style="11"/>
    <col min="15110" max="15110" width="10.140625" style="11" customWidth="1"/>
    <col min="15111" max="15111" width="10.42578125" style="11" customWidth="1"/>
    <col min="15112" max="15112" width="9.140625" style="11"/>
    <col min="15113" max="15113" width="9.85546875" style="11" customWidth="1"/>
    <col min="15114" max="15360" width="9.140625" style="11"/>
    <col min="15361" max="15361" width="40.140625" style="11" customWidth="1"/>
    <col min="15362" max="15365" width="9.140625" style="11"/>
    <col min="15366" max="15366" width="10.140625" style="11" customWidth="1"/>
    <col min="15367" max="15367" width="10.42578125" style="11" customWidth="1"/>
    <col min="15368" max="15368" width="9.140625" style="11"/>
    <col min="15369" max="15369" width="9.85546875" style="11" customWidth="1"/>
    <col min="15370" max="15616" width="9.140625" style="11"/>
    <col min="15617" max="15617" width="40.140625" style="11" customWidth="1"/>
    <col min="15618" max="15621" width="9.140625" style="11"/>
    <col min="15622" max="15622" width="10.140625" style="11" customWidth="1"/>
    <col min="15623" max="15623" width="10.42578125" style="11" customWidth="1"/>
    <col min="15624" max="15624" width="9.140625" style="11"/>
    <col min="15625" max="15625" width="9.85546875" style="11" customWidth="1"/>
    <col min="15626" max="15872" width="9.140625" style="11"/>
    <col min="15873" max="15873" width="40.140625" style="11" customWidth="1"/>
    <col min="15874" max="15877" width="9.140625" style="11"/>
    <col min="15878" max="15878" width="10.140625" style="11" customWidth="1"/>
    <col min="15879" max="15879" width="10.42578125" style="11" customWidth="1"/>
    <col min="15880" max="15880" width="9.140625" style="11"/>
    <col min="15881" max="15881" width="9.85546875" style="11" customWidth="1"/>
    <col min="15882" max="16128" width="9.140625" style="11"/>
    <col min="16129" max="16129" width="40.140625" style="11" customWidth="1"/>
    <col min="16130" max="16133" width="9.140625" style="11"/>
    <col min="16134" max="16134" width="10.140625" style="11" customWidth="1"/>
    <col min="16135" max="16135" width="10.42578125" style="11" customWidth="1"/>
    <col min="16136" max="16136" width="9.140625" style="11"/>
    <col min="16137" max="16137" width="9.85546875" style="11" customWidth="1"/>
    <col min="16138" max="16384" width="9.140625" style="11"/>
  </cols>
  <sheetData>
    <row r="1" spans="1:9">
      <c r="A1" s="20" t="s">
        <v>113</v>
      </c>
      <c r="I1" s="33"/>
    </row>
    <row r="2" spans="1:9">
      <c r="I2" s="33"/>
    </row>
    <row r="3" spans="1:9">
      <c r="A3" s="20" t="s">
        <v>45</v>
      </c>
      <c r="G3" s="20"/>
    </row>
    <row r="4" spans="1:9">
      <c r="A4" s="11" t="s">
        <v>114</v>
      </c>
      <c r="B4" s="13">
        <v>500</v>
      </c>
    </row>
    <row r="5" spans="1:9">
      <c r="A5" s="11" t="s">
        <v>115</v>
      </c>
      <c r="B5" s="13">
        <v>100</v>
      </c>
    </row>
    <row r="6" spans="1:9">
      <c r="A6" s="11" t="s">
        <v>116</v>
      </c>
      <c r="B6" s="13">
        <v>160</v>
      </c>
    </row>
    <row r="7" spans="1:9">
      <c r="A7" s="11" t="s">
        <v>117</v>
      </c>
      <c r="B7" s="13">
        <v>20</v>
      </c>
    </row>
    <row r="8" spans="1:9">
      <c r="A8" s="11" t="s">
        <v>118</v>
      </c>
      <c r="B8" s="39">
        <v>1600</v>
      </c>
    </row>
    <row r="9" spans="1:9">
      <c r="A9" s="11" t="s">
        <v>119</v>
      </c>
      <c r="B9" s="39">
        <v>2000</v>
      </c>
    </row>
    <row r="10" spans="1:9">
      <c r="A10" s="11" t="s">
        <v>120</v>
      </c>
      <c r="B10" s="39">
        <v>1500</v>
      </c>
    </row>
    <row r="11" spans="1:9">
      <c r="A11" s="11" t="s">
        <v>121</v>
      </c>
      <c r="B11" s="39">
        <v>13</v>
      </c>
    </row>
    <row r="12" spans="1:9">
      <c r="A12" s="11" t="s">
        <v>122</v>
      </c>
      <c r="B12" s="13">
        <v>4</v>
      </c>
    </row>
    <row r="13" spans="1:9">
      <c r="A13" s="11" t="s">
        <v>123</v>
      </c>
      <c r="B13" s="39">
        <v>15</v>
      </c>
    </row>
    <row r="14" spans="1:9">
      <c r="A14" s="11" t="s">
        <v>124</v>
      </c>
      <c r="B14" s="39">
        <v>3</v>
      </c>
    </row>
    <row r="16" spans="1:9">
      <c r="A16" s="20" t="s">
        <v>125</v>
      </c>
      <c r="B16" s="23" t="s">
        <v>126</v>
      </c>
      <c r="C16" s="23" t="s">
        <v>127</v>
      </c>
      <c r="D16" s="23" t="s">
        <v>128</v>
      </c>
      <c r="E16" s="23" t="s">
        <v>129</v>
      </c>
    </row>
    <row r="17" spans="1:5">
      <c r="A17" s="11" t="s">
        <v>130</v>
      </c>
    </row>
    <row r="18" spans="1:5">
      <c r="A18" s="11" t="s">
        <v>131</v>
      </c>
    </row>
    <row r="19" spans="1:5">
      <c r="A19" s="11" t="s">
        <v>132</v>
      </c>
    </row>
    <row r="20" spans="1:5">
      <c r="A20" s="11" t="s">
        <v>133</v>
      </c>
    </row>
    <row r="22" spans="1:5">
      <c r="A22" s="11" t="s">
        <v>134</v>
      </c>
    </row>
    <row r="23" spans="1:5">
      <c r="A23" s="11" t="s">
        <v>135</v>
      </c>
    </row>
    <row r="24" spans="1:5">
      <c r="B24" s="23"/>
      <c r="C24" s="23"/>
      <c r="D24" s="23"/>
      <c r="E24" s="23"/>
    </row>
    <row r="25" spans="1:5">
      <c r="A25" s="11" t="s">
        <v>136</v>
      </c>
    </row>
    <row r="27" spans="1:5">
      <c r="A27" s="11" t="s">
        <v>137</v>
      </c>
    </row>
    <row r="29" spans="1:5">
      <c r="A29" s="20" t="s">
        <v>138</v>
      </c>
      <c r="B29" s="23" t="s">
        <v>126</v>
      </c>
      <c r="C29" s="23" t="s">
        <v>127</v>
      </c>
      <c r="D29" s="23" t="s">
        <v>128</v>
      </c>
      <c r="E29" s="23" t="s">
        <v>129</v>
      </c>
    </row>
    <row r="30" spans="1:5">
      <c r="A30" s="11" t="s">
        <v>139</v>
      </c>
      <c r="B30" s="11">
        <v>3760</v>
      </c>
      <c r="C30" s="11">
        <v>3740</v>
      </c>
      <c r="D30" s="11">
        <v>2000</v>
      </c>
      <c r="E30" s="11">
        <v>1000</v>
      </c>
    </row>
    <row r="31" spans="1:5">
      <c r="B31" s="23"/>
      <c r="C31" s="23"/>
      <c r="D31" s="23"/>
      <c r="E31" s="23"/>
    </row>
    <row r="32" spans="1:5">
      <c r="A32" s="11" t="s">
        <v>52</v>
      </c>
    </row>
    <row r="34" spans="1:7">
      <c r="A34" s="11" t="s">
        <v>140</v>
      </c>
    </row>
    <row r="35" spans="1:7">
      <c r="B35" s="23"/>
      <c r="C35" s="23"/>
      <c r="D35" s="23"/>
      <c r="E35" s="23"/>
    </row>
    <row r="36" spans="1:7">
      <c r="A36" s="11" t="s">
        <v>141</v>
      </c>
      <c r="B36" s="13">
        <v>3000</v>
      </c>
      <c r="C36" s="13">
        <v>5000</v>
      </c>
      <c r="D36" s="13">
        <v>2000</v>
      </c>
      <c r="E36" s="13">
        <v>1000</v>
      </c>
    </row>
    <row r="37" spans="1:7">
      <c r="A37" s="11" t="s">
        <v>55</v>
      </c>
      <c r="C37" s="28"/>
      <c r="D37" s="28"/>
      <c r="E37" s="28"/>
    </row>
    <row r="39" spans="1:7">
      <c r="A39" s="20" t="s">
        <v>142</v>
      </c>
      <c r="B39" s="23" t="s">
        <v>126</v>
      </c>
      <c r="C39" s="23" t="s">
        <v>127</v>
      </c>
      <c r="D39" s="23" t="s">
        <v>128</v>
      </c>
      <c r="E39" s="23" t="s">
        <v>129</v>
      </c>
      <c r="F39" s="23" t="s">
        <v>41</v>
      </c>
    </row>
    <row r="40" spans="1:7">
      <c r="A40" s="11" t="s">
        <v>143</v>
      </c>
      <c r="B40" s="32"/>
      <c r="C40" s="32"/>
      <c r="D40" s="32"/>
      <c r="E40" s="32"/>
      <c r="F40" s="32"/>
    </row>
    <row r="41" spans="1:7">
      <c r="A41" s="11" t="s">
        <v>144</v>
      </c>
      <c r="B41" s="32"/>
      <c r="C41" s="32"/>
      <c r="D41" s="32"/>
      <c r="E41" s="32"/>
      <c r="F41" s="32"/>
    </row>
    <row r="42" spans="1:7">
      <c r="A42" s="11" t="s">
        <v>145</v>
      </c>
      <c r="B42" s="32"/>
      <c r="C42" s="32"/>
      <c r="D42" s="32"/>
      <c r="E42" s="32"/>
      <c r="F42" s="32"/>
    </row>
    <row r="43" spans="1:7">
      <c r="A43" s="11" t="s">
        <v>146</v>
      </c>
      <c r="B43" s="32"/>
      <c r="C43" s="32"/>
      <c r="D43" s="32"/>
      <c r="E43" s="32"/>
      <c r="F43" s="32"/>
    </row>
    <row r="44" spans="1:7">
      <c r="A44" s="11" t="s">
        <v>147</v>
      </c>
      <c r="B44" s="32"/>
      <c r="C44" s="32"/>
      <c r="D44" s="32"/>
      <c r="E44" s="32"/>
      <c r="F44" s="32"/>
    </row>
    <row r="45" spans="1:7">
      <c r="A45" s="11" t="s">
        <v>148</v>
      </c>
      <c r="B45" s="32"/>
      <c r="C45" s="32"/>
      <c r="D45" s="32"/>
      <c r="E45" s="32"/>
      <c r="F45" s="32"/>
    </row>
    <row r="46" spans="1:7">
      <c r="A46" s="11" t="s">
        <v>41</v>
      </c>
      <c r="B46" s="32"/>
      <c r="C46" s="32"/>
      <c r="D46" s="32"/>
      <c r="E46" s="32"/>
      <c r="F46" s="38"/>
      <c r="G46" s="27"/>
    </row>
    <row r="48" spans="1:7">
      <c r="A48" s="2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7"/>
  <sheetViews>
    <sheetView zoomScaleNormal="100" workbookViewId="0">
      <selection activeCell="K15" sqref="K15"/>
    </sheetView>
  </sheetViews>
  <sheetFormatPr defaultRowHeight="15"/>
  <cols>
    <col min="1" max="1" width="24.140625" style="11" customWidth="1"/>
    <col min="2" max="2" width="16.85546875" style="11" customWidth="1"/>
    <col min="3" max="3" width="11.140625" style="11" customWidth="1"/>
    <col min="4" max="4" width="10.140625" style="11" customWidth="1"/>
    <col min="5" max="5" width="10" style="11" customWidth="1"/>
    <col min="6" max="6" width="12.42578125" style="11" bestFit="1" customWidth="1"/>
    <col min="7" max="8" width="9.140625" style="11"/>
    <col min="9" max="9" width="11.5703125" style="11" customWidth="1"/>
    <col min="10" max="10" width="9.140625" style="11"/>
    <col min="11" max="11" width="15.5703125" style="11" customWidth="1"/>
    <col min="12" max="12" width="9.140625" style="11"/>
    <col min="13" max="13" width="9" style="11" customWidth="1"/>
    <col min="14" max="14" width="11.85546875" style="11" bestFit="1" customWidth="1"/>
    <col min="15" max="256" width="9.140625" style="11"/>
    <col min="257" max="257" width="24.140625" style="11" customWidth="1"/>
    <col min="258" max="258" width="15" style="11" bestFit="1" customWidth="1"/>
    <col min="259" max="259" width="11.140625" style="11" customWidth="1"/>
    <col min="260" max="260" width="10.140625" style="11" customWidth="1"/>
    <col min="261" max="261" width="10" style="11" customWidth="1"/>
    <col min="262" max="262" width="12.42578125" style="11" bestFit="1" customWidth="1"/>
    <col min="263" max="264" width="9.140625" style="11"/>
    <col min="265" max="265" width="11.5703125" style="11" customWidth="1"/>
    <col min="266" max="266" width="9.140625" style="11"/>
    <col min="267" max="267" width="15.5703125" style="11" customWidth="1"/>
    <col min="268" max="268" width="9.140625" style="11"/>
    <col min="269" max="269" width="9" style="11" customWidth="1"/>
    <col min="270" max="270" width="11.85546875" style="11" bestFit="1" customWidth="1"/>
    <col min="271" max="512" width="9.140625" style="11"/>
    <col min="513" max="513" width="24.140625" style="11" customWidth="1"/>
    <col min="514" max="514" width="15" style="11" bestFit="1" customWidth="1"/>
    <col min="515" max="515" width="11.140625" style="11" customWidth="1"/>
    <col min="516" max="516" width="10.140625" style="11" customWidth="1"/>
    <col min="517" max="517" width="10" style="11" customWidth="1"/>
    <col min="518" max="518" width="12.42578125" style="11" bestFit="1" customWidth="1"/>
    <col min="519" max="520" width="9.140625" style="11"/>
    <col min="521" max="521" width="11.5703125" style="11" customWidth="1"/>
    <col min="522" max="522" width="9.140625" style="11"/>
    <col min="523" max="523" width="15.5703125" style="11" customWidth="1"/>
    <col min="524" max="524" width="9.140625" style="11"/>
    <col min="525" max="525" width="9" style="11" customWidth="1"/>
    <col min="526" max="526" width="11.85546875" style="11" bestFit="1" customWidth="1"/>
    <col min="527" max="768" width="9.140625" style="11"/>
    <col min="769" max="769" width="24.140625" style="11" customWidth="1"/>
    <col min="770" max="770" width="15" style="11" bestFit="1" customWidth="1"/>
    <col min="771" max="771" width="11.140625" style="11" customWidth="1"/>
    <col min="772" max="772" width="10.140625" style="11" customWidth="1"/>
    <col min="773" max="773" width="10" style="11" customWidth="1"/>
    <col min="774" max="774" width="12.42578125" style="11" bestFit="1" customWidth="1"/>
    <col min="775" max="776" width="9.140625" style="11"/>
    <col min="777" max="777" width="11.5703125" style="11" customWidth="1"/>
    <col min="778" max="778" width="9.140625" style="11"/>
    <col min="779" max="779" width="15.5703125" style="11" customWidth="1"/>
    <col min="780" max="780" width="9.140625" style="11"/>
    <col min="781" max="781" width="9" style="11" customWidth="1"/>
    <col min="782" max="782" width="11.85546875" style="11" bestFit="1" customWidth="1"/>
    <col min="783" max="1024" width="9.140625" style="11"/>
    <col min="1025" max="1025" width="24.140625" style="11" customWidth="1"/>
    <col min="1026" max="1026" width="15" style="11" bestFit="1" customWidth="1"/>
    <col min="1027" max="1027" width="11.140625" style="11" customWidth="1"/>
    <col min="1028" max="1028" width="10.140625" style="11" customWidth="1"/>
    <col min="1029" max="1029" width="10" style="11" customWidth="1"/>
    <col min="1030" max="1030" width="12.42578125" style="11" bestFit="1" customWidth="1"/>
    <col min="1031" max="1032" width="9.140625" style="11"/>
    <col min="1033" max="1033" width="11.5703125" style="11" customWidth="1"/>
    <col min="1034" max="1034" width="9.140625" style="11"/>
    <col min="1035" max="1035" width="15.5703125" style="11" customWidth="1"/>
    <col min="1036" max="1036" width="9.140625" style="11"/>
    <col min="1037" max="1037" width="9" style="11" customWidth="1"/>
    <col min="1038" max="1038" width="11.85546875" style="11" bestFit="1" customWidth="1"/>
    <col min="1039" max="1280" width="9.140625" style="11"/>
    <col min="1281" max="1281" width="24.140625" style="11" customWidth="1"/>
    <col min="1282" max="1282" width="15" style="11" bestFit="1" customWidth="1"/>
    <col min="1283" max="1283" width="11.140625" style="11" customWidth="1"/>
    <col min="1284" max="1284" width="10.140625" style="11" customWidth="1"/>
    <col min="1285" max="1285" width="10" style="11" customWidth="1"/>
    <col min="1286" max="1286" width="12.42578125" style="11" bestFit="1" customWidth="1"/>
    <col min="1287" max="1288" width="9.140625" style="11"/>
    <col min="1289" max="1289" width="11.5703125" style="11" customWidth="1"/>
    <col min="1290" max="1290" width="9.140625" style="11"/>
    <col min="1291" max="1291" width="15.5703125" style="11" customWidth="1"/>
    <col min="1292" max="1292" width="9.140625" style="11"/>
    <col min="1293" max="1293" width="9" style="11" customWidth="1"/>
    <col min="1294" max="1294" width="11.85546875" style="11" bestFit="1" customWidth="1"/>
    <col min="1295" max="1536" width="9.140625" style="11"/>
    <col min="1537" max="1537" width="24.140625" style="11" customWidth="1"/>
    <col min="1538" max="1538" width="15" style="11" bestFit="1" customWidth="1"/>
    <col min="1539" max="1539" width="11.140625" style="11" customWidth="1"/>
    <col min="1540" max="1540" width="10.140625" style="11" customWidth="1"/>
    <col min="1541" max="1541" width="10" style="11" customWidth="1"/>
    <col min="1542" max="1542" width="12.42578125" style="11" bestFit="1" customWidth="1"/>
    <col min="1543" max="1544" width="9.140625" style="11"/>
    <col min="1545" max="1545" width="11.5703125" style="11" customWidth="1"/>
    <col min="1546" max="1546" width="9.140625" style="11"/>
    <col min="1547" max="1547" width="15.5703125" style="11" customWidth="1"/>
    <col min="1548" max="1548" width="9.140625" style="11"/>
    <col min="1549" max="1549" width="9" style="11" customWidth="1"/>
    <col min="1550" max="1550" width="11.85546875" style="11" bestFit="1" customWidth="1"/>
    <col min="1551" max="1792" width="9.140625" style="11"/>
    <col min="1793" max="1793" width="24.140625" style="11" customWidth="1"/>
    <col min="1794" max="1794" width="15" style="11" bestFit="1" customWidth="1"/>
    <col min="1795" max="1795" width="11.140625" style="11" customWidth="1"/>
    <col min="1796" max="1796" width="10.140625" style="11" customWidth="1"/>
    <col min="1797" max="1797" width="10" style="11" customWidth="1"/>
    <col min="1798" max="1798" width="12.42578125" style="11" bestFit="1" customWidth="1"/>
    <col min="1799" max="1800" width="9.140625" style="11"/>
    <col min="1801" max="1801" width="11.5703125" style="11" customWidth="1"/>
    <col min="1802" max="1802" width="9.140625" style="11"/>
    <col min="1803" max="1803" width="15.5703125" style="11" customWidth="1"/>
    <col min="1804" max="1804" width="9.140625" style="11"/>
    <col min="1805" max="1805" width="9" style="11" customWidth="1"/>
    <col min="1806" max="1806" width="11.85546875" style="11" bestFit="1" customWidth="1"/>
    <col min="1807" max="2048" width="9.140625" style="11"/>
    <col min="2049" max="2049" width="24.140625" style="11" customWidth="1"/>
    <col min="2050" max="2050" width="15" style="11" bestFit="1" customWidth="1"/>
    <col min="2051" max="2051" width="11.140625" style="11" customWidth="1"/>
    <col min="2052" max="2052" width="10.140625" style="11" customWidth="1"/>
    <col min="2053" max="2053" width="10" style="11" customWidth="1"/>
    <col min="2054" max="2054" width="12.42578125" style="11" bestFit="1" customWidth="1"/>
    <col min="2055" max="2056" width="9.140625" style="11"/>
    <col min="2057" max="2057" width="11.5703125" style="11" customWidth="1"/>
    <col min="2058" max="2058" width="9.140625" style="11"/>
    <col min="2059" max="2059" width="15.5703125" style="11" customWidth="1"/>
    <col min="2060" max="2060" width="9.140625" style="11"/>
    <col min="2061" max="2061" width="9" style="11" customWidth="1"/>
    <col min="2062" max="2062" width="11.85546875" style="11" bestFit="1" customWidth="1"/>
    <col min="2063" max="2304" width="9.140625" style="11"/>
    <col min="2305" max="2305" width="24.140625" style="11" customWidth="1"/>
    <col min="2306" max="2306" width="15" style="11" bestFit="1" customWidth="1"/>
    <col min="2307" max="2307" width="11.140625" style="11" customWidth="1"/>
    <col min="2308" max="2308" width="10.140625" style="11" customWidth="1"/>
    <col min="2309" max="2309" width="10" style="11" customWidth="1"/>
    <col min="2310" max="2310" width="12.42578125" style="11" bestFit="1" customWidth="1"/>
    <col min="2311" max="2312" width="9.140625" style="11"/>
    <col min="2313" max="2313" width="11.5703125" style="11" customWidth="1"/>
    <col min="2314" max="2314" width="9.140625" style="11"/>
    <col min="2315" max="2315" width="15.5703125" style="11" customWidth="1"/>
    <col min="2316" max="2316" width="9.140625" style="11"/>
    <col min="2317" max="2317" width="9" style="11" customWidth="1"/>
    <col min="2318" max="2318" width="11.85546875" style="11" bestFit="1" customWidth="1"/>
    <col min="2319" max="2560" width="9.140625" style="11"/>
    <col min="2561" max="2561" width="24.140625" style="11" customWidth="1"/>
    <col min="2562" max="2562" width="15" style="11" bestFit="1" customWidth="1"/>
    <col min="2563" max="2563" width="11.140625" style="11" customWidth="1"/>
    <col min="2564" max="2564" width="10.140625" style="11" customWidth="1"/>
    <col min="2565" max="2565" width="10" style="11" customWidth="1"/>
    <col min="2566" max="2566" width="12.42578125" style="11" bestFit="1" customWidth="1"/>
    <col min="2567" max="2568" width="9.140625" style="11"/>
    <col min="2569" max="2569" width="11.5703125" style="11" customWidth="1"/>
    <col min="2570" max="2570" width="9.140625" style="11"/>
    <col min="2571" max="2571" width="15.5703125" style="11" customWidth="1"/>
    <col min="2572" max="2572" width="9.140625" style="11"/>
    <col min="2573" max="2573" width="9" style="11" customWidth="1"/>
    <col min="2574" max="2574" width="11.85546875" style="11" bestFit="1" customWidth="1"/>
    <col min="2575" max="2816" width="9.140625" style="11"/>
    <col min="2817" max="2817" width="24.140625" style="11" customWidth="1"/>
    <col min="2818" max="2818" width="15" style="11" bestFit="1" customWidth="1"/>
    <col min="2819" max="2819" width="11.140625" style="11" customWidth="1"/>
    <col min="2820" max="2820" width="10.140625" style="11" customWidth="1"/>
    <col min="2821" max="2821" width="10" style="11" customWidth="1"/>
    <col min="2822" max="2822" width="12.42578125" style="11" bestFit="1" customWidth="1"/>
    <col min="2823" max="2824" width="9.140625" style="11"/>
    <col min="2825" max="2825" width="11.5703125" style="11" customWidth="1"/>
    <col min="2826" max="2826" width="9.140625" style="11"/>
    <col min="2827" max="2827" width="15.5703125" style="11" customWidth="1"/>
    <col min="2828" max="2828" width="9.140625" style="11"/>
    <col min="2829" max="2829" width="9" style="11" customWidth="1"/>
    <col min="2830" max="2830" width="11.85546875" style="11" bestFit="1" customWidth="1"/>
    <col min="2831" max="3072" width="9.140625" style="11"/>
    <col min="3073" max="3073" width="24.140625" style="11" customWidth="1"/>
    <col min="3074" max="3074" width="15" style="11" bestFit="1" customWidth="1"/>
    <col min="3075" max="3075" width="11.140625" style="11" customWidth="1"/>
    <col min="3076" max="3076" width="10.140625" style="11" customWidth="1"/>
    <col min="3077" max="3077" width="10" style="11" customWidth="1"/>
    <col min="3078" max="3078" width="12.42578125" style="11" bestFit="1" customWidth="1"/>
    <col min="3079" max="3080" width="9.140625" style="11"/>
    <col min="3081" max="3081" width="11.5703125" style="11" customWidth="1"/>
    <col min="3082" max="3082" width="9.140625" style="11"/>
    <col min="3083" max="3083" width="15.5703125" style="11" customWidth="1"/>
    <col min="3084" max="3084" width="9.140625" style="11"/>
    <col min="3085" max="3085" width="9" style="11" customWidth="1"/>
    <col min="3086" max="3086" width="11.85546875" style="11" bestFit="1" customWidth="1"/>
    <col min="3087" max="3328" width="9.140625" style="11"/>
    <col min="3329" max="3329" width="24.140625" style="11" customWidth="1"/>
    <col min="3330" max="3330" width="15" style="11" bestFit="1" customWidth="1"/>
    <col min="3331" max="3331" width="11.140625" style="11" customWidth="1"/>
    <col min="3332" max="3332" width="10.140625" style="11" customWidth="1"/>
    <col min="3333" max="3333" width="10" style="11" customWidth="1"/>
    <col min="3334" max="3334" width="12.42578125" style="11" bestFit="1" customWidth="1"/>
    <col min="3335" max="3336" width="9.140625" style="11"/>
    <col min="3337" max="3337" width="11.5703125" style="11" customWidth="1"/>
    <col min="3338" max="3338" width="9.140625" style="11"/>
    <col min="3339" max="3339" width="15.5703125" style="11" customWidth="1"/>
    <col min="3340" max="3340" width="9.140625" style="11"/>
    <col min="3341" max="3341" width="9" style="11" customWidth="1"/>
    <col min="3342" max="3342" width="11.85546875" style="11" bestFit="1" customWidth="1"/>
    <col min="3343" max="3584" width="9.140625" style="11"/>
    <col min="3585" max="3585" width="24.140625" style="11" customWidth="1"/>
    <col min="3586" max="3586" width="15" style="11" bestFit="1" customWidth="1"/>
    <col min="3587" max="3587" width="11.140625" style="11" customWidth="1"/>
    <col min="3588" max="3588" width="10.140625" style="11" customWidth="1"/>
    <col min="3589" max="3589" width="10" style="11" customWidth="1"/>
    <col min="3590" max="3590" width="12.42578125" style="11" bestFit="1" customWidth="1"/>
    <col min="3591" max="3592" width="9.140625" style="11"/>
    <col min="3593" max="3593" width="11.5703125" style="11" customWidth="1"/>
    <col min="3594" max="3594" width="9.140625" style="11"/>
    <col min="3595" max="3595" width="15.5703125" style="11" customWidth="1"/>
    <col min="3596" max="3596" width="9.140625" style="11"/>
    <col min="3597" max="3597" width="9" style="11" customWidth="1"/>
    <col min="3598" max="3598" width="11.85546875" style="11" bestFit="1" customWidth="1"/>
    <col min="3599" max="3840" width="9.140625" style="11"/>
    <col min="3841" max="3841" width="24.140625" style="11" customWidth="1"/>
    <col min="3842" max="3842" width="15" style="11" bestFit="1" customWidth="1"/>
    <col min="3843" max="3843" width="11.140625" style="11" customWidth="1"/>
    <col min="3844" max="3844" width="10.140625" style="11" customWidth="1"/>
    <col min="3845" max="3845" width="10" style="11" customWidth="1"/>
    <col min="3846" max="3846" width="12.42578125" style="11" bestFit="1" customWidth="1"/>
    <col min="3847" max="3848" width="9.140625" style="11"/>
    <col min="3849" max="3849" width="11.5703125" style="11" customWidth="1"/>
    <col min="3850" max="3850" width="9.140625" style="11"/>
    <col min="3851" max="3851" width="15.5703125" style="11" customWidth="1"/>
    <col min="3852" max="3852" width="9.140625" style="11"/>
    <col min="3853" max="3853" width="9" style="11" customWidth="1"/>
    <col min="3854" max="3854" width="11.85546875" style="11" bestFit="1" customWidth="1"/>
    <col min="3855" max="4096" width="9.140625" style="11"/>
    <col min="4097" max="4097" width="24.140625" style="11" customWidth="1"/>
    <col min="4098" max="4098" width="15" style="11" bestFit="1" customWidth="1"/>
    <col min="4099" max="4099" width="11.140625" style="11" customWidth="1"/>
    <col min="4100" max="4100" width="10.140625" style="11" customWidth="1"/>
    <col min="4101" max="4101" width="10" style="11" customWidth="1"/>
    <col min="4102" max="4102" width="12.42578125" style="11" bestFit="1" customWidth="1"/>
    <col min="4103" max="4104" width="9.140625" style="11"/>
    <col min="4105" max="4105" width="11.5703125" style="11" customWidth="1"/>
    <col min="4106" max="4106" width="9.140625" style="11"/>
    <col min="4107" max="4107" width="15.5703125" style="11" customWidth="1"/>
    <col min="4108" max="4108" width="9.140625" style="11"/>
    <col min="4109" max="4109" width="9" style="11" customWidth="1"/>
    <col min="4110" max="4110" width="11.85546875" style="11" bestFit="1" customWidth="1"/>
    <col min="4111" max="4352" width="9.140625" style="11"/>
    <col min="4353" max="4353" width="24.140625" style="11" customWidth="1"/>
    <col min="4354" max="4354" width="15" style="11" bestFit="1" customWidth="1"/>
    <col min="4355" max="4355" width="11.140625" style="11" customWidth="1"/>
    <col min="4356" max="4356" width="10.140625" style="11" customWidth="1"/>
    <col min="4357" max="4357" width="10" style="11" customWidth="1"/>
    <col min="4358" max="4358" width="12.42578125" style="11" bestFit="1" customWidth="1"/>
    <col min="4359" max="4360" width="9.140625" style="11"/>
    <col min="4361" max="4361" width="11.5703125" style="11" customWidth="1"/>
    <col min="4362" max="4362" width="9.140625" style="11"/>
    <col min="4363" max="4363" width="15.5703125" style="11" customWidth="1"/>
    <col min="4364" max="4364" width="9.140625" style="11"/>
    <col min="4365" max="4365" width="9" style="11" customWidth="1"/>
    <col min="4366" max="4366" width="11.85546875" style="11" bestFit="1" customWidth="1"/>
    <col min="4367" max="4608" width="9.140625" style="11"/>
    <col min="4609" max="4609" width="24.140625" style="11" customWidth="1"/>
    <col min="4610" max="4610" width="15" style="11" bestFit="1" customWidth="1"/>
    <col min="4611" max="4611" width="11.140625" style="11" customWidth="1"/>
    <col min="4612" max="4612" width="10.140625" style="11" customWidth="1"/>
    <col min="4613" max="4613" width="10" style="11" customWidth="1"/>
    <col min="4614" max="4614" width="12.42578125" style="11" bestFit="1" customWidth="1"/>
    <col min="4615" max="4616" width="9.140625" style="11"/>
    <col min="4617" max="4617" width="11.5703125" style="11" customWidth="1"/>
    <col min="4618" max="4618" width="9.140625" style="11"/>
    <col min="4619" max="4619" width="15.5703125" style="11" customWidth="1"/>
    <col min="4620" max="4620" width="9.140625" style="11"/>
    <col min="4621" max="4621" width="9" style="11" customWidth="1"/>
    <col min="4622" max="4622" width="11.85546875" style="11" bestFit="1" customWidth="1"/>
    <col min="4623" max="4864" width="9.140625" style="11"/>
    <col min="4865" max="4865" width="24.140625" style="11" customWidth="1"/>
    <col min="4866" max="4866" width="15" style="11" bestFit="1" customWidth="1"/>
    <col min="4867" max="4867" width="11.140625" style="11" customWidth="1"/>
    <col min="4868" max="4868" width="10.140625" style="11" customWidth="1"/>
    <col min="4869" max="4869" width="10" style="11" customWidth="1"/>
    <col min="4870" max="4870" width="12.42578125" style="11" bestFit="1" customWidth="1"/>
    <col min="4871" max="4872" width="9.140625" style="11"/>
    <col min="4873" max="4873" width="11.5703125" style="11" customWidth="1"/>
    <col min="4874" max="4874" width="9.140625" style="11"/>
    <col min="4875" max="4875" width="15.5703125" style="11" customWidth="1"/>
    <col min="4876" max="4876" width="9.140625" style="11"/>
    <col min="4877" max="4877" width="9" style="11" customWidth="1"/>
    <col min="4878" max="4878" width="11.85546875" style="11" bestFit="1" customWidth="1"/>
    <col min="4879" max="5120" width="9.140625" style="11"/>
    <col min="5121" max="5121" width="24.140625" style="11" customWidth="1"/>
    <col min="5122" max="5122" width="15" style="11" bestFit="1" customWidth="1"/>
    <col min="5123" max="5123" width="11.140625" style="11" customWidth="1"/>
    <col min="5124" max="5124" width="10.140625" style="11" customWidth="1"/>
    <col min="5125" max="5125" width="10" style="11" customWidth="1"/>
    <col min="5126" max="5126" width="12.42578125" style="11" bestFit="1" customWidth="1"/>
    <col min="5127" max="5128" width="9.140625" style="11"/>
    <col min="5129" max="5129" width="11.5703125" style="11" customWidth="1"/>
    <col min="5130" max="5130" width="9.140625" style="11"/>
    <col min="5131" max="5131" width="15.5703125" style="11" customWidth="1"/>
    <col min="5132" max="5132" width="9.140625" style="11"/>
    <col min="5133" max="5133" width="9" style="11" customWidth="1"/>
    <col min="5134" max="5134" width="11.85546875" style="11" bestFit="1" customWidth="1"/>
    <col min="5135" max="5376" width="9.140625" style="11"/>
    <col min="5377" max="5377" width="24.140625" style="11" customWidth="1"/>
    <col min="5378" max="5378" width="15" style="11" bestFit="1" customWidth="1"/>
    <col min="5379" max="5379" width="11.140625" style="11" customWidth="1"/>
    <col min="5380" max="5380" width="10.140625" style="11" customWidth="1"/>
    <col min="5381" max="5381" width="10" style="11" customWidth="1"/>
    <col min="5382" max="5382" width="12.42578125" style="11" bestFit="1" customWidth="1"/>
    <col min="5383" max="5384" width="9.140625" style="11"/>
    <col min="5385" max="5385" width="11.5703125" style="11" customWidth="1"/>
    <col min="5386" max="5386" width="9.140625" style="11"/>
    <col min="5387" max="5387" width="15.5703125" style="11" customWidth="1"/>
    <col min="5388" max="5388" width="9.140625" style="11"/>
    <col min="5389" max="5389" width="9" style="11" customWidth="1"/>
    <col min="5390" max="5390" width="11.85546875" style="11" bestFit="1" customWidth="1"/>
    <col min="5391" max="5632" width="9.140625" style="11"/>
    <col min="5633" max="5633" width="24.140625" style="11" customWidth="1"/>
    <col min="5634" max="5634" width="15" style="11" bestFit="1" customWidth="1"/>
    <col min="5635" max="5635" width="11.140625" style="11" customWidth="1"/>
    <col min="5636" max="5636" width="10.140625" style="11" customWidth="1"/>
    <col min="5637" max="5637" width="10" style="11" customWidth="1"/>
    <col min="5638" max="5638" width="12.42578125" style="11" bestFit="1" customWidth="1"/>
    <col min="5639" max="5640" width="9.140625" style="11"/>
    <col min="5641" max="5641" width="11.5703125" style="11" customWidth="1"/>
    <col min="5642" max="5642" width="9.140625" style="11"/>
    <col min="5643" max="5643" width="15.5703125" style="11" customWidth="1"/>
    <col min="5644" max="5644" width="9.140625" style="11"/>
    <col min="5645" max="5645" width="9" style="11" customWidth="1"/>
    <col min="5646" max="5646" width="11.85546875" style="11" bestFit="1" customWidth="1"/>
    <col min="5647" max="5888" width="9.140625" style="11"/>
    <col min="5889" max="5889" width="24.140625" style="11" customWidth="1"/>
    <col min="5890" max="5890" width="15" style="11" bestFit="1" customWidth="1"/>
    <col min="5891" max="5891" width="11.140625" style="11" customWidth="1"/>
    <col min="5892" max="5892" width="10.140625" style="11" customWidth="1"/>
    <col min="5893" max="5893" width="10" style="11" customWidth="1"/>
    <col min="5894" max="5894" width="12.42578125" style="11" bestFit="1" customWidth="1"/>
    <col min="5895" max="5896" width="9.140625" style="11"/>
    <col min="5897" max="5897" width="11.5703125" style="11" customWidth="1"/>
    <col min="5898" max="5898" width="9.140625" style="11"/>
    <col min="5899" max="5899" width="15.5703125" style="11" customWidth="1"/>
    <col min="5900" max="5900" width="9.140625" style="11"/>
    <col min="5901" max="5901" width="9" style="11" customWidth="1"/>
    <col min="5902" max="5902" width="11.85546875" style="11" bestFit="1" customWidth="1"/>
    <col min="5903" max="6144" width="9.140625" style="11"/>
    <col min="6145" max="6145" width="24.140625" style="11" customWidth="1"/>
    <col min="6146" max="6146" width="15" style="11" bestFit="1" customWidth="1"/>
    <col min="6147" max="6147" width="11.140625" style="11" customWidth="1"/>
    <col min="6148" max="6148" width="10.140625" style="11" customWidth="1"/>
    <col min="6149" max="6149" width="10" style="11" customWidth="1"/>
    <col min="6150" max="6150" width="12.42578125" style="11" bestFit="1" customWidth="1"/>
    <col min="6151" max="6152" width="9.140625" style="11"/>
    <col min="6153" max="6153" width="11.5703125" style="11" customWidth="1"/>
    <col min="6154" max="6154" width="9.140625" style="11"/>
    <col min="6155" max="6155" width="15.5703125" style="11" customWidth="1"/>
    <col min="6156" max="6156" width="9.140625" style="11"/>
    <col min="6157" max="6157" width="9" style="11" customWidth="1"/>
    <col min="6158" max="6158" width="11.85546875" style="11" bestFit="1" customWidth="1"/>
    <col min="6159" max="6400" width="9.140625" style="11"/>
    <col min="6401" max="6401" width="24.140625" style="11" customWidth="1"/>
    <col min="6402" max="6402" width="15" style="11" bestFit="1" customWidth="1"/>
    <col min="6403" max="6403" width="11.140625" style="11" customWidth="1"/>
    <col min="6404" max="6404" width="10.140625" style="11" customWidth="1"/>
    <col min="6405" max="6405" width="10" style="11" customWidth="1"/>
    <col min="6406" max="6406" width="12.42578125" style="11" bestFit="1" customWidth="1"/>
    <col min="6407" max="6408" width="9.140625" style="11"/>
    <col min="6409" max="6409" width="11.5703125" style="11" customWidth="1"/>
    <col min="6410" max="6410" width="9.140625" style="11"/>
    <col min="6411" max="6411" width="15.5703125" style="11" customWidth="1"/>
    <col min="6412" max="6412" width="9.140625" style="11"/>
    <col min="6413" max="6413" width="9" style="11" customWidth="1"/>
    <col min="6414" max="6414" width="11.85546875" style="11" bestFit="1" customWidth="1"/>
    <col min="6415" max="6656" width="9.140625" style="11"/>
    <col min="6657" max="6657" width="24.140625" style="11" customWidth="1"/>
    <col min="6658" max="6658" width="15" style="11" bestFit="1" customWidth="1"/>
    <col min="6659" max="6659" width="11.140625" style="11" customWidth="1"/>
    <col min="6660" max="6660" width="10.140625" style="11" customWidth="1"/>
    <col min="6661" max="6661" width="10" style="11" customWidth="1"/>
    <col min="6662" max="6662" width="12.42578125" style="11" bestFit="1" customWidth="1"/>
    <col min="6663" max="6664" width="9.140625" style="11"/>
    <col min="6665" max="6665" width="11.5703125" style="11" customWidth="1"/>
    <col min="6666" max="6666" width="9.140625" style="11"/>
    <col min="6667" max="6667" width="15.5703125" style="11" customWidth="1"/>
    <col min="6668" max="6668" width="9.140625" style="11"/>
    <col min="6669" max="6669" width="9" style="11" customWidth="1"/>
    <col min="6670" max="6670" width="11.85546875" style="11" bestFit="1" customWidth="1"/>
    <col min="6671" max="6912" width="9.140625" style="11"/>
    <col min="6913" max="6913" width="24.140625" style="11" customWidth="1"/>
    <col min="6914" max="6914" width="15" style="11" bestFit="1" customWidth="1"/>
    <col min="6915" max="6915" width="11.140625" style="11" customWidth="1"/>
    <col min="6916" max="6916" width="10.140625" style="11" customWidth="1"/>
    <col min="6917" max="6917" width="10" style="11" customWidth="1"/>
    <col min="6918" max="6918" width="12.42578125" style="11" bestFit="1" customWidth="1"/>
    <col min="6919" max="6920" width="9.140625" style="11"/>
    <col min="6921" max="6921" width="11.5703125" style="11" customWidth="1"/>
    <col min="6922" max="6922" width="9.140625" style="11"/>
    <col min="6923" max="6923" width="15.5703125" style="11" customWidth="1"/>
    <col min="6924" max="6924" width="9.140625" style="11"/>
    <col min="6925" max="6925" width="9" style="11" customWidth="1"/>
    <col min="6926" max="6926" width="11.85546875" style="11" bestFit="1" customWidth="1"/>
    <col min="6927" max="7168" width="9.140625" style="11"/>
    <col min="7169" max="7169" width="24.140625" style="11" customWidth="1"/>
    <col min="7170" max="7170" width="15" style="11" bestFit="1" customWidth="1"/>
    <col min="7171" max="7171" width="11.140625" style="11" customWidth="1"/>
    <col min="7172" max="7172" width="10.140625" style="11" customWidth="1"/>
    <col min="7173" max="7173" width="10" style="11" customWidth="1"/>
    <col min="7174" max="7174" width="12.42578125" style="11" bestFit="1" customWidth="1"/>
    <col min="7175" max="7176" width="9.140625" style="11"/>
    <col min="7177" max="7177" width="11.5703125" style="11" customWidth="1"/>
    <col min="7178" max="7178" width="9.140625" style="11"/>
    <col min="7179" max="7179" width="15.5703125" style="11" customWidth="1"/>
    <col min="7180" max="7180" width="9.140625" style="11"/>
    <col min="7181" max="7181" width="9" style="11" customWidth="1"/>
    <col min="7182" max="7182" width="11.85546875" style="11" bestFit="1" customWidth="1"/>
    <col min="7183" max="7424" width="9.140625" style="11"/>
    <col min="7425" max="7425" width="24.140625" style="11" customWidth="1"/>
    <col min="7426" max="7426" width="15" style="11" bestFit="1" customWidth="1"/>
    <col min="7427" max="7427" width="11.140625" style="11" customWidth="1"/>
    <col min="7428" max="7428" width="10.140625" style="11" customWidth="1"/>
    <col min="7429" max="7429" width="10" style="11" customWidth="1"/>
    <col min="7430" max="7430" width="12.42578125" style="11" bestFit="1" customWidth="1"/>
    <col min="7431" max="7432" width="9.140625" style="11"/>
    <col min="7433" max="7433" width="11.5703125" style="11" customWidth="1"/>
    <col min="7434" max="7434" width="9.140625" style="11"/>
    <col min="7435" max="7435" width="15.5703125" style="11" customWidth="1"/>
    <col min="7436" max="7436" width="9.140625" style="11"/>
    <col min="7437" max="7437" width="9" style="11" customWidth="1"/>
    <col min="7438" max="7438" width="11.85546875" style="11" bestFit="1" customWidth="1"/>
    <col min="7439" max="7680" width="9.140625" style="11"/>
    <col min="7681" max="7681" width="24.140625" style="11" customWidth="1"/>
    <col min="7682" max="7682" width="15" style="11" bestFit="1" customWidth="1"/>
    <col min="7683" max="7683" width="11.140625" style="11" customWidth="1"/>
    <col min="7684" max="7684" width="10.140625" style="11" customWidth="1"/>
    <col min="7685" max="7685" width="10" style="11" customWidth="1"/>
    <col min="7686" max="7686" width="12.42578125" style="11" bestFit="1" customWidth="1"/>
    <col min="7687" max="7688" width="9.140625" style="11"/>
    <col min="7689" max="7689" width="11.5703125" style="11" customWidth="1"/>
    <col min="7690" max="7690" width="9.140625" style="11"/>
    <col min="7691" max="7691" width="15.5703125" style="11" customWidth="1"/>
    <col min="7692" max="7692" width="9.140625" style="11"/>
    <col min="7693" max="7693" width="9" style="11" customWidth="1"/>
    <col min="7694" max="7694" width="11.85546875" style="11" bestFit="1" customWidth="1"/>
    <col min="7695" max="7936" width="9.140625" style="11"/>
    <col min="7937" max="7937" width="24.140625" style="11" customWidth="1"/>
    <col min="7938" max="7938" width="15" style="11" bestFit="1" customWidth="1"/>
    <col min="7939" max="7939" width="11.140625" style="11" customWidth="1"/>
    <col min="7940" max="7940" width="10.140625" style="11" customWidth="1"/>
    <col min="7941" max="7941" width="10" style="11" customWidth="1"/>
    <col min="7942" max="7942" width="12.42578125" style="11" bestFit="1" customWidth="1"/>
    <col min="7943" max="7944" width="9.140625" style="11"/>
    <col min="7945" max="7945" width="11.5703125" style="11" customWidth="1"/>
    <col min="7946" max="7946" width="9.140625" style="11"/>
    <col min="7947" max="7947" width="15.5703125" style="11" customWidth="1"/>
    <col min="7948" max="7948" width="9.140625" style="11"/>
    <col min="7949" max="7949" width="9" style="11" customWidth="1"/>
    <col min="7950" max="7950" width="11.85546875" style="11" bestFit="1" customWidth="1"/>
    <col min="7951" max="8192" width="9.140625" style="11"/>
    <col min="8193" max="8193" width="24.140625" style="11" customWidth="1"/>
    <col min="8194" max="8194" width="15" style="11" bestFit="1" customWidth="1"/>
    <col min="8195" max="8195" width="11.140625" style="11" customWidth="1"/>
    <col min="8196" max="8196" width="10.140625" style="11" customWidth="1"/>
    <col min="8197" max="8197" width="10" style="11" customWidth="1"/>
    <col min="8198" max="8198" width="12.42578125" style="11" bestFit="1" customWidth="1"/>
    <col min="8199" max="8200" width="9.140625" style="11"/>
    <col min="8201" max="8201" width="11.5703125" style="11" customWidth="1"/>
    <col min="8202" max="8202" width="9.140625" style="11"/>
    <col min="8203" max="8203" width="15.5703125" style="11" customWidth="1"/>
    <col min="8204" max="8204" width="9.140625" style="11"/>
    <col min="8205" max="8205" width="9" style="11" customWidth="1"/>
    <col min="8206" max="8206" width="11.85546875" style="11" bestFit="1" customWidth="1"/>
    <col min="8207" max="8448" width="9.140625" style="11"/>
    <col min="8449" max="8449" width="24.140625" style="11" customWidth="1"/>
    <col min="8450" max="8450" width="15" style="11" bestFit="1" customWidth="1"/>
    <col min="8451" max="8451" width="11.140625" style="11" customWidth="1"/>
    <col min="8452" max="8452" width="10.140625" style="11" customWidth="1"/>
    <col min="8453" max="8453" width="10" style="11" customWidth="1"/>
    <col min="8454" max="8454" width="12.42578125" style="11" bestFit="1" customWidth="1"/>
    <col min="8455" max="8456" width="9.140625" style="11"/>
    <col min="8457" max="8457" width="11.5703125" style="11" customWidth="1"/>
    <col min="8458" max="8458" width="9.140625" style="11"/>
    <col min="8459" max="8459" width="15.5703125" style="11" customWidth="1"/>
    <col min="8460" max="8460" width="9.140625" style="11"/>
    <col min="8461" max="8461" width="9" style="11" customWidth="1"/>
    <col min="8462" max="8462" width="11.85546875" style="11" bestFit="1" customWidth="1"/>
    <col min="8463" max="8704" width="9.140625" style="11"/>
    <col min="8705" max="8705" width="24.140625" style="11" customWidth="1"/>
    <col min="8706" max="8706" width="15" style="11" bestFit="1" customWidth="1"/>
    <col min="8707" max="8707" width="11.140625" style="11" customWidth="1"/>
    <col min="8708" max="8708" width="10.140625" style="11" customWidth="1"/>
    <col min="8709" max="8709" width="10" style="11" customWidth="1"/>
    <col min="8710" max="8710" width="12.42578125" style="11" bestFit="1" customWidth="1"/>
    <col min="8711" max="8712" width="9.140625" style="11"/>
    <col min="8713" max="8713" width="11.5703125" style="11" customWidth="1"/>
    <col min="8714" max="8714" width="9.140625" style="11"/>
    <col min="8715" max="8715" width="15.5703125" style="11" customWidth="1"/>
    <col min="8716" max="8716" width="9.140625" style="11"/>
    <col min="8717" max="8717" width="9" style="11" customWidth="1"/>
    <col min="8718" max="8718" width="11.85546875" style="11" bestFit="1" customWidth="1"/>
    <col min="8719" max="8960" width="9.140625" style="11"/>
    <col min="8961" max="8961" width="24.140625" style="11" customWidth="1"/>
    <col min="8962" max="8962" width="15" style="11" bestFit="1" customWidth="1"/>
    <col min="8963" max="8963" width="11.140625" style="11" customWidth="1"/>
    <col min="8964" max="8964" width="10.140625" style="11" customWidth="1"/>
    <col min="8965" max="8965" width="10" style="11" customWidth="1"/>
    <col min="8966" max="8966" width="12.42578125" style="11" bestFit="1" customWidth="1"/>
    <col min="8967" max="8968" width="9.140625" style="11"/>
    <col min="8969" max="8969" width="11.5703125" style="11" customWidth="1"/>
    <col min="8970" max="8970" width="9.140625" style="11"/>
    <col min="8971" max="8971" width="15.5703125" style="11" customWidth="1"/>
    <col min="8972" max="8972" width="9.140625" style="11"/>
    <col min="8973" max="8973" width="9" style="11" customWidth="1"/>
    <col min="8974" max="8974" width="11.85546875" style="11" bestFit="1" customWidth="1"/>
    <col min="8975" max="9216" width="9.140625" style="11"/>
    <col min="9217" max="9217" width="24.140625" style="11" customWidth="1"/>
    <col min="9218" max="9218" width="15" style="11" bestFit="1" customWidth="1"/>
    <col min="9219" max="9219" width="11.140625" style="11" customWidth="1"/>
    <col min="9220" max="9220" width="10.140625" style="11" customWidth="1"/>
    <col min="9221" max="9221" width="10" style="11" customWidth="1"/>
    <col min="9222" max="9222" width="12.42578125" style="11" bestFit="1" customWidth="1"/>
    <col min="9223" max="9224" width="9.140625" style="11"/>
    <col min="9225" max="9225" width="11.5703125" style="11" customWidth="1"/>
    <col min="9226" max="9226" width="9.140625" style="11"/>
    <col min="9227" max="9227" width="15.5703125" style="11" customWidth="1"/>
    <col min="9228" max="9228" width="9.140625" style="11"/>
    <col min="9229" max="9229" width="9" style="11" customWidth="1"/>
    <col min="9230" max="9230" width="11.85546875" style="11" bestFit="1" customWidth="1"/>
    <col min="9231" max="9472" width="9.140625" style="11"/>
    <col min="9473" max="9473" width="24.140625" style="11" customWidth="1"/>
    <col min="9474" max="9474" width="15" style="11" bestFit="1" customWidth="1"/>
    <col min="9475" max="9475" width="11.140625" style="11" customWidth="1"/>
    <col min="9476" max="9476" width="10.140625" style="11" customWidth="1"/>
    <col min="9477" max="9477" width="10" style="11" customWidth="1"/>
    <col min="9478" max="9478" width="12.42578125" style="11" bestFit="1" customWidth="1"/>
    <col min="9479" max="9480" width="9.140625" style="11"/>
    <col min="9481" max="9481" width="11.5703125" style="11" customWidth="1"/>
    <col min="9482" max="9482" width="9.140625" style="11"/>
    <col min="9483" max="9483" width="15.5703125" style="11" customWidth="1"/>
    <col min="9484" max="9484" width="9.140625" style="11"/>
    <col min="9485" max="9485" width="9" style="11" customWidth="1"/>
    <col min="9486" max="9486" width="11.85546875" style="11" bestFit="1" customWidth="1"/>
    <col min="9487" max="9728" width="9.140625" style="11"/>
    <col min="9729" max="9729" width="24.140625" style="11" customWidth="1"/>
    <col min="9730" max="9730" width="15" style="11" bestFit="1" customWidth="1"/>
    <col min="9731" max="9731" width="11.140625" style="11" customWidth="1"/>
    <col min="9732" max="9732" width="10.140625" style="11" customWidth="1"/>
    <col min="9733" max="9733" width="10" style="11" customWidth="1"/>
    <col min="9734" max="9734" width="12.42578125" style="11" bestFit="1" customWidth="1"/>
    <col min="9735" max="9736" width="9.140625" style="11"/>
    <col min="9737" max="9737" width="11.5703125" style="11" customWidth="1"/>
    <col min="9738" max="9738" width="9.140625" style="11"/>
    <col min="9739" max="9739" width="15.5703125" style="11" customWidth="1"/>
    <col min="9740" max="9740" width="9.140625" style="11"/>
    <col min="9741" max="9741" width="9" style="11" customWidth="1"/>
    <col min="9742" max="9742" width="11.85546875" style="11" bestFit="1" customWidth="1"/>
    <col min="9743" max="9984" width="9.140625" style="11"/>
    <col min="9985" max="9985" width="24.140625" style="11" customWidth="1"/>
    <col min="9986" max="9986" width="15" style="11" bestFit="1" customWidth="1"/>
    <col min="9987" max="9987" width="11.140625" style="11" customWidth="1"/>
    <col min="9988" max="9988" width="10.140625" style="11" customWidth="1"/>
    <col min="9989" max="9989" width="10" style="11" customWidth="1"/>
    <col min="9990" max="9990" width="12.42578125" style="11" bestFit="1" customWidth="1"/>
    <col min="9991" max="9992" width="9.140625" style="11"/>
    <col min="9993" max="9993" width="11.5703125" style="11" customWidth="1"/>
    <col min="9994" max="9994" width="9.140625" style="11"/>
    <col min="9995" max="9995" width="15.5703125" style="11" customWidth="1"/>
    <col min="9996" max="9996" width="9.140625" style="11"/>
    <col min="9997" max="9997" width="9" style="11" customWidth="1"/>
    <col min="9998" max="9998" width="11.85546875" style="11" bestFit="1" customWidth="1"/>
    <col min="9999" max="10240" width="9.140625" style="11"/>
    <col min="10241" max="10241" width="24.140625" style="11" customWidth="1"/>
    <col min="10242" max="10242" width="15" style="11" bestFit="1" customWidth="1"/>
    <col min="10243" max="10243" width="11.140625" style="11" customWidth="1"/>
    <col min="10244" max="10244" width="10.140625" style="11" customWidth="1"/>
    <col min="10245" max="10245" width="10" style="11" customWidth="1"/>
    <col min="10246" max="10246" width="12.42578125" style="11" bestFit="1" customWidth="1"/>
    <col min="10247" max="10248" width="9.140625" style="11"/>
    <col min="10249" max="10249" width="11.5703125" style="11" customWidth="1"/>
    <col min="10250" max="10250" width="9.140625" style="11"/>
    <col min="10251" max="10251" width="15.5703125" style="11" customWidth="1"/>
    <col min="10252" max="10252" width="9.140625" style="11"/>
    <col min="10253" max="10253" width="9" style="11" customWidth="1"/>
    <col min="10254" max="10254" width="11.85546875" style="11" bestFit="1" customWidth="1"/>
    <col min="10255" max="10496" width="9.140625" style="11"/>
    <col min="10497" max="10497" width="24.140625" style="11" customWidth="1"/>
    <col min="10498" max="10498" width="15" style="11" bestFit="1" customWidth="1"/>
    <col min="10499" max="10499" width="11.140625" style="11" customWidth="1"/>
    <col min="10500" max="10500" width="10.140625" style="11" customWidth="1"/>
    <col min="10501" max="10501" width="10" style="11" customWidth="1"/>
    <col min="10502" max="10502" width="12.42578125" style="11" bestFit="1" customWidth="1"/>
    <col min="10503" max="10504" width="9.140625" style="11"/>
    <col min="10505" max="10505" width="11.5703125" style="11" customWidth="1"/>
    <col min="10506" max="10506" width="9.140625" style="11"/>
    <col min="10507" max="10507" width="15.5703125" style="11" customWidth="1"/>
    <col min="10508" max="10508" width="9.140625" style="11"/>
    <col min="10509" max="10509" width="9" style="11" customWidth="1"/>
    <col min="10510" max="10510" width="11.85546875" style="11" bestFit="1" customWidth="1"/>
    <col min="10511" max="10752" width="9.140625" style="11"/>
    <col min="10753" max="10753" width="24.140625" style="11" customWidth="1"/>
    <col min="10754" max="10754" width="15" style="11" bestFit="1" customWidth="1"/>
    <col min="10755" max="10755" width="11.140625" style="11" customWidth="1"/>
    <col min="10756" max="10756" width="10.140625" style="11" customWidth="1"/>
    <col min="10757" max="10757" width="10" style="11" customWidth="1"/>
    <col min="10758" max="10758" width="12.42578125" style="11" bestFit="1" customWidth="1"/>
    <col min="10759" max="10760" width="9.140625" style="11"/>
    <col min="10761" max="10761" width="11.5703125" style="11" customWidth="1"/>
    <col min="10762" max="10762" width="9.140625" style="11"/>
    <col min="10763" max="10763" width="15.5703125" style="11" customWidth="1"/>
    <col min="10764" max="10764" width="9.140625" style="11"/>
    <col min="10765" max="10765" width="9" style="11" customWidth="1"/>
    <col min="10766" max="10766" width="11.85546875" style="11" bestFit="1" customWidth="1"/>
    <col min="10767" max="11008" width="9.140625" style="11"/>
    <col min="11009" max="11009" width="24.140625" style="11" customWidth="1"/>
    <col min="11010" max="11010" width="15" style="11" bestFit="1" customWidth="1"/>
    <col min="11011" max="11011" width="11.140625" style="11" customWidth="1"/>
    <col min="11012" max="11012" width="10.140625" style="11" customWidth="1"/>
    <col min="11013" max="11013" width="10" style="11" customWidth="1"/>
    <col min="11014" max="11014" width="12.42578125" style="11" bestFit="1" customWidth="1"/>
    <col min="11015" max="11016" width="9.140625" style="11"/>
    <col min="11017" max="11017" width="11.5703125" style="11" customWidth="1"/>
    <col min="11018" max="11018" width="9.140625" style="11"/>
    <col min="11019" max="11019" width="15.5703125" style="11" customWidth="1"/>
    <col min="11020" max="11020" width="9.140625" style="11"/>
    <col min="11021" max="11021" width="9" style="11" customWidth="1"/>
    <col min="11022" max="11022" width="11.85546875" style="11" bestFit="1" customWidth="1"/>
    <col min="11023" max="11264" width="9.140625" style="11"/>
    <col min="11265" max="11265" width="24.140625" style="11" customWidth="1"/>
    <col min="11266" max="11266" width="15" style="11" bestFit="1" customWidth="1"/>
    <col min="11267" max="11267" width="11.140625" style="11" customWidth="1"/>
    <col min="11268" max="11268" width="10.140625" style="11" customWidth="1"/>
    <col min="11269" max="11269" width="10" style="11" customWidth="1"/>
    <col min="11270" max="11270" width="12.42578125" style="11" bestFit="1" customWidth="1"/>
    <col min="11271" max="11272" width="9.140625" style="11"/>
    <col min="11273" max="11273" width="11.5703125" style="11" customWidth="1"/>
    <col min="11274" max="11274" width="9.140625" style="11"/>
    <col min="11275" max="11275" width="15.5703125" style="11" customWidth="1"/>
    <col min="11276" max="11276" width="9.140625" style="11"/>
    <col min="11277" max="11277" width="9" style="11" customWidth="1"/>
    <col min="11278" max="11278" width="11.85546875" style="11" bestFit="1" customWidth="1"/>
    <col min="11279" max="11520" width="9.140625" style="11"/>
    <col min="11521" max="11521" width="24.140625" style="11" customWidth="1"/>
    <col min="11522" max="11522" width="15" style="11" bestFit="1" customWidth="1"/>
    <col min="11523" max="11523" width="11.140625" style="11" customWidth="1"/>
    <col min="11524" max="11524" width="10.140625" style="11" customWidth="1"/>
    <col min="11525" max="11525" width="10" style="11" customWidth="1"/>
    <col min="11526" max="11526" width="12.42578125" style="11" bestFit="1" customWidth="1"/>
    <col min="11527" max="11528" width="9.140625" style="11"/>
    <col min="11529" max="11529" width="11.5703125" style="11" customWidth="1"/>
    <col min="11530" max="11530" width="9.140625" style="11"/>
    <col min="11531" max="11531" width="15.5703125" style="11" customWidth="1"/>
    <col min="11532" max="11532" width="9.140625" style="11"/>
    <col min="11533" max="11533" width="9" style="11" customWidth="1"/>
    <col min="11534" max="11534" width="11.85546875" style="11" bestFit="1" customWidth="1"/>
    <col min="11535" max="11776" width="9.140625" style="11"/>
    <col min="11777" max="11777" width="24.140625" style="11" customWidth="1"/>
    <col min="11778" max="11778" width="15" style="11" bestFit="1" customWidth="1"/>
    <col min="11779" max="11779" width="11.140625" style="11" customWidth="1"/>
    <col min="11780" max="11780" width="10.140625" style="11" customWidth="1"/>
    <col min="11781" max="11781" width="10" style="11" customWidth="1"/>
    <col min="11782" max="11782" width="12.42578125" style="11" bestFit="1" customWidth="1"/>
    <col min="11783" max="11784" width="9.140625" style="11"/>
    <col min="11785" max="11785" width="11.5703125" style="11" customWidth="1"/>
    <col min="11786" max="11786" width="9.140625" style="11"/>
    <col min="11787" max="11787" width="15.5703125" style="11" customWidth="1"/>
    <col min="11788" max="11788" width="9.140625" style="11"/>
    <col min="11789" max="11789" width="9" style="11" customWidth="1"/>
    <col min="11790" max="11790" width="11.85546875" style="11" bestFit="1" customWidth="1"/>
    <col min="11791" max="12032" width="9.140625" style="11"/>
    <col min="12033" max="12033" width="24.140625" style="11" customWidth="1"/>
    <col min="12034" max="12034" width="15" style="11" bestFit="1" customWidth="1"/>
    <col min="12035" max="12035" width="11.140625" style="11" customWidth="1"/>
    <col min="12036" max="12036" width="10.140625" style="11" customWidth="1"/>
    <col min="12037" max="12037" width="10" style="11" customWidth="1"/>
    <col min="12038" max="12038" width="12.42578125" style="11" bestFit="1" customWidth="1"/>
    <col min="12039" max="12040" width="9.140625" style="11"/>
    <col min="12041" max="12041" width="11.5703125" style="11" customWidth="1"/>
    <col min="12042" max="12042" width="9.140625" style="11"/>
    <col min="12043" max="12043" width="15.5703125" style="11" customWidth="1"/>
    <col min="12044" max="12044" width="9.140625" style="11"/>
    <col min="12045" max="12045" width="9" style="11" customWidth="1"/>
    <col min="12046" max="12046" width="11.85546875" style="11" bestFit="1" customWidth="1"/>
    <col min="12047" max="12288" width="9.140625" style="11"/>
    <col min="12289" max="12289" width="24.140625" style="11" customWidth="1"/>
    <col min="12290" max="12290" width="15" style="11" bestFit="1" customWidth="1"/>
    <col min="12291" max="12291" width="11.140625" style="11" customWidth="1"/>
    <col min="12292" max="12292" width="10.140625" style="11" customWidth="1"/>
    <col min="12293" max="12293" width="10" style="11" customWidth="1"/>
    <col min="12294" max="12294" width="12.42578125" style="11" bestFit="1" customWidth="1"/>
    <col min="12295" max="12296" width="9.140625" style="11"/>
    <col min="12297" max="12297" width="11.5703125" style="11" customWidth="1"/>
    <col min="12298" max="12298" width="9.140625" style="11"/>
    <col min="12299" max="12299" width="15.5703125" style="11" customWidth="1"/>
    <col min="12300" max="12300" width="9.140625" style="11"/>
    <col min="12301" max="12301" width="9" style="11" customWidth="1"/>
    <col min="12302" max="12302" width="11.85546875" style="11" bestFit="1" customWidth="1"/>
    <col min="12303" max="12544" width="9.140625" style="11"/>
    <col min="12545" max="12545" width="24.140625" style="11" customWidth="1"/>
    <col min="12546" max="12546" width="15" style="11" bestFit="1" customWidth="1"/>
    <col min="12547" max="12547" width="11.140625" style="11" customWidth="1"/>
    <col min="12548" max="12548" width="10.140625" style="11" customWidth="1"/>
    <col min="12549" max="12549" width="10" style="11" customWidth="1"/>
    <col min="12550" max="12550" width="12.42578125" style="11" bestFit="1" customWidth="1"/>
    <col min="12551" max="12552" width="9.140625" style="11"/>
    <col min="12553" max="12553" width="11.5703125" style="11" customWidth="1"/>
    <col min="12554" max="12554" width="9.140625" style="11"/>
    <col min="12555" max="12555" width="15.5703125" style="11" customWidth="1"/>
    <col min="12556" max="12556" width="9.140625" style="11"/>
    <col min="12557" max="12557" width="9" style="11" customWidth="1"/>
    <col min="12558" max="12558" width="11.85546875" style="11" bestFit="1" customWidth="1"/>
    <col min="12559" max="12800" width="9.140625" style="11"/>
    <col min="12801" max="12801" width="24.140625" style="11" customWidth="1"/>
    <col min="12802" max="12802" width="15" style="11" bestFit="1" customWidth="1"/>
    <col min="12803" max="12803" width="11.140625" style="11" customWidth="1"/>
    <col min="12804" max="12804" width="10.140625" style="11" customWidth="1"/>
    <col min="12805" max="12805" width="10" style="11" customWidth="1"/>
    <col min="12806" max="12806" width="12.42578125" style="11" bestFit="1" customWidth="1"/>
    <col min="12807" max="12808" width="9.140625" style="11"/>
    <col min="12809" max="12809" width="11.5703125" style="11" customWidth="1"/>
    <col min="12810" max="12810" width="9.140625" style="11"/>
    <col min="12811" max="12811" width="15.5703125" style="11" customWidth="1"/>
    <col min="12812" max="12812" width="9.140625" style="11"/>
    <col min="12813" max="12813" width="9" style="11" customWidth="1"/>
    <col min="12814" max="12814" width="11.85546875" style="11" bestFit="1" customWidth="1"/>
    <col min="12815" max="13056" width="9.140625" style="11"/>
    <col min="13057" max="13057" width="24.140625" style="11" customWidth="1"/>
    <col min="13058" max="13058" width="15" style="11" bestFit="1" customWidth="1"/>
    <col min="13059" max="13059" width="11.140625" style="11" customWidth="1"/>
    <col min="13060" max="13060" width="10.140625" style="11" customWidth="1"/>
    <col min="13061" max="13061" width="10" style="11" customWidth="1"/>
    <col min="13062" max="13062" width="12.42578125" style="11" bestFit="1" customWidth="1"/>
    <col min="13063" max="13064" width="9.140625" style="11"/>
    <col min="13065" max="13065" width="11.5703125" style="11" customWidth="1"/>
    <col min="13066" max="13066" width="9.140625" style="11"/>
    <col min="13067" max="13067" width="15.5703125" style="11" customWidth="1"/>
    <col min="13068" max="13068" width="9.140625" style="11"/>
    <col min="13069" max="13069" width="9" style="11" customWidth="1"/>
    <col min="13070" max="13070" width="11.85546875" style="11" bestFit="1" customWidth="1"/>
    <col min="13071" max="13312" width="9.140625" style="11"/>
    <col min="13313" max="13313" width="24.140625" style="11" customWidth="1"/>
    <col min="13314" max="13314" width="15" style="11" bestFit="1" customWidth="1"/>
    <col min="13315" max="13315" width="11.140625" style="11" customWidth="1"/>
    <col min="13316" max="13316" width="10.140625" style="11" customWidth="1"/>
    <col min="13317" max="13317" width="10" style="11" customWidth="1"/>
    <col min="13318" max="13318" width="12.42578125" style="11" bestFit="1" customWidth="1"/>
    <col min="13319" max="13320" width="9.140625" style="11"/>
    <col min="13321" max="13321" width="11.5703125" style="11" customWidth="1"/>
    <col min="13322" max="13322" width="9.140625" style="11"/>
    <col min="13323" max="13323" width="15.5703125" style="11" customWidth="1"/>
    <col min="13324" max="13324" width="9.140625" style="11"/>
    <col min="13325" max="13325" width="9" style="11" customWidth="1"/>
    <col min="13326" max="13326" width="11.85546875" style="11" bestFit="1" customWidth="1"/>
    <col min="13327" max="13568" width="9.140625" style="11"/>
    <col min="13569" max="13569" width="24.140625" style="11" customWidth="1"/>
    <col min="13570" max="13570" width="15" style="11" bestFit="1" customWidth="1"/>
    <col min="13571" max="13571" width="11.140625" style="11" customWidth="1"/>
    <col min="13572" max="13572" width="10.140625" style="11" customWidth="1"/>
    <col min="13573" max="13573" width="10" style="11" customWidth="1"/>
    <col min="13574" max="13574" width="12.42578125" style="11" bestFit="1" customWidth="1"/>
    <col min="13575" max="13576" width="9.140625" style="11"/>
    <col min="13577" max="13577" width="11.5703125" style="11" customWidth="1"/>
    <col min="13578" max="13578" width="9.140625" style="11"/>
    <col min="13579" max="13579" width="15.5703125" style="11" customWidth="1"/>
    <col min="13580" max="13580" width="9.140625" style="11"/>
    <col min="13581" max="13581" width="9" style="11" customWidth="1"/>
    <col min="13582" max="13582" width="11.85546875" style="11" bestFit="1" customWidth="1"/>
    <col min="13583" max="13824" width="9.140625" style="11"/>
    <col min="13825" max="13825" width="24.140625" style="11" customWidth="1"/>
    <col min="13826" max="13826" width="15" style="11" bestFit="1" customWidth="1"/>
    <col min="13827" max="13827" width="11.140625" style="11" customWidth="1"/>
    <col min="13828" max="13828" width="10.140625" style="11" customWidth="1"/>
    <col min="13829" max="13829" width="10" style="11" customWidth="1"/>
    <col min="13830" max="13830" width="12.42578125" style="11" bestFit="1" customWidth="1"/>
    <col min="13831" max="13832" width="9.140625" style="11"/>
    <col min="13833" max="13833" width="11.5703125" style="11" customWidth="1"/>
    <col min="13834" max="13834" width="9.140625" style="11"/>
    <col min="13835" max="13835" width="15.5703125" style="11" customWidth="1"/>
    <col min="13836" max="13836" width="9.140625" style="11"/>
    <col min="13837" max="13837" width="9" style="11" customWidth="1"/>
    <col min="13838" max="13838" width="11.85546875" style="11" bestFit="1" customWidth="1"/>
    <col min="13839" max="14080" width="9.140625" style="11"/>
    <col min="14081" max="14081" width="24.140625" style="11" customWidth="1"/>
    <col min="14082" max="14082" width="15" style="11" bestFit="1" customWidth="1"/>
    <col min="14083" max="14083" width="11.140625" style="11" customWidth="1"/>
    <col min="14084" max="14084" width="10.140625" style="11" customWidth="1"/>
    <col min="14085" max="14085" width="10" style="11" customWidth="1"/>
    <col min="14086" max="14086" width="12.42578125" style="11" bestFit="1" customWidth="1"/>
    <col min="14087" max="14088" width="9.140625" style="11"/>
    <col min="14089" max="14089" width="11.5703125" style="11" customWidth="1"/>
    <col min="14090" max="14090" width="9.140625" style="11"/>
    <col min="14091" max="14091" width="15.5703125" style="11" customWidth="1"/>
    <col min="14092" max="14092" width="9.140625" style="11"/>
    <col min="14093" max="14093" width="9" style="11" customWidth="1"/>
    <col min="14094" max="14094" width="11.85546875" style="11" bestFit="1" customWidth="1"/>
    <col min="14095" max="14336" width="9.140625" style="11"/>
    <col min="14337" max="14337" width="24.140625" style="11" customWidth="1"/>
    <col min="14338" max="14338" width="15" style="11" bestFit="1" customWidth="1"/>
    <col min="14339" max="14339" width="11.140625" style="11" customWidth="1"/>
    <col min="14340" max="14340" width="10.140625" style="11" customWidth="1"/>
    <col min="14341" max="14341" width="10" style="11" customWidth="1"/>
    <col min="14342" max="14342" width="12.42578125" style="11" bestFit="1" customWidth="1"/>
    <col min="14343" max="14344" width="9.140625" style="11"/>
    <col min="14345" max="14345" width="11.5703125" style="11" customWidth="1"/>
    <col min="14346" max="14346" width="9.140625" style="11"/>
    <col min="14347" max="14347" width="15.5703125" style="11" customWidth="1"/>
    <col min="14348" max="14348" width="9.140625" style="11"/>
    <col min="14349" max="14349" width="9" style="11" customWidth="1"/>
    <col min="14350" max="14350" width="11.85546875" style="11" bestFit="1" customWidth="1"/>
    <col min="14351" max="14592" width="9.140625" style="11"/>
    <col min="14593" max="14593" width="24.140625" style="11" customWidth="1"/>
    <col min="14594" max="14594" width="15" style="11" bestFit="1" customWidth="1"/>
    <col min="14595" max="14595" width="11.140625" style="11" customWidth="1"/>
    <col min="14596" max="14596" width="10.140625" style="11" customWidth="1"/>
    <col min="14597" max="14597" width="10" style="11" customWidth="1"/>
    <col min="14598" max="14598" width="12.42578125" style="11" bestFit="1" customWidth="1"/>
    <col min="14599" max="14600" width="9.140625" style="11"/>
    <col min="14601" max="14601" width="11.5703125" style="11" customWidth="1"/>
    <col min="14602" max="14602" width="9.140625" style="11"/>
    <col min="14603" max="14603" width="15.5703125" style="11" customWidth="1"/>
    <col min="14604" max="14604" width="9.140625" style="11"/>
    <col min="14605" max="14605" width="9" style="11" customWidth="1"/>
    <col min="14606" max="14606" width="11.85546875" style="11" bestFit="1" customWidth="1"/>
    <col min="14607" max="14848" width="9.140625" style="11"/>
    <col min="14849" max="14849" width="24.140625" style="11" customWidth="1"/>
    <col min="14850" max="14850" width="15" style="11" bestFit="1" customWidth="1"/>
    <col min="14851" max="14851" width="11.140625" style="11" customWidth="1"/>
    <col min="14852" max="14852" width="10.140625" style="11" customWidth="1"/>
    <col min="14853" max="14853" width="10" style="11" customWidth="1"/>
    <col min="14854" max="14854" width="12.42578125" style="11" bestFit="1" customWidth="1"/>
    <col min="14855" max="14856" width="9.140625" style="11"/>
    <col min="14857" max="14857" width="11.5703125" style="11" customWidth="1"/>
    <col min="14858" max="14858" width="9.140625" style="11"/>
    <col min="14859" max="14859" width="15.5703125" style="11" customWidth="1"/>
    <col min="14860" max="14860" width="9.140625" style="11"/>
    <col min="14861" max="14861" width="9" style="11" customWidth="1"/>
    <col min="14862" max="14862" width="11.85546875" style="11" bestFit="1" customWidth="1"/>
    <col min="14863" max="15104" width="9.140625" style="11"/>
    <col min="15105" max="15105" width="24.140625" style="11" customWidth="1"/>
    <col min="15106" max="15106" width="15" style="11" bestFit="1" customWidth="1"/>
    <col min="15107" max="15107" width="11.140625" style="11" customWidth="1"/>
    <col min="15108" max="15108" width="10.140625" style="11" customWidth="1"/>
    <col min="15109" max="15109" width="10" style="11" customWidth="1"/>
    <col min="15110" max="15110" width="12.42578125" style="11" bestFit="1" customWidth="1"/>
    <col min="15111" max="15112" width="9.140625" style="11"/>
    <col min="15113" max="15113" width="11.5703125" style="11" customWidth="1"/>
    <col min="15114" max="15114" width="9.140625" style="11"/>
    <col min="15115" max="15115" width="15.5703125" style="11" customWidth="1"/>
    <col min="15116" max="15116" width="9.140625" style="11"/>
    <col min="15117" max="15117" width="9" style="11" customWidth="1"/>
    <col min="15118" max="15118" width="11.85546875" style="11" bestFit="1" customWidth="1"/>
    <col min="15119" max="15360" width="9.140625" style="11"/>
    <col min="15361" max="15361" width="24.140625" style="11" customWidth="1"/>
    <col min="15362" max="15362" width="15" style="11" bestFit="1" customWidth="1"/>
    <col min="15363" max="15363" width="11.140625" style="11" customWidth="1"/>
    <col min="15364" max="15364" width="10.140625" style="11" customWidth="1"/>
    <col min="15365" max="15365" width="10" style="11" customWidth="1"/>
    <col min="15366" max="15366" width="12.42578125" style="11" bestFit="1" customWidth="1"/>
    <col min="15367" max="15368" width="9.140625" style="11"/>
    <col min="15369" max="15369" width="11.5703125" style="11" customWidth="1"/>
    <col min="15370" max="15370" width="9.140625" style="11"/>
    <col min="15371" max="15371" width="15.5703125" style="11" customWidth="1"/>
    <col min="15372" max="15372" width="9.140625" style="11"/>
    <col min="15373" max="15373" width="9" style="11" customWidth="1"/>
    <col min="15374" max="15374" width="11.85546875" style="11" bestFit="1" customWidth="1"/>
    <col min="15375" max="15616" width="9.140625" style="11"/>
    <col min="15617" max="15617" width="24.140625" style="11" customWidth="1"/>
    <col min="15618" max="15618" width="15" style="11" bestFit="1" customWidth="1"/>
    <col min="15619" max="15619" width="11.140625" style="11" customWidth="1"/>
    <col min="15620" max="15620" width="10.140625" style="11" customWidth="1"/>
    <col min="15621" max="15621" width="10" style="11" customWidth="1"/>
    <col min="15622" max="15622" width="12.42578125" style="11" bestFit="1" customWidth="1"/>
    <col min="15623" max="15624" width="9.140625" style="11"/>
    <col min="15625" max="15625" width="11.5703125" style="11" customWidth="1"/>
    <col min="15626" max="15626" width="9.140625" style="11"/>
    <col min="15627" max="15627" width="15.5703125" style="11" customWidth="1"/>
    <col min="15628" max="15628" width="9.140625" style="11"/>
    <col min="15629" max="15629" width="9" style="11" customWidth="1"/>
    <col min="15630" max="15630" width="11.85546875" style="11" bestFit="1" customWidth="1"/>
    <col min="15631" max="15872" width="9.140625" style="11"/>
    <col min="15873" max="15873" width="24.140625" style="11" customWidth="1"/>
    <col min="15874" max="15874" width="15" style="11" bestFit="1" customWidth="1"/>
    <col min="15875" max="15875" width="11.140625" style="11" customWidth="1"/>
    <col min="15876" max="15876" width="10.140625" style="11" customWidth="1"/>
    <col min="15877" max="15877" width="10" style="11" customWidth="1"/>
    <col min="15878" max="15878" width="12.42578125" style="11" bestFit="1" customWidth="1"/>
    <col min="15879" max="15880" width="9.140625" style="11"/>
    <col min="15881" max="15881" width="11.5703125" style="11" customWidth="1"/>
    <col min="15882" max="15882" width="9.140625" style="11"/>
    <col min="15883" max="15883" width="15.5703125" style="11" customWidth="1"/>
    <col min="15884" max="15884" width="9.140625" style="11"/>
    <col min="15885" max="15885" width="9" style="11" customWidth="1"/>
    <col min="15886" max="15886" width="11.85546875" style="11" bestFit="1" customWidth="1"/>
    <col min="15887" max="16128" width="9.140625" style="11"/>
    <col min="16129" max="16129" width="24.140625" style="11" customWidth="1"/>
    <col min="16130" max="16130" width="15" style="11" bestFit="1" customWidth="1"/>
    <col min="16131" max="16131" width="11.140625" style="11" customWidth="1"/>
    <col min="16132" max="16132" width="10.140625" style="11" customWidth="1"/>
    <col min="16133" max="16133" width="10" style="11" customWidth="1"/>
    <col min="16134" max="16134" width="12.42578125" style="11" bestFit="1" customWidth="1"/>
    <col min="16135" max="16136" width="9.140625" style="11"/>
    <col min="16137" max="16137" width="11.5703125" style="11" customWidth="1"/>
    <col min="16138" max="16138" width="9.140625" style="11"/>
    <col min="16139" max="16139" width="15.5703125" style="11" customWidth="1"/>
    <col min="16140" max="16140" width="9.140625" style="11"/>
    <col min="16141" max="16141" width="9" style="11" customWidth="1"/>
    <col min="16142" max="16142" width="11.85546875" style="11" bestFit="1" customWidth="1"/>
    <col min="16143" max="16384" width="9.140625" style="11"/>
  </cols>
  <sheetData>
    <row r="1" spans="1:11">
      <c r="A1" s="20" t="s">
        <v>149</v>
      </c>
      <c r="H1" s="33"/>
    </row>
    <row r="2" spans="1:11">
      <c r="H2" s="33"/>
    </row>
    <row r="3" spans="1:11">
      <c r="A3" s="20" t="s">
        <v>150</v>
      </c>
      <c r="K3" s="20"/>
    </row>
    <row r="4" spans="1:11">
      <c r="A4" s="11" t="s">
        <v>151</v>
      </c>
      <c r="B4" s="11">
        <v>1</v>
      </c>
      <c r="C4" s="11">
        <v>2</v>
      </c>
      <c r="D4" s="11">
        <v>3</v>
      </c>
      <c r="E4" s="11">
        <v>4</v>
      </c>
      <c r="F4" s="11">
        <v>5</v>
      </c>
      <c r="G4" s="11">
        <v>6</v>
      </c>
      <c r="H4" s="11">
        <v>7</v>
      </c>
    </row>
    <row r="5" spans="1:11">
      <c r="A5" s="11" t="s">
        <v>152</v>
      </c>
      <c r="B5" s="39">
        <v>5</v>
      </c>
      <c r="C5" s="72">
        <v>2.4</v>
      </c>
      <c r="D5" s="72">
        <v>3.5</v>
      </c>
      <c r="E5" s="72">
        <v>5.9</v>
      </c>
      <c r="F5" s="72">
        <v>6.9</v>
      </c>
      <c r="G5" s="72">
        <v>4.5</v>
      </c>
      <c r="H5" s="72">
        <v>3</v>
      </c>
    </row>
    <row r="6" spans="1:11">
      <c r="A6" s="11" t="s">
        <v>153</v>
      </c>
      <c r="B6" s="72">
        <v>5.6</v>
      </c>
      <c r="C6" s="72">
        <v>2.7</v>
      </c>
      <c r="D6" s="72">
        <v>3.9</v>
      </c>
      <c r="E6" s="72">
        <v>6.8</v>
      </c>
      <c r="F6" s="72">
        <v>7.7</v>
      </c>
      <c r="G6" s="72">
        <v>5.0999999999999996</v>
      </c>
      <c r="H6" s="72">
        <v>3.3</v>
      </c>
    </row>
    <row r="7" spans="1:11">
      <c r="A7" s="11" t="s">
        <v>154</v>
      </c>
      <c r="B7" s="123">
        <f>(B6-B5)/B5</f>
        <v>0.11999999999999993</v>
      </c>
      <c r="C7" s="123">
        <f t="shared" ref="C7:H7" si="0">(C6-C5)/C5</f>
        <v>0.12500000000000011</v>
      </c>
      <c r="D7" s="123">
        <f t="shared" si="0"/>
        <v>0.11428571428571425</v>
      </c>
      <c r="E7" s="123">
        <f t="shared" si="0"/>
        <v>0.15254237288135583</v>
      </c>
      <c r="F7" s="123">
        <f t="shared" si="0"/>
        <v>0.11594202898550722</v>
      </c>
      <c r="G7" s="123">
        <f t="shared" si="0"/>
        <v>0.13333333333333325</v>
      </c>
      <c r="H7" s="123">
        <f t="shared" si="0"/>
        <v>9.9999999999999936E-2</v>
      </c>
    </row>
    <row r="9" spans="1:11">
      <c r="A9" s="20" t="s">
        <v>155</v>
      </c>
    </row>
    <row r="10" spans="1:11">
      <c r="A10" s="11" t="s">
        <v>156</v>
      </c>
      <c r="B10" s="47">
        <v>0</v>
      </c>
      <c r="C10" s="47">
        <v>1</v>
      </c>
      <c r="D10" s="47">
        <v>1</v>
      </c>
      <c r="E10" s="47">
        <v>1</v>
      </c>
      <c r="F10" s="47">
        <v>0</v>
      </c>
      <c r="G10" s="47">
        <v>0</v>
      </c>
      <c r="H10" s="47">
        <v>1</v>
      </c>
    </row>
    <row r="11" spans="1:11">
      <c r="B11" s="28"/>
      <c r="C11" s="41"/>
      <c r="D11" s="41"/>
      <c r="E11" s="41"/>
      <c r="F11" s="41"/>
      <c r="G11" s="41"/>
      <c r="H11" s="41"/>
      <c r="I11" s="23"/>
      <c r="J11" s="23"/>
    </row>
    <row r="12" spans="1:11">
      <c r="A12" s="20" t="s">
        <v>157</v>
      </c>
      <c r="B12" s="41"/>
      <c r="C12" s="41"/>
      <c r="D12" s="41"/>
      <c r="E12" s="41"/>
      <c r="F12" s="41"/>
      <c r="G12" s="41"/>
      <c r="H12" s="41"/>
      <c r="I12" s="23"/>
      <c r="J12" s="23"/>
    </row>
    <row r="13" spans="1:11">
      <c r="B13" s="42" t="s">
        <v>158</v>
      </c>
      <c r="C13" s="42"/>
      <c r="D13" s="42" t="s">
        <v>159</v>
      </c>
      <c r="E13" s="42"/>
      <c r="H13" s="41"/>
      <c r="I13" s="23"/>
      <c r="J13" s="23"/>
    </row>
    <row r="14" spans="1:11">
      <c r="B14" s="94">
        <f>SUMPRODUCT(B5:H5,invLevels)</f>
        <v>14.8</v>
      </c>
      <c r="C14" s="44" t="s">
        <v>278</v>
      </c>
      <c r="D14" s="39">
        <v>15</v>
      </c>
      <c r="E14" s="43"/>
    </row>
    <row r="16" spans="1:11" ht="15.75" thickBot="1">
      <c r="A16" s="20" t="s">
        <v>74</v>
      </c>
    </row>
    <row r="17" spans="1:5" ht="15.75" thickBot="1">
      <c r="A17" s="22" t="s">
        <v>160</v>
      </c>
      <c r="B17" s="95">
        <f>SUMPRODUCT(B6:H6,invLevels)</f>
        <v>16.7</v>
      </c>
      <c r="C17" s="43"/>
      <c r="D17" s="43"/>
      <c r="E17" s="43"/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2"/>
  <sheetViews>
    <sheetView zoomScale="80" zoomScaleNormal="80" workbookViewId="0">
      <selection activeCell="N32" sqref="N32:O32"/>
    </sheetView>
  </sheetViews>
  <sheetFormatPr defaultRowHeight="15"/>
  <cols>
    <col min="1" max="1" width="30.140625" style="11" customWidth="1"/>
    <col min="2" max="2" width="13.5703125" style="11" bestFit="1" customWidth="1"/>
    <col min="3" max="3" width="12" style="11" customWidth="1"/>
    <col min="4" max="4" width="11.42578125" style="11" customWidth="1"/>
    <col min="5" max="5" width="9.140625" style="11"/>
    <col min="6" max="6" width="12" style="11" bestFit="1" customWidth="1"/>
    <col min="7" max="7" width="9.140625" style="11"/>
    <col min="8" max="8" width="17.42578125" style="11" customWidth="1"/>
    <col min="9" max="255" width="9.140625" style="11"/>
    <col min="256" max="256" width="30.140625" style="11" customWidth="1"/>
    <col min="257" max="257" width="13.5703125" style="11" bestFit="1" customWidth="1"/>
    <col min="258" max="258" width="12" style="11" customWidth="1"/>
    <col min="259" max="259" width="11.42578125" style="11" customWidth="1"/>
    <col min="260" max="263" width="9.140625" style="11"/>
    <col min="264" max="264" width="17.42578125" style="11" customWidth="1"/>
    <col min="265" max="511" width="9.140625" style="11"/>
    <col min="512" max="512" width="30.140625" style="11" customWidth="1"/>
    <col min="513" max="513" width="13.5703125" style="11" bestFit="1" customWidth="1"/>
    <col min="514" max="514" width="12" style="11" customWidth="1"/>
    <col min="515" max="515" width="11.42578125" style="11" customWidth="1"/>
    <col min="516" max="519" width="9.140625" style="11"/>
    <col min="520" max="520" width="17.42578125" style="11" customWidth="1"/>
    <col min="521" max="767" width="9.140625" style="11"/>
    <col min="768" max="768" width="30.140625" style="11" customWidth="1"/>
    <col min="769" max="769" width="13.5703125" style="11" bestFit="1" customWidth="1"/>
    <col min="770" max="770" width="12" style="11" customWidth="1"/>
    <col min="771" max="771" width="11.42578125" style="11" customWidth="1"/>
    <col min="772" max="775" width="9.140625" style="11"/>
    <col min="776" max="776" width="17.42578125" style="11" customWidth="1"/>
    <col min="777" max="1023" width="9.140625" style="11"/>
    <col min="1024" max="1024" width="30.140625" style="11" customWidth="1"/>
    <col min="1025" max="1025" width="13.5703125" style="11" bestFit="1" customWidth="1"/>
    <col min="1026" max="1026" width="12" style="11" customWidth="1"/>
    <col min="1027" max="1027" width="11.42578125" style="11" customWidth="1"/>
    <col min="1028" max="1031" width="9.140625" style="11"/>
    <col min="1032" max="1032" width="17.42578125" style="11" customWidth="1"/>
    <col min="1033" max="1279" width="9.140625" style="11"/>
    <col min="1280" max="1280" width="30.140625" style="11" customWidth="1"/>
    <col min="1281" max="1281" width="13.5703125" style="11" bestFit="1" customWidth="1"/>
    <col min="1282" max="1282" width="12" style="11" customWidth="1"/>
    <col min="1283" max="1283" width="11.42578125" style="11" customWidth="1"/>
    <col min="1284" max="1287" width="9.140625" style="11"/>
    <col min="1288" max="1288" width="17.42578125" style="11" customWidth="1"/>
    <col min="1289" max="1535" width="9.140625" style="11"/>
    <col min="1536" max="1536" width="30.140625" style="11" customWidth="1"/>
    <col min="1537" max="1537" width="13.5703125" style="11" bestFit="1" customWidth="1"/>
    <col min="1538" max="1538" width="12" style="11" customWidth="1"/>
    <col min="1539" max="1539" width="11.42578125" style="11" customWidth="1"/>
    <col min="1540" max="1543" width="9.140625" style="11"/>
    <col min="1544" max="1544" width="17.42578125" style="11" customWidth="1"/>
    <col min="1545" max="1791" width="9.140625" style="11"/>
    <col min="1792" max="1792" width="30.140625" style="11" customWidth="1"/>
    <col min="1793" max="1793" width="13.5703125" style="11" bestFit="1" customWidth="1"/>
    <col min="1794" max="1794" width="12" style="11" customWidth="1"/>
    <col min="1795" max="1795" width="11.42578125" style="11" customWidth="1"/>
    <col min="1796" max="1799" width="9.140625" style="11"/>
    <col min="1800" max="1800" width="17.42578125" style="11" customWidth="1"/>
    <col min="1801" max="2047" width="9.140625" style="11"/>
    <col min="2048" max="2048" width="30.140625" style="11" customWidth="1"/>
    <col min="2049" max="2049" width="13.5703125" style="11" bestFit="1" customWidth="1"/>
    <col min="2050" max="2050" width="12" style="11" customWidth="1"/>
    <col min="2051" max="2051" width="11.42578125" style="11" customWidth="1"/>
    <col min="2052" max="2055" width="9.140625" style="11"/>
    <col min="2056" max="2056" width="17.42578125" style="11" customWidth="1"/>
    <col min="2057" max="2303" width="9.140625" style="11"/>
    <col min="2304" max="2304" width="30.140625" style="11" customWidth="1"/>
    <col min="2305" max="2305" width="13.5703125" style="11" bestFit="1" customWidth="1"/>
    <col min="2306" max="2306" width="12" style="11" customWidth="1"/>
    <col min="2307" max="2307" width="11.42578125" style="11" customWidth="1"/>
    <col min="2308" max="2311" width="9.140625" style="11"/>
    <col min="2312" max="2312" width="17.42578125" style="11" customWidth="1"/>
    <col min="2313" max="2559" width="9.140625" style="11"/>
    <col min="2560" max="2560" width="30.140625" style="11" customWidth="1"/>
    <col min="2561" max="2561" width="13.5703125" style="11" bestFit="1" customWidth="1"/>
    <col min="2562" max="2562" width="12" style="11" customWidth="1"/>
    <col min="2563" max="2563" width="11.42578125" style="11" customWidth="1"/>
    <col min="2564" max="2567" width="9.140625" style="11"/>
    <col min="2568" max="2568" width="17.42578125" style="11" customWidth="1"/>
    <col min="2569" max="2815" width="9.140625" style="11"/>
    <col min="2816" max="2816" width="30.140625" style="11" customWidth="1"/>
    <col min="2817" max="2817" width="13.5703125" style="11" bestFit="1" customWidth="1"/>
    <col min="2818" max="2818" width="12" style="11" customWidth="1"/>
    <col min="2819" max="2819" width="11.42578125" style="11" customWidth="1"/>
    <col min="2820" max="2823" width="9.140625" style="11"/>
    <col min="2824" max="2824" width="17.42578125" style="11" customWidth="1"/>
    <col min="2825" max="3071" width="9.140625" style="11"/>
    <col min="3072" max="3072" width="30.140625" style="11" customWidth="1"/>
    <col min="3073" max="3073" width="13.5703125" style="11" bestFit="1" customWidth="1"/>
    <col min="3074" max="3074" width="12" style="11" customWidth="1"/>
    <col min="3075" max="3075" width="11.42578125" style="11" customWidth="1"/>
    <col min="3076" max="3079" width="9.140625" style="11"/>
    <col min="3080" max="3080" width="17.42578125" style="11" customWidth="1"/>
    <col min="3081" max="3327" width="9.140625" style="11"/>
    <col min="3328" max="3328" width="30.140625" style="11" customWidth="1"/>
    <col min="3329" max="3329" width="13.5703125" style="11" bestFit="1" customWidth="1"/>
    <col min="3330" max="3330" width="12" style="11" customWidth="1"/>
    <col min="3331" max="3331" width="11.42578125" style="11" customWidth="1"/>
    <col min="3332" max="3335" width="9.140625" style="11"/>
    <col min="3336" max="3336" width="17.42578125" style="11" customWidth="1"/>
    <col min="3337" max="3583" width="9.140625" style="11"/>
    <col min="3584" max="3584" width="30.140625" style="11" customWidth="1"/>
    <col min="3585" max="3585" width="13.5703125" style="11" bestFit="1" customWidth="1"/>
    <col min="3586" max="3586" width="12" style="11" customWidth="1"/>
    <col min="3587" max="3587" width="11.42578125" style="11" customWidth="1"/>
    <col min="3588" max="3591" width="9.140625" style="11"/>
    <col min="3592" max="3592" width="17.42578125" style="11" customWidth="1"/>
    <col min="3593" max="3839" width="9.140625" style="11"/>
    <col min="3840" max="3840" width="30.140625" style="11" customWidth="1"/>
    <col min="3841" max="3841" width="13.5703125" style="11" bestFit="1" customWidth="1"/>
    <col min="3842" max="3842" width="12" style="11" customWidth="1"/>
    <col min="3843" max="3843" width="11.42578125" style="11" customWidth="1"/>
    <col min="3844" max="3847" width="9.140625" style="11"/>
    <col min="3848" max="3848" width="17.42578125" style="11" customWidth="1"/>
    <col min="3849" max="4095" width="9.140625" style="11"/>
    <col min="4096" max="4096" width="30.140625" style="11" customWidth="1"/>
    <col min="4097" max="4097" width="13.5703125" style="11" bestFit="1" customWidth="1"/>
    <col min="4098" max="4098" width="12" style="11" customWidth="1"/>
    <col min="4099" max="4099" width="11.42578125" style="11" customWidth="1"/>
    <col min="4100" max="4103" width="9.140625" style="11"/>
    <col min="4104" max="4104" width="17.42578125" style="11" customWidth="1"/>
    <col min="4105" max="4351" width="9.140625" style="11"/>
    <col min="4352" max="4352" width="30.140625" style="11" customWidth="1"/>
    <col min="4353" max="4353" width="13.5703125" style="11" bestFit="1" customWidth="1"/>
    <col min="4354" max="4354" width="12" style="11" customWidth="1"/>
    <col min="4355" max="4355" width="11.42578125" style="11" customWidth="1"/>
    <col min="4356" max="4359" width="9.140625" style="11"/>
    <col min="4360" max="4360" width="17.42578125" style="11" customWidth="1"/>
    <col min="4361" max="4607" width="9.140625" style="11"/>
    <col min="4608" max="4608" width="30.140625" style="11" customWidth="1"/>
    <col min="4609" max="4609" width="13.5703125" style="11" bestFit="1" customWidth="1"/>
    <col min="4610" max="4610" width="12" style="11" customWidth="1"/>
    <col min="4611" max="4611" width="11.42578125" style="11" customWidth="1"/>
    <col min="4612" max="4615" width="9.140625" style="11"/>
    <col min="4616" max="4616" width="17.42578125" style="11" customWidth="1"/>
    <col min="4617" max="4863" width="9.140625" style="11"/>
    <col min="4864" max="4864" width="30.140625" style="11" customWidth="1"/>
    <col min="4865" max="4865" width="13.5703125" style="11" bestFit="1" customWidth="1"/>
    <col min="4866" max="4866" width="12" style="11" customWidth="1"/>
    <col min="4867" max="4867" width="11.42578125" style="11" customWidth="1"/>
    <col min="4868" max="4871" width="9.140625" style="11"/>
    <col min="4872" max="4872" width="17.42578125" style="11" customWidth="1"/>
    <col min="4873" max="5119" width="9.140625" style="11"/>
    <col min="5120" max="5120" width="30.140625" style="11" customWidth="1"/>
    <col min="5121" max="5121" width="13.5703125" style="11" bestFit="1" customWidth="1"/>
    <col min="5122" max="5122" width="12" style="11" customWidth="1"/>
    <col min="5123" max="5123" width="11.42578125" style="11" customWidth="1"/>
    <col min="5124" max="5127" width="9.140625" style="11"/>
    <col min="5128" max="5128" width="17.42578125" style="11" customWidth="1"/>
    <col min="5129" max="5375" width="9.140625" style="11"/>
    <col min="5376" max="5376" width="30.140625" style="11" customWidth="1"/>
    <col min="5377" max="5377" width="13.5703125" style="11" bestFit="1" customWidth="1"/>
    <col min="5378" max="5378" width="12" style="11" customWidth="1"/>
    <col min="5379" max="5379" width="11.42578125" style="11" customWidth="1"/>
    <col min="5380" max="5383" width="9.140625" style="11"/>
    <col min="5384" max="5384" width="17.42578125" style="11" customWidth="1"/>
    <col min="5385" max="5631" width="9.140625" style="11"/>
    <col min="5632" max="5632" width="30.140625" style="11" customWidth="1"/>
    <col min="5633" max="5633" width="13.5703125" style="11" bestFit="1" customWidth="1"/>
    <col min="5634" max="5634" width="12" style="11" customWidth="1"/>
    <col min="5635" max="5635" width="11.42578125" style="11" customWidth="1"/>
    <col min="5636" max="5639" width="9.140625" style="11"/>
    <col min="5640" max="5640" width="17.42578125" style="11" customWidth="1"/>
    <col min="5641" max="5887" width="9.140625" style="11"/>
    <col min="5888" max="5888" width="30.140625" style="11" customWidth="1"/>
    <col min="5889" max="5889" width="13.5703125" style="11" bestFit="1" customWidth="1"/>
    <col min="5890" max="5890" width="12" style="11" customWidth="1"/>
    <col min="5891" max="5891" width="11.42578125" style="11" customWidth="1"/>
    <col min="5892" max="5895" width="9.140625" style="11"/>
    <col min="5896" max="5896" width="17.42578125" style="11" customWidth="1"/>
    <col min="5897" max="6143" width="9.140625" style="11"/>
    <col min="6144" max="6144" width="30.140625" style="11" customWidth="1"/>
    <col min="6145" max="6145" width="13.5703125" style="11" bestFit="1" customWidth="1"/>
    <col min="6146" max="6146" width="12" style="11" customWidth="1"/>
    <col min="6147" max="6147" width="11.42578125" style="11" customWidth="1"/>
    <col min="6148" max="6151" width="9.140625" style="11"/>
    <col min="6152" max="6152" width="17.42578125" style="11" customWidth="1"/>
    <col min="6153" max="6399" width="9.140625" style="11"/>
    <col min="6400" max="6400" width="30.140625" style="11" customWidth="1"/>
    <col min="6401" max="6401" width="13.5703125" style="11" bestFit="1" customWidth="1"/>
    <col min="6402" max="6402" width="12" style="11" customWidth="1"/>
    <col min="6403" max="6403" width="11.42578125" style="11" customWidth="1"/>
    <col min="6404" max="6407" width="9.140625" style="11"/>
    <col min="6408" max="6408" width="17.42578125" style="11" customWidth="1"/>
    <col min="6409" max="6655" width="9.140625" style="11"/>
    <col min="6656" max="6656" width="30.140625" style="11" customWidth="1"/>
    <col min="6657" max="6657" width="13.5703125" style="11" bestFit="1" customWidth="1"/>
    <col min="6658" max="6658" width="12" style="11" customWidth="1"/>
    <col min="6659" max="6659" width="11.42578125" style="11" customWidth="1"/>
    <col min="6660" max="6663" width="9.140625" style="11"/>
    <col min="6664" max="6664" width="17.42578125" style="11" customWidth="1"/>
    <col min="6665" max="6911" width="9.140625" style="11"/>
    <col min="6912" max="6912" width="30.140625" style="11" customWidth="1"/>
    <col min="6913" max="6913" width="13.5703125" style="11" bestFit="1" customWidth="1"/>
    <col min="6914" max="6914" width="12" style="11" customWidth="1"/>
    <col min="6915" max="6915" width="11.42578125" style="11" customWidth="1"/>
    <col min="6916" max="6919" width="9.140625" style="11"/>
    <col min="6920" max="6920" width="17.42578125" style="11" customWidth="1"/>
    <col min="6921" max="7167" width="9.140625" style="11"/>
    <col min="7168" max="7168" width="30.140625" style="11" customWidth="1"/>
    <col min="7169" max="7169" width="13.5703125" style="11" bestFit="1" customWidth="1"/>
    <col min="7170" max="7170" width="12" style="11" customWidth="1"/>
    <col min="7171" max="7171" width="11.42578125" style="11" customWidth="1"/>
    <col min="7172" max="7175" width="9.140625" style="11"/>
    <col min="7176" max="7176" width="17.42578125" style="11" customWidth="1"/>
    <col min="7177" max="7423" width="9.140625" style="11"/>
    <col min="7424" max="7424" width="30.140625" style="11" customWidth="1"/>
    <col min="7425" max="7425" width="13.5703125" style="11" bestFit="1" customWidth="1"/>
    <col min="7426" max="7426" width="12" style="11" customWidth="1"/>
    <col min="7427" max="7427" width="11.42578125" style="11" customWidth="1"/>
    <col min="7428" max="7431" width="9.140625" style="11"/>
    <col min="7432" max="7432" width="17.42578125" style="11" customWidth="1"/>
    <col min="7433" max="7679" width="9.140625" style="11"/>
    <col min="7680" max="7680" width="30.140625" style="11" customWidth="1"/>
    <col min="7681" max="7681" width="13.5703125" style="11" bestFit="1" customWidth="1"/>
    <col min="7682" max="7682" width="12" style="11" customWidth="1"/>
    <col min="7683" max="7683" width="11.42578125" style="11" customWidth="1"/>
    <col min="7684" max="7687" width="9.140625" style="11"/>
    <col min="7688" max="7688" width="17.42578125" style="11" customWidth="1"/>
    <col min="7689" max="7935" width="9.140625" style="11"/>
    <col min="7936" max="7936" width="30.140625" style="11" customWidth="1"/>
    <col min="7937" max="7937" width="13.5703125" style="11" bestFit="1" customWidth="1"/>
    <col min="7938" max="7938" width="12" style="11" customWidth="1"/>
    <col min="7939" max="7939" width="11.42578125" style="11" customWidth="1"/>
    <col min="7940" max="7943" width="9.140625" style="11"/>
    <col min="7944" max="7944" width="17.42578125" style="11" customWidth="1"/>
    <col min="7945" max="8191" width="9.140625" style="11"/>
    <col min="8192" max="8192" width="30.140625" style="11" customWidth="1"/>
    <col min="8193" max="8193" width="13.5703125" style="11" bestFit="1" customWidth="1"/>
    <col min="8194" max="8194" width="12" style="11" customWidth="1"/>
    <col min="8195" max="8195" width="11.42578125" style="11" customWidth="1"/>
    <col min="8196" max="8199" width="9.140625" style="11"/>
    <col min="8200" max="8200" width="17.42578125" style="11" customWidth="1"/>
    <col min="8201" max="8447" width="9.140625" style="11"/>
    <col min="8448" max="8448" width="30.140625" style="11" customWidth="1"/>
    <col min="8449" max="8449" width="13.5703125" style="11" bestFit="1" customWidth="1"/>
    <col min="8450" max="8450" width="12" style="11" customWidth="1"/>
    <col min="8451" max="8451" width="11.42578125" style="11" customWidth="1"/>
    <col min="8452" max="8455" width="9.140625" style="11"/>
    <col min="8456" max="8456" width="17.42578125" style="11" customWidth="1"/>
    <col min="8457" max="8703" width="9.140625" style="11"/>
    <col min="8704" max="8704" width="30.140625" style="11" customWidth="1"/>
    <col min="8705" max="8705" width="13.5703125" style="11" bestFit="1" customWidth="1"/>
    <col min="8706" max="8706" width="12" style="11" customWidth="1"/>
    <col min="8707" max="8707" width="11.42578125" style="11" customWidth="1"/>
    <col min="8708" max="8711" width="9.140625" style="11"/>
    <col min="8712" max="8712" width="17.42578125" style="11" customWidth="1"/>
    <col min="8713" max="8959" width="9.140625" style="11"/>
    <col min="8960" max="8960" width="30.140625" style="11" customWidth="1"/>
    <col min="8961" max="8961" width="13.5703125" style="11" bestFit="1" customWidth="1"/>
    <col min="8962" max="8962" width="12" style="11" customWidth="1"/>
    <col min="8963" max="8963" width="11.42578125" style="11" customWidth="1"/>
    <col min="8964" max="8967" width="9.140625" style="11"/>
    <col min="8968" max="8968" width="17.42578125" style="11" customWidth="1"/>
    <col min="8969" max="9215" width="9.140625" style="11"/>
    <col min="9216" max="9216" width="30.140625" style="11" customWidth="1"/>
    <col min="9217" max="9217" width="13.5703125" style="11" bestFit="1" customWidth="1"/>
    <col min="9218" max="9218" width="12" style="11" customWidth="1"/>
    <col min="9219" max="9219" width="11.42578125" style="11" customWidth="1"/>
    <col min="9220" max="9223" width="9.140625" style="11"/>
    <col min="9224" max="9224" width="17.42578125" style="11" customWidth="1"/>
    <col min="9225" max="9471" width="9.140625" style="11"/>
    <col min="9472" max="9472" width="30.140625" style="11" customWidth="1"/>
    <col min="9473" max="9473" width="13.5703125" style="11" bestFit="1" customWidth="1"/>
    <col min="9474" max="9474" width="12" style="11" customWidth="1"/>
    <col min="9475" max="9475" width="11.42578125" style="11" customWidth="1"/>
    <col min="9476" max="9479" width="9.140625" style="11"/>
    <col min="9480" max="9480" width="17.42578125" style="11" customWidth="1"/>
    <col min="9481" max="9727" width="9.140625" style="11"/>
    <col min="9728" max="9728" width="30.140625" style="11" customWidth="1"/>
    <col min="9729" max="9729" width="13.5703125" style="11" bestFit="1" customWidth="1"/>
    <col min="9730" max="9730" width="12" style="11" customWidth="1"/>
    <col min="9731" max="9731" width="11.42578125" style="11" customWidth="1"/>
    <col min="9732" max="9735" width="9.140625" style="11"/>
    <col min="9736" max="9736" width="17.42578125" style="11" customWidth="1"/>
    <col min="9737" max="9983" width="9.140625" style="11"/>
    <col min="9984" max="9984" width="30.140625" style="11" customWidth="1"/>
    <col min="9985" max="9985" width="13.5703125" style="11" bestFit="1" customWidth="1"/>
    <col min="9986" max="9986" width="12" style="11" customWidth="1"/>
    <col min="9987" max="9987" width="11.42578125" style="11" customWidth="1"/>
    <col min="9988" max="9991" width="9.140625" style="11"/>
    <col min="9992" max="9992" width="17.42578125" style="11" customWidth="1"/>
    <col min="9993" max="10239" width="9.140625" style="11"/>
    <col min="10240" max="10240" width="30.140625" style="11" customWidth="1"/>
    <col min="10241" max="10241" width="13.5703125" style="11" bestFit="1" customWidth="1"/>
    <col min="10242" max="10242" width="12" style="11" customWidth="1"/>
    <col min="10243" max="10243" width="11.42578125" style="11" customWidth="1"/>
    <col min="10244" max="10247" width="9.140625" style="11"/>
    <col min="10248" max="10248" width="17.42578125" style="11" customWidth="1"/>
    <col min="10249" max="10495" width="9.140625" style="11"/>
    <col min="10496" max="10496" width="30.140625" style="11" customWidth="1"/>
    <col min="10497" max="10497" width="13.5703125" style="11" bestFit="1" customWidth="1"/>
    <col min="10498" max="10498" width="12" style="11" customWidth="1"/>
    <col min="10499" max="10499" width="11.42578125" style="11" customWidth="1"/>
    <col min="10500" max="10503" width="9.140625" style="11"/>
    <col min="10504" max="10504" width="17.42578125" style="11" customWidth="1"/>
    <col min="10505" max="10751" width="9.140625" style="11"/>
    <col min="10752" max="10752" width="30.140625" style="11" customWidth="1"/>
    <col min="10753" max="10753" width="13.5703125" style="11" bestFit="1" customWidth="1"/>
    <col min="10754" max="10754" width="12" style="11" customWidth="1"/>
    <col min="10755" max="10755" width="11.42578125" style="11" customWidth="1"/>
    <col min="10756" max="10759" width="9.140625" style="11"/>
    <col min="10760" max="10760" width="17.42578125" style="11" customWidth="1"/>
    <col min="10761" max="11007" width="9.140625" style="11"/>
    <col min="11008" max="11008" width="30.140625" style="11" customWidth="1"/>
    <col min="11009" max="11009" width="13.5703125" style="11" bestFit="1" customWidth="1"/>
    <col min="11010" max="11010" width="12" style="11" customWidth="1"/>
    <col min="11011" max="11011" width="11.42578125" style="11" customWidth="1"/>
    <col min="11012" max="11015" width="9.140625" style="11"/>
    <col min="11016" max="11016" width="17.42578125" style="11" customWidth="1"/>
    <col min="11017" max="11263" width="9.140625" style="11"/>
    <col min="11264" max="11264" width="30.140625" style="11" customWidth="1"/>
    <col min="11265" max="11265" width="13.5703125" style="11" bestFit="1" customWidth="1"/>
    <col min="11266" max="11266" width="12" style="11" customWidth="1"/>
    <col min="11267" max="11267" width="11.42578125" style="11" customWidth="1"/>
    <col min="11268" max="11271" width="9.140625" style="11"/>
    <col min="11272" max="11272" width="17.42578125" style="11" customWidth="1"/>
    <col min="11273" max="11519" width="9.140625" style="11"/>
    <col min="11520" max="11520" width="30.140625" style="11" customWidth="1"/>
    <col min="11521" max="11521" width="13.5703125" style="11" bestFit="1" customWidth="1"/>
    <col min="11522" max="11522" width="12" style="11" customWidth="1"/>
    <col min="11523" max="11523" width="11.42578125" style="11" customWidth="1"/>
    <col min="11524" max="11527" width="9.140625" style="11"/>
    <col min="11528" max="11528" width="17.42578125" style="11" customWidth="1"/>
    <col min="11529" max="11775" width="9.140625" style="11"/>
    <col min="11776" max="11776" width="30.140625" style="11" customWidth="1"/>
    <col min="11777" max="11777" width="13.5703125" style="11" bestFit="1" customWidth="1"/>
    <col min="11778" max="11778" width="12" style="11" customWidth="1"/>
    <col min="11779" max="11779" width="11.42578125" style="11" customWidth="1"/>
    <col min="11780" max="11783" width="9.140625" style="11"/>
    <col min="11784" max="11784" width="17.42578125" style="11" customWidth="1"/>
    <col min="11785" max="12031" width="9.140625" style="11"/>
    <col min="12032" max="12032" width="30.140625" style="11" customWidth="1"/>
    <col min="12033" max="12033" width="13.5703125" style="11" bestFit="1" customWidth="1"/>
    <col min="12034" max="12034" width="12" style="11" customWidth="1"/>
    <col min="12035" max="12035" width="11.42578125" style="11" customWidth="1"/>
    <col min="12036" max="12039" width="9.140625" style="11"/>
    <col min="12040" max="12040" width="17.42578125" style="11" customWidth="1"/>
    <col min="12041" max="12287" width="9.140625" style="11"/>
    <col min="12288" max="12288" width="30.140625" style="11" customWidth="1"/>
    <col min="12289" max="12289" width="13.5703125" style="11" bestFit="1" customWidth="1"/>
    <col min="12290" max="12290" width="12" style="11" customWidth="1"/>
    <col min="12291" max="12291" width="11.42578125" style="11" customWidth="1"/>
    <col min="12292" max="12295" width="9.140625" style="11"/>
    <col min="12296" max="12296" width="17.42578125" style="11" customWidth="1"/>
    <col min="12297" max="12543" width="9.140625" style="11"/>
    <col min="12544" max="12544" width="30.140625" style="11" customWidth="1"/>
    <col min="12545" max="12545" width="13.5703125" style="11" bestFit="1" customWidth="1"/>
    <col min="12546" max="12546" width="12" style="11" customWidth="1"/>
    <col min="12547" max="12547" width="11.42578125" style="11" customWidth="1"/>
    <col min="12548" max="12551" width="9.140625" style="11"/>
    <col min="12552" max="12552" width="17.42578125" style="11" customWidth="1"/>
    <col min="12553" max="12799" width="9.140625" style="11"/>
    <col min="12800" max="12800" width="30.140625" style="11" customWidth="1"/>
    <col min="12801" max="12801" width="13.5703125" style="11" bestFit="1" customWidth="1"/>
    <col min="12802" max="12802" width="12" style="11" customWidth="1"/>
    <col min="12803" max="12803" width="11.42578125" style="11" customWidth="1"/>
    <col min="12804" max="12807" width="9.140625" style="11"/>
    <col min="12808" max="12808" width="17.42578125" style="11" customWidth="1"/>
    <col min="12809" max="13055" width="9.140625" style="11"/>
    <col min="13056" max="13056" width="30.140625" style="11" customWidth="1"/>
    <col min="13057" max="13057" width="13.5703125" style="11" bestFit="1" customWidth="1"/>
    <col min="13058" max="13058" width="12" style="11" customWidth="1"/>
    <col min="13059" max="13059" width="11.42578125" style="11" customWidth="1"/>
    <col min="13060" max="13063" width="9.140625" style="11"/>
    <col min="13064" max="13064" width="17.42578125" style="11" customWidth="1"/>
    <col min="13065" max="13311" width="9.140625" style="11"/>
    <col min="13312" max="13312" width="30.140625" style="11" customWidth="1"/>
    <col min="13313" max="13313" width="13.5703125" style="11" bestFit="1" customWidth="1"/>
    <col min="13314" max="13314" width="12" style="11" customWidth="1"/>
    <col min="13315" max="13315" width="11.42578125" style="11" customWidth="1"/>
    <col min="13316" max="13319" width="9.140625" style="11"/>
    <col min="13320" max="13320" width="17.42578125" style="11" customWidth="1"/>
    <col min="13321" max="13567" width="9.140625" style="11"/>
    <col min="13568" max="13568" width="30.140625" style="11" customWidth="1"/>
    <col min="13569" max="13569" width="13.5703125" style="11" bestFit="1" customWidth="1"/>
    <col min="13570" max="13570" width="12" style="11" customWidth="1"/>
    <col min="13571" max="13571" width="11.42578125" style="11" customWidth="1"/>
    <col min="13572" max="13575" width="9.140625" style="11"/>
    <col min="13576" max="13576" width="17.42578125" style="11" customWidth="1"/>
    <col min="13577" max="13823" width="9.140625" style="11"/>
    <col min="13824" max="13824" width="30.140625" style="11" customWidth="1"/>
    <col min="13825" max="13825" width="13.5703125" style="11" bestFit="1" customWidth="1"/>
    <col min="13826" max="13826" width="12" style="11" customWidth="1"/>
    <col min="13827" max="13827" width="11.42578125" style="11" customWidth="1"/>
    <col min="13828" max="13831" width="9.140625" style="11"/>
    <col min="13832" max="13832" width="17.42578125" style="11" customWidth="1"/>
    <col min="13833" max="14079" width="9.140625" style="11"/>
    <col min="14080" max="14080" width="30.140625" style="11" customWidth="1"/>
    <col min="14081" max="14081" width="13.5703125" style="11" bestFit="1" customWidth="1"/>
    <col min="14082" max="14082" width="12" style="11" customWidth="1"/>
    <col min="14083" max="14083" width="11.42578125" style="11" customWidth="1"/>
    <col min="14084" max="14087" width="9.140625" style="11"/>
    <col min="14088" max="14088" width="17.42578125" style="11" customWidth="1"/>
    <col min="14089" max="14335" width="9.140625" style="11"/>
    <col min="14336" max="14336" width="30.140625" style="11" customWidth="1"/>
    <col min="14337" max="14337" width="13.5703125" style="11" bestFit="1" customWidth="1"/>
    <col min="14338" max="14338" width="12" style="11" customWidth="1"/>
    <col min="14339" max="14339" width="11.42578125" style="11" customWidth="1"/>
    <col min="14340" max="14343" width="9.140625" style="11"/>
    <col min="14344" max="14344" width="17.42578125" style="11" customWidth="1"/>
    <col min="14345" max="14591" width="9.140625" style="11"/>
    <col min="14592" max="14592" width="30.140625" style="11" customWidth="1"/>
    <col min="14593" max="14593" width="13.5703125" style="11" bestFit="1" customWidth="1"/>
    <col min="14594" max="14594" width="12" style="11" customWidth="1"/>
    <col min="14595" max="14595" width="11.42578125" style="11" customWidth="1"/>
    <col min="14596" max="14599" width="9.140625" style="11"/>
    <col min="14600" max="14600" width="17.42578125" style="11" customWidth="1"/>
    <col min="14601" max="14847" width="9.140625" style="11"/>
    <col min="14848" max="14848" width="30.140625" style="11" customWidth="1"/>
    <col min="14849" max="14849" width="13.5703125" style="11" bestFit="1" customWidth="1"/>
    <col min="14850" max="14850" width="12" style="11" customWidth="1"/>
    <col min="14851" max="14851" width="11.42578125" style="11" customWidth="1"/>
    <col min="14852" max="14855" width="9.140625" style="11"/>
    <col min="14856" max="14856" width="17.42578125" style="11" customWidth="1"/>
    <col min="14857" max="15103" width="9.140625" style="11"/>
    <col min="15104" max="15104" width="30.140625" style="11" customWidth="1"/>
    <col min="15105" max="15105" width="13.5703125" style="11" bestFit="1" customWidth="1"/>
    <col min="15106" max="15106" width="12" style="11" customWidth="1"/>
    <col min="15107" max="15107" width="11.42578125" style="11" customWidth="1"/>
    <col min="15108" max="15111" width="9.140625" style="11"/>
    <col min="15112" max="15112" width="17.42578125" style="11" customWidth="1"/>
    <col min="15113" max="15359" width="9.140625" style="11"/>
    <col min="15360" max="15360" width="30.140625" style="11" customWidth="1"/>
    <col min="15361" max="15361" width="13.5703125" style="11" bestFit="1" customWidth="1"/>
    <col min="15362" max="15362" width="12" style="11" customWidth="1"/>
    <col min="15363" max="15363" width="11.42578125" style="11" customWidth="1"/>
    <col min="15364" max="15367" width="9.140625" style="11"/>
    <col min="15368" max="15368" width="17.42578125" style="11" customWidth="1"/>
    <col min="15369" max="15615" width="9.140625" style="11"/>
    <col min="15616" max="15616" width="30.140625" style="11" customWidth="1"/>
    <col min="15617" max="15617" width="13.5703125" style="11" bestFit="1" customWidth="1"/>
    <col min="15618" max="15618" width="12" style="11" customWidth="1"/>
    <col min="15619" max="15619" width="11.42578125" style="11" customWidth="1"/>
    <col min="15620" max="15623" width="9.140625" style="11"/>
    <col min="15624" max="15624" width="17.42578125" style="11" customWidth="1"/>
    <col min="15625" max="15871" width="9.140625" style="11"/>
    <col min="15872" max="15872" width="30.140625" style="11" customWidth="1"/>
    <col min="15873" max="15873" width="13.5703125" style="11" bestFit="1" customWidth="1"/>
    <col min="15874" max="15874" width="12" style="11" customWidth="1"/>
    <col min="15875" max="15875" width="11.42578125" style="11" customWidth="1"/>
    <col min="15876" max="15879" width="9.140625" style="11"/>
    <col min="15880" max="15880" width="17.42578125" style="11" customWidth="1"/>
    <col min="15881" max="16127" width="9.140625" style="11"/>
    <col min="16128" max="16128" width="30.140625" style="11" customWidth="1"/>
    <col min="16129" max="16129" width="13.5703125" style="11" bestFit="1" customWidth="1"/>
    <col min="16130" max="16130" width="12" style="11" customWidth="1"/>
    <col min="16131" max="16131" width="11.42578125" style="11" customWidth="1"/>
    <col min="16132" max="16135" width="9.140625" style="11"/>
    <col min="16136" max="16136" width="17.42578125" style="11" customWidth="1"/>
    <col min="16137" max="16384" width="9.140625" style="11"/>
  </cols>
  <sheetData>
    <row r="1" spans="1:8">
      <c r="A1" s="25" t="s">
        <v>161</v>
      </c>
      <c r="G1" s="33"/>
    </row>
    <row r="2" spans="1:8">
      <c r="E2" s="11" t="s">
        <v>590</v>
      </c>
      <c r="F2" s="11">
        <f>9999</f>
        <v>9999</v>
      </c>
      <c r="G2" s="33"/>
    </row>
    <row r="3" spans="1:8">
      <c r="A3" s="20" t="s">
        <v>162</v>
      </c>
      <c r="H3" s="20"/>
    </row>
    <row r="4" spans="1:8">
      <c r="B4" s="23" t="s">
        <v>163</v>
      </c>
      <c r="C4" s="23" t="s">
        <v>164</v>
      </c>
      <c r="D4" s="23" t="s">
        <v>165</v>
      </c>
      <c r="E4" s="23" t="s">
        <v>166</v>
      </c>
      <c r="F4" s="23" t="s">
        <v>167</v>
      </c>
    </row>
    <row r="5" spans="1:8">
      <c r="A5" s="11" t="s">
        <v>168</v>
      </c>
      <c r="B5" s="13">
        <v>2</v>
      </c>
      <c r="C5" s="13">
        <v>1</v>
      </c>
      <c r="D5" s="13">
        <v>6</v>
      </c>
      <c r="E5" s="13">
        <v>4</v>
      </c>
      <c r="F5" s="13">
        <v>8</v>
      </c>
    </row>
    <row r="6" spans="1:8">
      <c r="A6" s="11" t="s">
        <v>169</v>
      </c>
      <c r="B6" s="13">
        <v>3</v>
      </c>
      <c r="C6" s="13">
        <v>2.5</v>
      </c>
      <c r="D6" s="13">
        <v>4</v>
      </c>
      <c r="E6" s="13">
        <v>4.5</v>
      </c>
      <c r="F6" s="13">
        <v>5.5</v>
      </c>
    </row>
    <row r="8" spans="1:8">
      <c r="A8" s="11" t="s">
        <v>170</v>
      </c>
      <c r="B8" s="39">
        <v>35</v>
      </c>
      <c r="C8" s="39">
        <v>40</v>
      </c>
      <c r="D8" s="39">
        <v>65</v>
      </c>
      <c r="E8" s="45">
        <v>70</v>
      </c>
      <c r="F8" s="45">
        <v>110</v>
      </c>
    </row>
    <row r="9" spans="1:8">
      <c r="A9" s="11" t="s">
        <v>171</v>
      </c>
      <c r="B9" s="39">
        <v>20</v>
      </c>
      <c r="C9" s="39">
        <v>10</v>
      </c>
      <c r="D9" s="39">
        <v>25</v>
      </c>
      <c r="E9" s="45">
        <v>30</v>
      </c>
      <c r="F9" s="45">
        <v>35</v>
      </c>
    </row>
    <row r="10" spans="1:8">
      <c r="A10" s="11" t="s">
        <v>172</v>
      </c>
      <c r="B10" s="39">
        <v>1500</v>
      </c>
      <c r="C10" s="39">
        <v>1200</v>
      </c>
      <c r="D10" s="39">
        <v>1600</v>
      </c>
      <c r="E10" s="39">
        <v>1500</v>
      </c>
      <c r="F10" s="39">
        <v>1600</v>
      </c>
    </row>
    <row r="11" spans="1:8">
      <c r="D11" s="20"/>
    </row>
    <row r="12" spans="1:8">
      <c r="A12" s="20" t="s">
        <v>173</v>
      </c>
      <c r="D12" s="20"/>
    </row>
    <row r="13" spans="1:8">
      <c r="B13" s="23" t="s">
        <v>163</v>
      </c>
      <c r="C13" s="23" t="s">
        <v>164</v>
      </c>
      <c r="D13" s="23" t="s">
        <v>165</v>
      </c>
      <c r="E13" s="23" t="s">
        <v>166</v>
      </c>
      <c r="F13" s="23" t="s">
        <v>167</v>
      </c>
      <c r="H13" s="23"/>
    </row>
    <row r="14" spans="1:8">
      <c r="A14" s="11" t="s">
        <v>174</v>
      </c>
      <c r="B14" s="46">
        <v>0</v>
      </c>
      <c r="C14" s="46">
        <v>1</v>
      </c>
      <c r="D14" s="46">
        <v>0</v>
      </c>
      <c r="E14" s="46">
        <v>0</v>
      </c>
      <c r="F14" s="46">
        <v>1</v>
      </c>
      <c r="G14" s="29"/>
    </row>
    <row r="15" spans="1:8">
      <c r="A15" s="11" t="s">
        <v>51</v>
      </c>
      <c r="B15" s="46">
        <v>0</v>
      </c>
      <c r="C15" s="46">
        <v>965.51724137931012</v>
      </c>
      <c r="D15" s="46">
        <v>0</v>
      </c>
      <c r="E15" s="46">
        <v>0</v>
      </c>
      <c r="F15" s="46">
        <v>379.31034482758628</v>
      </c>
    </row>
    <row r="16" spans="1:8">
      <c r="B16" s="21" t="s">
        <v>278</v>
      </c>
      <c r="C16" s="21" t="s">
        <v>278</v>
      </c>
      <c r="D16" s="21" t="s">
        <v>278</v>
      </c>
      <c r="E16" s="21" t="s">
        <v>278</v>
      </c>
      <c r="F16" s="21" t="s">
        <v>278</v>
      </c>
    </row>
    <row r="17" spans="1:6">
      <c r="A17" s="11" t="s">
        <v>218</v>
      </c>
      <c r="B17" s="24">
        <f>$F$2 * B14</f>
        <v>0</v>
      </c>
      <c r="C17" s="24">
        <f t="shared" ref="C17:F17" si="0">$F$2 * C14</f>
        <v>9999</v>
      </c>
      <c r="D17" s="24">
        <f t="shared" si="0"/>
        <v>0</v>
      </c>
      <c r="E17" s="24">
        <f t="shared" si="0"/>
        <v>0</v>
      </c>
      <c r="F17" s="24">
        <f t="shared" si="0"/>
        <v>9999</v>
      </c>
    </row>
    <row r="18" spans="1:6">
      <c r="A18" s="11" t="s">
        <v>219</v>
      </c>
      <c r="B18" s="40"/>
      <c r="C18" s="40"/>
      <c r="D18" s="40"/>
      <c r="E18" s="40"/>
      <c r="F18" s="40"/>
    </row>
    <row r="19" spans="1:6">
      <c r="A19" s="11" t="s">
        <v>217</v>
      </c>
      <c r="B19" s="40"/>
      <c r="C19" s="40"/>
      <c r="D19" s="40"/>
      <c r="E19" s="40"/>
      <c r="F19" s="40"/>
    </row>
    <row r="20" spans="1:6">
      <c r="A20" s="11" t="s">
        <v>216</v>
      </c>
    </row>
    <row r="21" spans="1:6">
      <c r="A21" s="20" t="s">
        <v>175</v>
      </c>
    </row>
    <row r="22" spans="1:6">
      <c r="B22" s="23" t="s">
        <v>176</v>
      </c>
      <c r="C22" s="23"/>
      <c r="D22" s="23" t="s">
        <v>177</v>
      </c>
    </row>
    <row r="23" spans="1:6">
      <c r="A23" s="11" t="s">
        <v>178</v>
      </c>
      <c r="B23" s="40">
        <f>SUMPRODUCT(B5:F5,B15:F15)</f>
        <v>4000.0000000000005</v>
      </c>
      <c r="C23" s="36" t="s">
        <v>278</v>
      </c>
      <c r="D23" s="13">
        <v>4000</v>
      </c>
    </row>
    <row r="24" spans="1:6">
      <c r="A24" s="11" t="s">
        <v>179</v>
      </c>
      <c r="B24" s="40">
        <f>SUMPRODUCT(B6:F6,B15:F15)</f>
        <v>4500</v>
      </c>
      <c r="C24" s="36" t="s">
        <v>278</v>
      </c>
      <c r="D24" s="13">
        <v>4500</v>
      </c>
    </row>
    <row r="26" spans="1:6">
      <c r="A26" s="20" t="s">
        <v>142</v>
      </c>
    </row>
    <row r="27" spans="1:6">
      <c r="A27" s="11" t="s">
        <v>75</v>
      </c>
      <c r="B27" s="41">
        <f>SUMPRODUCT(B8:F8,B15:F15)</f>
        <v>80344.827586206899</v>
      </c>
    </row>
    <row r="28" spans="1:6">
      <c r="A28" s="11" t="s">
        <v>180</v>
      </c>
      <c r="B28" s="41">
        <f>SUMPRODUCT(B15:F15, B9:F9)</f>
        <v>22931.034482758623</v>
      </c>
    </row>
    <row r="29" spans="1:6" ht="15.75" thickBot="1">
      <c r="A29" s="11" t="s">
        <v>172</v>
      </c>
      <c r="B29" s="41">
        <f>SUMPRODUCT(B10:F10, B14:F14)</f>
        <v>2800</v>
      </c>
    </row>
    <row r="30" spans="1:6" ht="15.75" thickBot="1">
      <c r="A30" s="11" t="s">
        <v>181</v>
      </c>
      <c r="B30" s="48">
        <f>B27 - (B28+B29)</f>
        <v>54613.793103448275</v>
      </c>
      <c r="D30" s="20"/>
    </row>
    <row r="32" spans="1:6">
      <c r="A32" s="20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Y39"/>
  <sheetViews>
    <sheetView topLeftCell="A6" zoomScale="80" zoomScaleNormal="80" workbookViewId="0">
      <selection activeCell="B39" sqref="B39"/>
    </sheetView>
  </sheetViews>
  <sheetFormatPr defaultRowHeight="15"/>
  <cols>
    <col min="1" max="1" width="15.85546875" style="11" customWidth="1"/>
    <col min="2" max="2" width="13.140625" style="11" bestFit="1" customWidth="1"/>
    <col min="3" max="3" width="8.85546875" style="11" customWidth="1"/>
    <col min="4" max="4" width="9.140625" style="11" bestFit="1" customWidth="1"/>
    <col min="5" max="6" width="5.85546875" style="11" customWidth="1"/>
    <col min="7" max="7" width="5.140625" style="11" customWidth="1"/>
    <col min="8" max="8" width="5.42578125" style="11" customWidth="1"/>
    <col min="9" max="9" width="5" style="11" customWidth="1"/>
    <col min="10" max="10" width="6.85546875" style="11" customWidth="1"/>
    <col min="11" max="11" width="6.140625" style="11" customWidth="1"/>
    <col min="12" max="12" width="4.85546875" style="11" customWidth="1"/>
    <col min="13" max="13" width="5.140625" style="11" customWidth="1"/>
    <col min="14" max="14" width="8.140625" style="11" customWidth="1"/>
    <col min="15" max="15" width="15.85546875" style="11" customWidth="1"/>
    <col min="16" max="256" width="9.140625" style="11"/>
    <col min="257" max="257" width="15.85546875" style="11" customWidth="1"/>
    <col min="258" max="258" width="14.85546875" style="11" bestFit="1" customWidth="1"/>
    <col min="259" max="259" width="6" style="11" customWidth="1"/>
    <col min="260" max="260" width="8.140625" style="11" bestFit="1" customWidth="1"/>
    <col min="261" max="262" width="5.85546875" style="11" customWidth="1"/>
    <col min="263" max="263" width="5.140625" style="11" customWidth="1"/>
    <col min="264" max="264" width="5.42578125" style="11" customWidth="1"/>
    <col min="265" max="265" width="5" style="11" customWidth="1"/>
    <col min="266" max="266" width="6.85546875" style="11" customWidth="1"/>
    <col min="267" max="267" width="6.140625" style="11" customWidth="1"/>
    <col min="268" max="268" width="4.85546875" style="11" customWidth="1"/>
    <col min="269" max="269" width="5.140625" style="11" customWidth="1"/>
    <col min="270" max="270" width="8.140625" style="11" customWidth="1"/>
    <col min="271" max="271" width="15.85546875" style="11" customWidth="1"/>
    <col min="272" max="512" width="9.140625" style="11"/>
    <col min="513" max="513" width="15.85546875" style="11" customWidth="1"/>
    <col min="514" max="514" width="14.85546875" style="11" bestFit="1" customWidth="1"/>
    <col min="515" max="515" width="6" style="11" customWidth="1"/>
    <col min="516" max="516" width="8.140625" style="11" bestFit="1" customWidth="1"/>
    <col min="517" max="518" width="5.85546875" style="11" customWidth="1"/>
    <col min="519" max="519" width="5.140625" style="11" customWidth="1"/>
    <col min="520" max="520" width="5.42578125" style="11" customWidth="1"/>
    <col min="521" max="521" width="5" style="11" customWidth="1"/>
    <col min="522" max="522" width="6.85546875" style="11" customWidth="1"/>
    <col min="523" max="523" width="6.140625" style="11" customWidth="1"/>
    <col min="524" max="524" width="4.85546875" style="11" customWidth="1"/>
    <col min="525" max="525" width="5.140625" style="11" customWidth="1"/>
    <col min="526" max="526" width="8.140625" style="11" customWidth="1"/>
    <col min="527" max="527" width="15.85546875" style="11" customWidth="1"/>
    <col min="528" max="768" width="9.140625" style="11"/>
    <col min="769" max="769" width="15.85546875" style="11" customWidth="1"/>
    <col min="770" max="770" width="14.85546875" style="11" bestFit="1" customWidth="1"/>
    <col min="771" max="771" width="6" style="11" customWidth="1"/>
    <col min="772" max="772" width="8.140625" style="11" bestFit="1" customWidth="1"/>
    <col min="773" max="774" width="5.85546875" style="11" customWidth="1"/>
    <col min="775" max="775" width="5.140625" style="11" customWidth="1"/>
    <col min="776" max="776" width="5.42578125" style="11" customWidth="1"/>
    <col min="777" max="777" width="5" style="11" customWidth="1"/>
    <col min="778" max="778" width="6.85546875" style="11" customWidth="1"/>
    <col min="779" max="779" width="6.140625" style="11" customWidth="1"/>
    <col min="780" max="780" width="4.85546875" style="11" customWidth="1"/>
    <col min="781" max="781" width="5.140625" style="11" customWidth="1"/>
    <col min="782" max="782" width="8.140625" style="11" customWidth="1"/>
    <col min="783" max="783" width="15.85546875" style="11" customWidth="1"/>
    <col min="784" max="1024" width="9.140625" style="11"/>
    <col min="1025" max="1025" width="15.85546875" style="11" customWidth="1"/>
    <col min="1026" max="1026" width="14.85546875" style="11" bestFit="1" customWidth="1"/>
    <col min="1027" max="1027" width="6" style="11" customWidth="1"/>
    <col min="1028" max="1028" width="8.140625" style="11" bestFit="1" customWidth="1"/>
    <col min="1029" max="1030" width="5.85546875" style="11" customWidth="1"/>
    <col min="1031" max="1031" width="5.140625" style="11" customWidth="1"/>
    <col min="1032" max="1032" width="5.42578125" style="11" customWidth="1"/>
    <col min="1033" max="1033" width="5" style="11" customWidth="1"/>
    <col min="1034" max="1034" width="6.85546875" style="11" customWidth="1"/>
    <col min="1035" max="1035" width="6.140625" style="11" customWidth="1"/>
    <col min="1036" max="1036" width="4.85546875" style="11" customWidth="1"/>
    <col min="1037" max="1037" width="5.140625" style="11" customWidth="1"/>
    <col min="1038" max="1038" width="8.140625" style="11" customWidth="1"/>
    <col min="1039" max="1039" width="15.85546875" style="11" customWidth="1"/>
    <col min="1040" max="1280" width="9.140625" style="11"/>
    <col min="1281" max="1281" width="15.85546875" style="11" customWidth="1"/>
    <col min="1282" max="1282" width="14.85546875" style="11" bestFit="1" customWidth="1"/>
    <col min="1283" max="1283" width="6" style="11" customWidth="1"/>
    <col min="1284" max="1284" width="8.140625" style="11" bestFit="1" customWidth="1"/>
    <col min="1285" max="1286" width="5.85546875" style="11" customWidth="1"/>
    <col min="1287" max="1287" width="5.140625" style="11" customWidth="1"/>
    <col min="1288" max="1288" width="5.42578125" style="11" customWidth="1"/>
    <col min="1289" max="1289" width="5" style="11" customWidth="1"/>
    <col min="1290" max="1290" width="6.85546875" style="11" customWidth="1"/>
    <col min="1291" max="1291" width="6.140625" style="11" customWidth="1"/>
    <col min="1292" max="1292" width="4.85546875" style="11" customWidth="1"/>
    <col min="1293" max="1293" width="5.140625" style="11" customWidth="1"/>
    <col min="1294" max="1294" width="8.140625" style="11" customWidth="1"/>
    <col min="1295" max="1295" width="15.85546875" style="11" customWidth="1"/>
    <col min="1296" max="1536" width="9.140625" style="11"/>
    <col min="1537" max="1537" width="15.85546875" style="11" customWidth="1"/>
    <col min="1538" max="1538" width="14.85546875" style="11" bestFit="1" customWidth="1"/>
    <col min="1539" max="1539" width="6" style="11" customWidth="1"/>
    <col min="1540" max="1540" width="8.140625" style="11" bestFit="1" customWidth="1"/>
    <col min="1541" max="1542" width="5.85546875" style="11" customWidth="1"/>
    <col min="1543" max="1543" width="5.140625" style="11" customWidth="1"/>
    <col min="1544" max="1544" width="5.42578125" style="11" customWidth="1"/>
    <col min="1545" max="1545" width="5" style="11" customWidth="1"/>
    <col min="1546" max="1546" width="6.85546875" style="11" customWidth="1"/>
    <col min="1547" max="1547" width="6.140625" style="11" customWidth="1"/>
    <col min="1548" max="1548" width="4.85546875" style="11" customWidth="1"/>
    <col min="1549" max="1549" width="5.140625" style="11" customWidth="1"/>
    <col min="1550" max="1550" width="8.140625" style="11" customWidth="1"/>
    <col min="1551" max="1551" width="15.85546875" style="11" customWidth="1"/>
    <col min="1552" max="1792" width="9.140625" style="11"/>
    <col min="1793" max="1793" width="15.85546875" style="11" customWidth="1"/>
    <col min="1794" max="1794" width="14.85546875" style="11" bestFit="1" customWidth="1"/>
    <col min="1795" max="1795" width="6" style="11" customWidth="1"/>
    <col min="1796" max="1796" width="8.140625" style="11" bestFit="1" customWidth="1"/>
    <col min="1797" max="1798" width="5.85546875" style="11" customWidth="1"/>
    <col min="1799" max="1799" width="5.140625" style="11" customWidth="1"/>
    <col min="1800" max="1800" width="5.42578125" style="11" customWidth="1"/>
    <col min="1801" max="1801" width="5" style="11" customWidth="1"/>
    <col min="1802" max="1802" width="6.85546875" style="11" customWidth="1"/>
    <col min="1803" max="1803" width="6.140625" style="11" customWidth="1"/>
    <col min="1804" max="1804" width="4.85546875" style="11" customWidth="1"/>
    <col min="1805" max="1805" width="5.140625" style="11" customWidth="1"/>
    <col min="1806" max="1806" width="8.140625" style="11" customWidth="1"/>
    <col min="1807" max="1807" width="15.85546875" style="11" customWidth="1"/>
    <col min="1808" max="2048" width="9.140625" style="11"/>
    <col min="2049" max="2049" width="15.85546875" style="11" customWidth="1"/>
    <col min="2050" max="2050" width="14.85546875" style="11" bestFit="1" customWidth="1"/>
    <col min="2051" max="2051" width="6" style="11" customWidth="1"/>
    <col min="2052" max="2052" width="8.140625" style="11" bestFit="1" customWidth="1"/>
    <col min="2053" max="2054" width="5.85546875" style="11" customWidth="1"/>
    <col min="2055" max="2055" width="5.140625" style="11" customWidth="1"/>
    <col min="2056" max="2056" width="5.42578125" style="11" customWidth="1"/>
    <col min="2057" max="2057" width="5" style="11" customWidth="1"/>
    <col min="2058" max="2058" width="6.85546875" style="11" customWidth="1"/>
    <col min="2059" max="2059" width="6.140625" style="11" customWidth="1"/>
    <col min="2060" max="2060" width="4.85546875" style="11" customWidth="1"/>
    <col min="2061" max="2061" width="5.140625" style="11" customWidth="1"/>
    <col min="2062" max="2062" width="8.140625" style="11" customWidth="1"/>
    <col min="2063" max="2063" width="15.85546875" style="11" customWidth="1"/>
    <col min="2064" max="2304" width="9.140625" style="11"/>
    <col min="2305" max="2305" width="15.85546875" style="11" customWidth="1"/>
    <col min="2306" max="2306" width="14.85546875" style="11" bestFit="1" customWidth="1"/>
    <col min="2307" max="2307" width="6" style="11" customWidth="1"/>
    <col min="2308" max="2308" width="8.140625" style="11" bestFit="1" customWidth="1"/>
    <col min="2309" max="2310" width="5.85546875" style="11" customWidth="1"/>
    <col min="2311" max="2311" width="5.140625" style="11" customWidth="1"/>
    <col min="2312" max="2312" width="5.42578125" style="11" customWidth="1"/>
    <col min="2313" max="2313" width="5" style="11" customWidth="1"/>
    <col min="2314" max="2314" width="6.85546875" style="11" customWidth="1"/>
    <col min="2315" max="2315" width="6.140625" style="11" customWidth="1"/>
    <col min="2316" max="2316" width="4.85546875" style="11" customWidth="1"/>
    <col min="2317" max="2317" width="5.140625" style="11" customWidth="1"/>
    <col min="2318" max="2318" width="8.140625" style="11" customWidth="1"/>
    <col min="2319" max="2319" width="15.85546875" style="11" customWidth="1"/>
    <col min="2320" max="2560" width="9.140625" style="11"/>
    <col min="2561" max="2561" width="15.85546875" style="11" customWidth="1"/>
    <col min="2562" max="2562" width="14.85546875" style="11" bestFit="1" customWidth="1"/>
    <col min="2563" max="2563" width="6" style="11" customWidth="1"/>
    <col min="2564" max="2564" width="8.140625" style="11" bestFit="1" customWidth="1"/>
    <col min="2565" max="2566" width="5.85546875" style="11" customWidth="1"/>
    <col min="2567" max="2567" width="5.140625" style="11" customWidth="1"/>
    <col min="2568" max="2568" width="5.42578125" style="11" customWidth="1"/>
    <col min="2569" max="2569" width="5" style="11" customWidth="1"/>
    <col min="2570" max="2570" width="6.85546875" style="11" customWidth="1"/>
    <col min="2571" max="2571" width="6.140625" style="11" customWidth="1"/>
    <col min="2572" max="2572" width="4.85546875" style="11" customWidth="1"/>
    <col min="2573" max="2573" width="5.140625" style="11" customWidth="1"/>
    <col min="2574" max="2574" width="8.140625" style="11" customWidth="1"/>
    <col min="2575" max="2575" width="15.85546875" style="11" customWidth="1"/>
    <col min="2576" max="2816" width="9.140625" style="11"/>
    <col min="2817" max="2817" width="15.85546875" style="11" customWidth="1"/>
    <col min="2818" max="2818" width="14.85546875" style="11" bestFit="1" customWidth="1"/>
    <col min="2819" max="2819" width="6" style="11" customWidth="1"/>
    <col min="2820" max="2820" width="8.140625" style="11" bestFit="1" customWidth="1"/>
    <col min="2821" max="2822" width="5.85546875" style="11" customWidth="1"/>
    <col min="2823" max="2823" width="5.140625" style="11" customWidth="1"/>
    <col min="2824" max="2824" width="5.42578125" style="11" customWidth="1"/>
    <col min="2825" max="2825" width="5" style="11" customWidth="1"/>
    <col min="2826" max="2826" width="6.85546875" style="11" customWidth="1"/>
    <col min="2827" max="2827" width="6.140625" style="11" customWidth="1"/>
    <col min="2828" max="2828" width="4.85546875" style="11" customWidth="1"/>
    <col min="2829" max="2829" width="5.140625" style="11" customWidth="1"/>
    <col min="2830" max="2830" width="8.140625" style="11" customWidth="1"/>
    <col min="2831" max="2831" width="15.85546875" style="11" customWidth="1"/>
    <col min="2832" max="3072" width="9.140625" style="11"/>
    <col min="3073" max="3073" width="15.85546875" style="11" customWidth="1"/>
    <col min="3074" max="3074" width="14.85546875" style="11" bestFit="1" customWidth="1"/>
    <col min="3075" max="3075" width="6" style="11" customWidth="1"/>
    <col min="3076" max="3076" width="8.140625" style="11" bestFit="1" customWidth="1"/>
    <col min="3077" max="3078" width="5.85546875" style="11" customWidth="1"/>
    <col min="3079" max="3079" width="5.140625" style="11" customWidth="1"/>
    <col min="3080" max="3080" width="5.42578125" style="11" customWidth="1"/>
    <col min="3081" max="3081" width="5" style="11" customWidth="1"/>
    <col min="3082" max="3082" width="6.85546875" style="11" customWidth="1"/>
    <col min="3083" max="3083" width="6.140625" style="11" customWidth="1"/>
    <col min="3084" max="3084" width="4.85546875" style="11" customWidth="1"/>
    <col min="3085" max="3085" width="5.140625" style="11" customWidth="1"/>
    <col min="3086" max="3086" width="8.140625" style="11" customWidth="1"/>
    <col min="3087" max="3087" width="15.85546875" style="11" customWidth="1"/>
    <col min="3088" max="3328" width="9.140625" style="11"/>
    <col min="3329" max="3329" width="15.85546875" style="11" customWidth="1"/>
    <col min="3330" max="3330" width="14.85546875" style="11" bestFit="1" customWidth="1"/>
    <col min="3331" max="3331" width="6" style="11" customWidth="1"/>
    <col min="3332" max="3332" width="8.140625" style="11" bestFit="1" customWidth="1"/>
    <col min="3333" max="3334" width="5.85546875" style="11" customWidth="1"/>
    <col min="3335" max="3335" width="5.140625" style="11" customWidth="1"/>
    <col min="3336" max="3336" width="5.42578125" style="11" customWidth="1"/>
    <col min="3337" max="3337" width="5" style="11" customWidth="1"/>
    <col min="3338" max="3338" width="6.85546875" style="11" customWidth="1"/>
    <col min="3339" max="3339" width="6.140625" style="11" customWidth="1"/>
    <col min="3340" max="3340" width="4.85546875" style="11" customWidth="1"/>
    <col min="3341" max="3341" width="5.140625" style="11" customWidth="1"/>
    <col min="3342" max="3342" width="8.140625" style="11" customWidth="1"/>
    <col min="3343" max="3343" width="15.85546875" style="11" customWidth="1"/>
    <col min="3344" max="3584" width="9.140625" style="11"/>
    <col min="3585" max="3585" width="15.85546875" style="11" customWidth="1"/>
    <col min="3586" max="3586" width="14.85546875" style="11" bestFit="1" customWidth="1"/>
    <col min="3587" max="3587" width="6" style="11" customWidth="1"/>
    <col min="3588" max="3588" width="8.140625" style="11" bestFit="1" customWidth="1"/>
    <col min="3589" max="3590" width="5.85546875" style="11" customWidth="1"/>
    <col min="3591" max="3591" width="5.140625" style="11" customWidth="1"/>
    <col min="3592" max="3592" width="5.42578125" style="11" customWidth="1"/>
    <col min="3593" max="3593" width="5" style="11" customWidth="1"/>
    <col min="3594" max="3594" width="6.85546875" style="11" customWidth="1"/>
    <col min="3595" max="3595" width="6.140625" style="11" customWidth="1"/>
    <col min="3596" max="3596" width="4.85546875" style="11" customWidth="1"/>
    <col min="3597" max="3597" width="5.140625" style="11" customWidth="1"/>
    <col min="3598" max="3598" width="8.140625" style="11" customWidth="1"/>
    <col min="3599" max="3599" width="15.85546875" style="11" customWidth="1"/>
    <col min="3600" max="3840" width="9.140625" style="11"/>
    <col min="3841" max="3841" width="15.85546875" style="11" customWidth="1"/>
    <col min="3842" max="3842" width="14.85546875" style="11" bestFit="1" customWidth="1"/>
    <col min="3843" max="3843" width="6" style="11" customWidth="1"/>
    <col min="3844" max="3844" width="8.140625" style="11" bestFit="1" customWidth="1"/>
    <col min="3845" max="3846" width="5.85546875" style="11" customWidth="1"/>
    <col min="3847" max="3847" width="5.140625" style="11" customWidth="1"/>
    <col min="3848" max="3848" width="5.42578125" style="11" customWidth="1"/>
    <col min="3849" max="3849" width="5" style="11" customWidth="1"/>
    <col min="3850" max="3850" width="6.85546875" style="11" customWidth="1"/>
    <col min="3851" max="3851" width="6.140625" style="11" customWidth="1"/>
    <col min="3852" max="3852" width="4.85546875" style="11" customWidth="1"/>
    <col min="3853" max="3853" width="5.140625" style="11" customWidth="1"/>
    <col min="3854" max="3854" width="8.140625" style="11" customWidth="1"/>
    <col min="3855" max="3855" width="15.85546875" style="11" customWidth="1"/>
    <col min="3856" max="4096" width="9.140625" style="11"/>
    <col min="4097" max="4097" width="15.85546875" style="11" customWidth="1"/>
    <col min="4098" max="4098" width="14.85546875" style="11" bestFit="1" customWidth="1"/>
    <col min="4099" max="4099" width="6" style="11" customWidth="1"/>
    <col min="4100" max="4100" width="8.140625" style="11" bestFit="1" customWidth="1"/>
    <col min="4101" max="4102" width="5.85546875" style="11" customWidth="1"/>
    <col min="4103" max="4103" width="5.140625" style="11" customWidth="1"/>
    <col min="4104" max="4104" width="5.42578125" style="11" customWidth="1"/>
    <col min="4105" max="4105" width="5" style="11" customWidth="1"/>
    <col min="4106" max="4106" width="6.85546875" style="11" customWidth="1"/>
    <col min="4107" max="4107" width="6.140625" style="11" customWidth="1"/>
    <col min="4108" max="4108" width="4.85546875" style="11" customWidth="1"/>
    <col min="4109" max="4109" width="5.140625" style="11" customWidth="1"/>
    <col min="4110" max="4110" width="8.140625" style="11" customWidth="1"/>
    <col min="4111" max="4111" width="15.85546875" style="11" customWidth="1"/>
    <col min="4112" max="4352" width="9.140625" style="11"/>
    <col min="4353" max="4353" width="15.85546875" style="11" customWidth="1"/>
    <col min="4354" max="4354" width="14.85546875" style="11" bestFit="1" customWidth="1"/>
    <col min="4355" max="4355" width="6" style="11" customWidth="1"/>
    <col min="4356" max="4356" width="8.140625" style="11" bestFit="1" customWidth="1"/>
    <col min="4357" max="4358" width="5.85546875" style="11" customWidth="1"/>
    <col min="4359" max="4359" width="5.140625" style="11" customWidth="1"/>
    <col min="4360" max="4360" width="5.42578125" style="11" customWidth="1"/>
    <col min="4361" max="4361" width="5" style="11" customWidth="1"/>
    <col min="4362" max="4362" width="6.85546875" style="11" customWidth="1"/>
    <col min="4363" max="4363" width="6.140625" style="11" customWidth="1"/>
    <col min="4364" max="4364" width="4.85546875" style="11" customWidth="1"/>
    <col min="4365" max="4365" width="5.140625" style="11" customWidth="1"/>
    <col min="4366" max="4366" width="8.140625" style="11" customWidth="1"/>
    <col min="4367" max="4367" width="15.85546875" style="11" customWidth="1"/>
    <col min="4368" max="4608" width="9.140625" style="11"/>
    <col min="4609" max="4609" width="15.85546875" style="11" customWidth="1"/>
    <col min="4610" max="4610" width="14.85546875" style="11" bestFit="1" customWidth="1"/>
    <col min="4611" max="4611" width="6" style="11" customWidth="1"/>
    <col min="4612" max="4612" width="8.140625" style="11" bestFit="1" customWidth="1"/>
    <col min="4613" max="4614" width="5.85546875" style="11" customWidth="1"/>
    <col min="4615" max="4615" width="5.140625" style="11" customWidth="1"/>
    <col min="4616" max="4616" width="5.42578125" style="11" customWidth="1"/>
    <col min="4617" max="4617" width="5" style="11" customWidth="1"/>
    <col min="4618" max="4618" width="6.85546875" style="11" customWidth="1"/>
    <col min="4619" max="4619" width="6.140625" style="11" customWidth="1"/>
    <col min="4620" max="4620" width="4.85546875" style="11" customWidth="1"/>
    <col min="4621" max="4621" width="5.140625" style="11" customWidth="1"/>
    <col min="4622" max="4622" width="8.140625" style="11" customWidth="1"/>
    <col min="4623" max="4623" width="15.85546875" style="11" customWidth="1"/>
    <col min="4624" max="4864" width="9.140625" style="11"/>
    <col min="4865" max="4865" width="15.85546875" style="11" customWidth="1"/>
    <col min="4866" max="4866" width="14.85546875" style="11" bestFit="1" customWidth="1"/>
    <col min="4867" max="4867" width="6" style="11" customWidth="1"/>
    <col min="4868" max="4868" width="8.140625" style="11" bestFit="1" customWidth="1"/>
    <col min="4869" max="4870" width="5.85546875" style="11" customWidth="1"/>
    <col min="4871" max="4871" width="5.140625" style="11" customWidth="1"/>
    <col min="4872" max="4872" width="5.42578125" style="11" customWidth="1"/>
    <col min="4873" max="4873" width="5" style="11" customWidth="1"/>
    <col min="4874" max="4874" width="6.85546875" style="11" customWidth="1"/>
    <col min="4875" max="4875" width="6.140625" style="11" customWidth="1"/>
    <col min="4876" max="4876" width="4.85546875" style="11" customWidth="1"/>
    <col min="4877" max="4877" width="5.140625" style="11" customWidth="1"/>
    <col min="4878" max="4878" width="8.140625" style="11" customWidth="1"/>
    <col min="4879" max="4879" width="15.85546875" style="11" customWidth="1"/>
    <col min="4880" max="5120" width="9.140625" style="11"/>
    <col min="5121" max="5121" width="15.85546875" style="11" customWidth="1"/>
    <col min="5122" max="5122" width="14.85546875" style="11" bestFit="1" customWidth="1"/>
    <col min="5123" max="5123" width="6" style="11" customWidth="1"/>
    <col min="5124" max="5124" width="8.140625" style="11" bestFit="1" customWidth="1"/>
    <col min="5125" max="5126" width="5.85546875" style="11" customWidth="1"/>
    <col min="5127" max="5127" width="5.140625" style="11" customWidth="1"/>
    <col min="5128" max="5128" width="5.42578125" style="11" customWidth="1"/>
    <col min="5129" max="5129" width="5" style="11" customWidth="1"/>
    <col min="5130" max="5130" width="6.85546875" style="11" customWidth="1"/>
    <col min="5131" max="5131" width="6.140625" style="11" customWidth="1"/>
    <col min="5132" max="5132" width="4.85546875" style="11" customWidth="1"/>
    <col min="5133" max="5133" width="5.140625" style="11" customWidth="1"/>
    <col min="5134" max="5134" width="8.140625" style="11" customWidth="1"/>
    <col min="5135" max="5135" width="15.85546875" style="11" customWidth="1"/>
    <col min="5136" max="5376" width="9.140625" style="11"/>
    <col min="5377" max="5377" width="15.85546875" style="11" customWidth="1"/>
    <col min="5378" max="5378" width="14.85546875" style="11" bestFit="1" customWidth="1"/>
    <col min="5379" max="5379" width="6" style="11" customWidth="1"/>
    <col min="5380" max="5380" width="8.140625" style="11" bestFit="1" customWidth="1"/>
    <col min="5381" max="5382" width="5.85546875" style="11" customWidth="1"/>
    <col min="5383" max="5383" width="5.140625" style="11" customWidth="1"/>
    <col min="5384" max="5384" width="5.42578125" style="11" customWidth="1"/>
    <col min="5385" max="5385" width="5" style="11" customWidth="1"/>
    <col min="5386" max="5386" width="6.85546875" style="11" customWidth="1"/>
    <col min="5387" max="5387" width="6.140625" style="11" customWidth="1"/>
    <col min="5388" max="5388" width="4.85546875" style="11" customWidth="1"/>
    <col min="5389" max="5389" width="5.140625" style="11" customWidth="1"/>
    <col min="5390" max="5390" width="8.140625" style="11" customWidth="1"/>
    <col min="5391" max="5391" width="15.85546875" style="11" customWidth="1"/>
    <col min="5392" max="5632" width="9.140625" style="11"/>
    <col min="5633" max="5633" width="15.85546875" style="11" customWidth="1"/>
    <col min="5634" max="5634" width="14.85546875" style="11" bestFit="1" customWidth="1"/>
    <col min="5635" max="5635" width="6" style="11" customWidth="1"/>
    <col min="5636" max="5636" width="8.140625" style="11" bestFit="1" customWidth="1"/>
    <col min="5637" max="5638" width="5.85546875" style="11" customWidth="1"/>
    <col min="5639" max="5639" width="5.140625" style="11" customWidth="1"/>
    <col min="5640" max="5640" width="5.42578125" style="11" customWidth="1"/>
    <col min="5641" max="5641" width="5" style="11" customWidth="1"/>
    <col min="5642" max="5642" width="6.85546875" style="11" customWidth="1"/>
    <col min="5643" max="5643" width="6.140625" style="11" customWidth="1"/>
    <col min="5644" max="5644" width="4.85546875" style="11" customWidth="1"/>
    <col min="5645" max="5645" width="5.140625" style="11" customWidth="1"/>
    <col min="5646" max="5646" width="8.140625" style="11" customWidth="1"/>
    <col min="5647" max="5647" width="15.85546875" style="11" customWidth="1"/>
    <col min="5648" max="5888" width="9.140625" style="11"/>
    <col min="5889" max="5889" width="15.85546875" style="11" customWidth="1"/>
    <col min="5890" max="5890" width="14.85546875" style="11" bestFit="1" customWidth="1"/>
    <col min="5891" max="5891" width="6" style="11" customWidth="1"/>
    <col min="5892" max="5892" width="8.140625" style="11" bestFit="1" customWidth="1"/>
    <col min="5893" max="5894" width="5.85546875" style="11" customWidth="1"/>
    <col min="5895" max="5895" width="5.140625" style="11" customWidth="1"/>
    <col min="5896" max="5896" width="5.42578125" style="11" customWidth="1"/>
    <col min="5897" max="5897" width="5" style="11" customWidth="1"/>
    <col min="5898" max="5898" width="6.85546875" style="11" customWidth="1"/>
    <col min="5899" max="5899" width="6.140625" style="11" customWidth="1"/>
    <col min="5900" max="5900" width="4.85546875" style="11" customWidth="1"/>
    <col min="5901" max="5901" width="5.140625" style="11" customWidth="1"/>
    <col min="5902" max="5902" width="8.140625" style="11" customWidth="1"/>
    <col min="5903" max="5903" width="15.85546875" style="11" customWidth="1"/>
    <col min="5904" max="6144" width="9.140625" style="11"/>
    <col min="6145" max="6145" width="15.85546875" style="11" customWidth="1"/>
    <col min="6146" max="6146" width="14.85546875" style="11" bestFit="1" customWidth="1"/>
    <col min="6147" max="6147" width="6" style="11" customWidth="1"/>
    <col min="6148" max="6148" width="8.140625" style="11" bestFit="1" customWidth="1"/>
    <col min="6149" max="6150" width="5.85546875" style="11" customWidth="1"/>
    <col min="6151" max="6151" width="5.140625" style="11" customWidth="1"/>
    <col min="6152" max="6152" width="5.42578125" style="11" customWidth="1"/>
    <col min="6153" max="6153" width="5" style="11" customWidth="1"/>
    <col min="6154" max="6154" width="6.85546875" style="11" customWidth="1"/>
    <col min="6155" max="6155" width="6.140625" style="11" customWidth="1"/>
    <col min="6156" max="6156" width="4.85546875" style="11" customWidth="1"/>
    <col min="6157" max="6157" width="5.140625" style="11" customWidth="1"/>
    <col min="6158" max="6158" width="8.140625" style="11" customWidth="1"/>
    <col min="6159" max="6159" width="15.85546875" style="11" customWidth="1"/>
    <col min="6160" max="6400" width="9.140625" style="11"/>
    <col min="6401" max="6401" width="15.85546875" style="11" customWidth="1"/>
    <col min="6402" max="6402" width="14.85546875" style="11" bestFit="1" customWidth="1"/>
    <col min="6403" max="6403" width="6" style="11" customWidth="1"/>
    <col min="6404" max="6404" width="8.140625" style="11" bestFit="1" customWidth="1"/>
    <col min="6405" max="6406" width="5.85546875" style="11" customWidth="1"/>
    <col min="6407" max="6407" width="5.140625" style="11" customWidth="1"/>
    <col min="6408" max="6408" width="5.42578125" style="11" customWidth="1"/>
    <col min="6409" max="6409" width="5" style="11" customWidth="1"/>
    <col min="6410" max="6410" width="6.85546875" style="11" customWidth="1"/>
    <col min="6411" max="6411" width="6.140625" style="11" customWidth="1"/>
    <col min="6412" max="6412" width="4.85546875" style="11" customWidth="1"/>
    <col min="6413" max="6413" width="5.140625" style="11" customWidth="1"/>
    <col min="6414" max="6414" width="8.140625" style="11" customWidth="1"/>
    <col min="6415" max="6415" width="15.85546875" style="11" customWidth="1"/>
    <col min="6416" max="6656" width="9.140625" style="11"/>
    <col min="6657" max="6657" width="15.85546875" style="11" customWidth="1"/>
    <col min="6658" max="6658" width="14.85546875" style="11" bestFit="1" customWidth="1"/>
    <col min="6659" max="6659" width="6" style="11" customWidth="1"/>
    <col min="6660" max="6660" width="8.140625" style="11" bestFit="1" customWidth="1"/>
    <col min="6661" max="6662" width="5.85546875" style="11" customWidth="1"/>
    <col min="6663" max="6663" width="5.140625" style="11" customWidth="1"/>
    <col min="6664" max="6664" width="5.42578125" style="11" customWidth="1"/>
    <col min="6665" max="6665" width="5" style="11" customWidth="1"/>
    <col min="6666" max="6666" width="6.85546875" style="11" customWidth="1"/>
    <col min="6667" max="6667" width="6.140625" style="11" customWidth="1"/>
    <col min="6668" max="6668" width="4.85546875" style="11" customWidth="1"/>
    <col min="6669" max="6669" width="5.140625" style="11" customWidth="1"/>
    <col min="6670" max="6670" width="8.140625" style="11" customWidth="1"/>
    <col min="6671" max="6671" width="15.85546875" style="11" customWidth="1"/>
    <col min="6672" max="6912" width="9.140625" style="11"/>
    <col min="6913" max="6913" width="15.85546875" style="11" customWidth="1"/>
    <col min="6914" max="6914" width="14.85546875" style="11" bestFit="1" customWidth="1"/>
    <col min="6915" max="6915" width="6" style="11" customWidth="1"/>
    <col min="6916" max="6916" width="8.140625" style="11" bestFit="1" customWidth="1"/>
    <col min="6917" max="6918" width="5.85546875" style="11" customWidth="1"/>
    <col min="6919" max="6919" width="5.140625" style="11" customWidth="1"/>
    <col min="6920" max="6920" width="5.42578125" style="11" customWidth="1"/>
    <col min="6921" max="6921" width="5" style="11" customWidth="1"/>
    <col min="6922" max="6922" width="6.85546875" style="11" customWidth="1"/>
    <col min="6923" max="6923" width="6.140625" style="11" customWidth="1"/>
    <col min="6924" max="6924" width="4.85546875" style="11" customWidth="1"/>
    <col min="6925" max="6925" width="5.140625" style="11" customWidth="1"/>
    <col min="6926" max="6926" width="8.140625" style="11" customWidth="1"/>
    <col min="6927" max="6927" width="15.85546875" style="11" customWidth="1"/>
    <col min="6928" max="7168" width="9.140625" style="11"/>
    <col min="7169" max="7169" width="15.85546875" style="11" customWidth="1"/>
    <col min="7170" max="7170" width="14.85546875" style="11" bestFit="1" customWidth="1"/>
    <col min="7171" max="7171" width="6" style="11" customWidth="1"/>
    <col min="7172" max="7172" width="8.140625" style="11" bestFit="1" customWidth="1"/>
    <col min="7173" max="7174" width="5.85546875" style="11" customWidth="1"/>
    <col min="7175" max="7175" width="5.140625" style="11" customWidth="1"/>
    <col min="7176" max="7176" width="5.42578125" style="11" customWidth="1"/>
    <col min="7177" max="7177" width="5" style="11" customWidth="1"/>
    <col min="7178" max="7178" width="6.85546875" style="11" customWidth="1"/>
    <col min="7179" max="7179" width="6.140625" style="11" customWidth="1"/>
    <col min="7180" max="7180" width="4.85546875" style="11" customWidth="1"/>
    <col min="7181" max="7181" width="5.140625" style="11" customWidth="1"/>
    <col min="7182" max="7182" width="8.140625" style="11" customWidth="1"/>
    <col min="7183" max="7183" width="15.85546875" style="11" customWidth="1"/>
    <col min="7184" max="7424" width="9.140625" style="11"/>
    <col min="7425" max="7425" width="15.85546875" style="11" customWidth="1"/>
    <col min="7426" max="7426" width="14.85546875" style="11" bestFit="1" customWidth="1"/>
    <col min="7427" max="7427" width="6" style="11" customWidth="1"/>
    <col min="7428" max="7428" width="8.140625" style="11" bestFit="1" customWidth="1"/>
    <col min="7429" max="7430" width="5.85546875" style="11" customWidth="1"/>
    <col min="7431" max="7431" width="5.140625" style="11" customWidth="1"/>
    <col min="7432" max="7432" width="5.42578125" style="11" customWidth="1"/>
    <col min="7433" max="7433" width="5" style="11" customWidth="1"/>
    <col min="7434" max="7434" width="6.85546875" style="11" customWidth="1"/>
    <col min="7435" max="7435" width="6.140625" style="11" customWidth="1"/>
    <col min="7436" max="7436" width="4.85546875" style="11" customWidth="1"/>
    <col min="7437" max="7437" width="5.140625" style="11" customWidth="1"/>
    <col min="7438" max="7438" width="8.140625" style="11" customWidth="1"/>
    <col min="7439" max="7439" width="15.85546875" style="11" customWidth="1"/>
    <col min="7440" max="7680" width="9.140625" style="11"/>
    <col min="7681" max="7681" width="15.85546875" style="11" customWidth="1"/>
    <col min="7682" max="7682" width="14.85546875" style="11" bestFit="1" customWidth="1"/>
    <col min="7683" max="7683" width="6" style="11" customWidth="1"/>
    <col min="7684" max="7684" width="8.140625" style="11" bestFit="1" customWidth="1"/>
    <col min="7685" max="7686" width="5.85546875" style="11" customWidth="1"/>
    <col min="7687" max="7687" width="5.140625" style="11" customWidth="1"/>
    <col min="7688" max="7688" width="5.42578125" style="11" customWidth="1"/>
    <col min="7689" max="7689" width="5" style="11" customWidth="1"/>
    <col min="7690" max="7690" width="6.85546875" style="11" customWidth="1"/>
    <col min="7691" max="7691" width="6.140625" style="11" customWidth="1"/>
    <col min="7692" max="7692" width="4.85546875" style="11" customWidth="1"/>
    <col min="7693" max="7693" width="5.140625" style="11" customWidth="1"/>
    <col min="7694" max="7694" width="8.140625" style="11" customWidth="1"/>
    <col min="7695" max="7695" width="15.85546875" style="11" customWidth="1"/>
    <col min="7696" max="7936" width="9.140625" style="11"/>
    <col min="7937" max="7937" width="15.85546875" style="11" customWidth="1"/>
    <col min="7938" max="7938" width="14.85546875" style="11" bestFit="1" customWidth="1"/>
    <col min="7939" max="7939" width="6" style="11" customWidth="1"/>
    <col min="7940" max="7940" width="8.140625" style="11" bestFit="1" customWidth="1"/>
    <col min="7941" max="7942" width="5.85546875" style="11" customWidth="1"/>
    <col min="7943" max="7943" width="5.140625" style="11" customWidth="1"/>
    <col min="7944" max="7944" width="5.42578125" style="11" customWidth="1"/>
    <col min="7945" max="7945" width="5" style="11" customWidth="1"/>
    <col min="7946" max="7946" width="6.85546875" style="11" customWidth="1"/>
    <col min="7947" max="7947" width="6.140625" style="11" customWidth="1"/>
    <col min="7948" max="7948" width="4.85546875" style="11" customWidth="1"/>
    <col min="7949" max="7949" width="5.140625" style="11" customWidth="1"/>
    <col min="7950" max="7950" width="8.140625" style="11" customWidth="1"/>
    <col min="7951" max="7951" width="15.85546875" style="11" customWidth="1"/>
    <col min="7952" max="8192" width="9.140625" style="11"/>
    <col min="8193" max="8193" width="15.85546875" style="11" customWidth="1"/>
    <col min="8194" max="8194" width="14.85546875" style="11" bestFit="1" customWidth="1"/>
    <col min="8195" max="8195" width="6" style="11" customWidth="1"/>
    <col min="8196" max="8196" width="8.140625" style="11" bestFit="1" customWidth="1"/>
    <col min="8197" max="8198" width="5.85546875" style="11" customWidth="1"/>
    <col min="8199" max="8199" width="5.140625" style="11" customWidth="1"/>
    <col min="8200" max="8200" width="5.42578125" style="11" customWidth="1"/>
    <col min="8201" max="8201" width="5" style="11" customWidth="1"/>
    <col min="8202" max="8202" width="6.85546875" style="11" customWidth="1"/>
    <col min="8203" max="8203" width="6.140625" style="11" customWidth="1"/>
    <col min="8204" max="8204" width="4.85546875" style="11" customWidth="1"/>
    <col min="8205" max="8205" width="5.140625" style="11" customWidth="1"/>
    <col min="8206" max="8206" width="8.140625" style="11" customWidth="1"/>
    <col min="8207" max="8207" width="15.85546875" style="11" customWidth="1"/>
    <col min="8208" max="8448" width="9.140625" style="11"/>
    <col min="8449" max="8449" width="15.85546875" style="11" customWidth="1"/>
    <col min="8450" max="8450" width="14.85546875" style="11" bestFit="1" customWidth="1"/>
    <col min="8451" max="8451" width="6" style="11" customWidth="1"/>
    <col min="8452" max="8452" width="8.140625" style="11" bestFit="1" customWidth="1"/>
    <col min="8453" max="8454" width="5.85546875" style="11" customWidth="1"/>
    <col min="8455" max="8455" width="5.140625" style="11" customWidth="1"/>
    <col min="8456" max="8456" width="5.42578125" style="11" customWidth="1"/>
    <col min="8457" max="8457" width="5" style="11" customWidth="1"/>
    <col min="8458" max="8458" width="6.85546875" style="11" customWidth="1"/>
    <col min="8459" max="8459" width="6.140625" style="11" customWidth="1"/>
    <col min="8460" max="8460" width="4.85546875" style="11" customWidth="1"/>
    <col min="8461" max="8461" width="5.140625" style="11" customWidth="1"/>
    <col min="8462" max="8462" width="8.140625" style="11" customWidth="1"/>
    <col min="8463" max="8463" width="15.85546875" style="11" customWidth="1"/>
    <col min="8464" max="8704" width="9.140625" style="11"/>
    <col min="8705" max="8705" width="15.85546875" style="11" customWidth="1"/>
    <col min="8706" max="8706" width="14.85546875" style="11" bestFit="1" customWidth="1"/>
    <col min="8707" max="8707" width="6" style="11" customWidth="1"/>
    <col min="8708" max="8708" width="8.140625" style="11" bestFit="1" customWidth="1"/>
    <col min="8709" max="8710" width="5.85546875" style="11" customWidth="1"/>
    <col min="8711" max="8711" width="5.140625" style="11" customWidth="1"/>
    <col min="8712" max="8712" width="5.42578125" style="11" customWidth="1"/>
    <col min="8713" max="8713" width="5" style="11" customWidth="1"/>
    <col min="8714" max="8714" width="6.85546875" style="11" customWidth="1"/>
    <col min="8715" max="8715" width="6.140625" style="11" customWidth="1"/>
    <col min="8716" max="8716" width="4.85546875" style="11" customWidth="1"/>
    <col min="8717" max="8717" width="5.140625" style="11" customWidth="1"/>
    <col min="8718" max="8718" width="8.140625" style="11" customWidth="1"/>
    <col min="8719" max="8719" width="15.85546875" style="11" customWidth="1"/>
    <col min="8720" max="8960" width="9.140625" style="11"/>
    <col min="8961" max="8961" width="15.85546875" style="11" customWidth="1"/>
    <col min="8962" max="8962" width="14.85546875" style="11" bestFit="1" customWidth="1"/>
    <col min="8963" max="8963" width="6" style="11" customWidth="1"/>
    <col min="8964" max="8964" width="8.140625" style="11" bestFit="1" customWidth="1"/>
    <col min="8965" max="8966" width="5.85546875" style="11" customWidth="1"/>
    <col min="8967" max="8967" width="5.140625" style="11" customWidth="1"/>
    <col min="8968" max="8968" width="5.42578125" style="11" customWidth="1"/>
    <col min="8969" max="8969" width="5" style="11" customWidth="1"/>
    <col min="8970" max="8970" width="6.85546875" style="11" customWidth="1"/>
    <col min="8971" max="8971" width="6.140625" style="11" customWidth="1"/>
    <col min="8972" max="8972" width="4.85546875" style="11" customWidth="1"/>
    <col min="8973" max="8973" width="5.140625" style="11" customWidth="1"/>
    <col min="8974" max="8974" width="8.140625" style="11" customWidth="1"/>
    <col min="8975" max="8975" width="15.85546875" style="11" customWidth="1"/>
    <col min="8976" max="9216" width="9.140625" style="11"/>
    <col min="9217" max="9217" width="15.85546875" style="11" customWidth="1"/>
    <col min="9218" max="9218" width="14.85546875" style="11" bestFit="1" customWidth="1"/>
    <col min="9219" max="9219" width="6" style="11" customWidth="1"/>
    <col min="9220" max="9220" width="8.140625" style="11" bestFit="1" customWidth="1"/>
    <col min="9221" max="9222" width="5.85546875" style="11" customWidth="1"/>
    <col min="9223" max="9223" width="5.140625" style="11" customWidth="1"/>
    <col min="9224" max="9224" width="5.42578125" style="11" customWidth="1"/>
    <col min="9225" max="9225" width="5" style="11" customWidth="1"/>
    <col min="9226" max="9226" width="6.85546875" style="11" customWidth="1"/>
    <col min="9227" max="9227" width="6.140625" style="11" customWidth="1"/>
    <col min="9228" max="9228" width="4.85546875" style="11" customWidth="1"/>
    <col min="9229" max="9229" width="5.140625" style="11" customWidth="1"/>
    <col min="9230" max="9230" width="8.140625" style="11" customWidth="1"/>
    <col min="9231" max="9231" width="15.85546875" style="11" customWidth="1"/>
    <col min="9232" max="9472" width="9.140625" style="11"/>
    <col min="9473" max="9473" width="15.85546875" style="11" customWidth="1"/>
    <col min="9474" max="9474" width="14.85546875" style="11" bestFit="1" customWidth="1"/>
    <col min="9475" max="9475" width="6" style="11" customWidth="1"/>
    <col min="9476" max="9476" width="8.140625" style="11" bestFit="1" customWidth="1"/>
    <col min="9477" max="9478" width="5.85546875" style="11" customWidth="1"/>
    <col min="9479" max="9479" width="5.140625" style="11" customWidth="1"/>
    <col min="9480" max="9480" width="5.42578125" style="11" customWidth="1"/>
    <col min="9481" max="9481" width="5" style="11" customWidth="1"/>
    <col min="9482" max="9482" width="6.85546875" style="11" customWidth="1"/>
    <col min="9483" max="9483" width="6.140625" style="11" customWidth="1"/>
    <col min="9484" max="9484" width="4.85546875" style="11" customWidth="1"/>
    <col min="9485" max="9485" width="5.140625" style="11" customWidth="1"/>
    <col min="9486" max="9486" width="8.140625" style="11" customWidth="1"/>
    <col min="9487" max="9487" width="15.85546875" style="11" customWidth="1"/>
    <col min="9488" max="9728" width="9.140625" style="11"/>
    <col min="9729" max="9729" width="15.85546875" style="11" customWidth="1"/>
    <col min="9730" max="9730" width="14.85546875" style="11" bestFit="1" customWidth="1"/>
    <col min="9731" max="9731" width="6" style="11" customWidth="1"/>
    <col min="9732" max="9732" width="8.140625" style="11" bestFit="1" customWidth="1"/>
    <col min="9733" max="9734" width="5.85546875" style="11" customWidth="1"/>
    <col min="9735" max="9735" width="5.140625" style="11" customWidth="1"/>
    <col min="9736" max="9736" width="5.42578125" style="11" customWidth="1"/>
    <col min="9737" max="9737" width="5" style="11" customWidth="1"/>
    <col min="9738" max="9738" width="6.85546875" style="11" customWidth="1"/>
    <col min="9739" max="9739" width="6.140625" style="11" customWidth="1"/>
    <col min="9740" max="9740" width="4.85546875" style="11" customWidth="1"/>
    <col min="9741" max="9741" width="5.140625" style="11" customWidth="1"/>
    <col min="9742" max="9742" width="8.140625" style="11" customWidth="1"/>
    <col min="9743" max="9743" width="15.85546875" style="11" customWidth="1"/>
    <col min="9744" max="9984" width="9.140625" style="11"/>
    <col min="9985" max="9985" width="15.85546875" style="11" customWidth="1"/>
    <col min="9986" max="9986" width="14.85546875" style="11" bestFit="1" customWidth="1"/>
    <col min="9987" max="9987" width="6" style="11" customWidth="1"/>
    <col min="9988" max="9988" width="8.140625" style="11" bestFit="1" customWidth="1"/>
    <col min="9989" max="9990" width="5.85546875" style="11" customWidth="1"/>
    <col min="9991" max="9991" width="5.140625" style="11" customWidth="1"/>
    <col min="9992" max="9992" width="5.42578125" style="11" customWidth="1"/>
    <col min="9993" max="9993" width="5" style="11" customWidth="1"/>
    <col min="9994" max="9994" width="6.85546875" style="11" customWidth="1"/>
    <col min="9995" max="9995" width="6.140625" style="11" customWidth="1"/>
    <col min="9996" max="9996" width="4.85546875" style="11" customWidth="1"/>
    <col min="9997" max="9997" width="5.140625" style="11" customWidth="1"/>
    <col min="9998" max="9998" width="8.140625" style="11" customWidth="1"/>
    <col min="9999" max="9999" width="15.85546875" style="11" customWidth="1"/>
    <col min="10000" max="10240" width="9.140625" style="11"/>
    <col min="10241" max="10241" width="15.85546875" style="11" customWidth="1"/>
    <col min="10242" max="10242" width="14.85546875" style="11" bestFit="1" customWidth="1"/>
    <col min="10243" max="10243" width="6" style="11" customWidth="1"/>
    <col min="10244" max="10244" width="8.140625" style="11" bestFit="1" customWidth="1"/>
    <col min="10245" max="10246" width="5.85546875" style="11" customWidth="1"/>
    <col min="10247" max="10247" width="5.140625" style="11" customWidth="1"/>
    <col min="10248" max="10248" width="5.42578125" style="11" customWidth="1"/>
    <col min="10249" max="10249" width="5" style="11" customWidth="1"/>
    <col min="10250" max="10250" width="6.85546875" style="11" customWidth="1"/>
    <col min="10251" max="10251" width="6.140625" style="11" customWidth="1"/>
    <col min="10252" max="10252" width="4.85546875" style="11" customWidth="1"/>
    <col min="10253" max="10253" width="5.140625" style="11" customWidth="1"/>
    <col min="10254" max="10254" width="8.140625" style="11" customWidth="1"/>
    <col min="10255" max="10255" width="15.85546875" style="11" customWidth="1"/>
    <col min="10256" max="10496" width="9.140625" style="11"/>
    <col min="10497" max="10497" width="15.85546875" style="11" customWidth="1"/>
    <col min="10498" max="10498" width="14.85546875" style="11" bestFit="1" customWidth="1"/>
    <col min="10499" max="10499" width="6" style="11" customWidth="1"/>
    <col min="10500" max="10500" width="8.140625" style="11" bestFit="1" customWidth="1"/>
    <col min="10501" max="10502" width="5.85546875" style="11" customWidth="1"/>
    <col min="10503" max="10503" width="5.140625" style="11" customWidth="1"/>
    <col min="10504" max="10504" width="5.42578125" style="11" customWidth="1"/>
    <col min="10505" max="10505" width="5" style="11" customWidth="1"/>
    <col min="10506" max="10506" width="6.85546875" style="11" customWidth="1"/>
    <col min="10507" max="10507" width="6.140625" style="11" customWidth="1"/>
    <col min="10508" max="10508" width="4.85546875" style="11" customWidth="1"/>
    <col min="10509" max="10509" width="5.140625" style="11" customWidth="1"/>
    <col min="10510" max="10510" width="8.140625" style="11" customWidth="1"/>
    <col min="10511" max="10511" width="15.85546875" style="11" customWidth="1"/>
    <col min="10512" max="10752" width="9.140625" style="11"/>
    <col min="10753" max="10753" width="15.85546875" style="11" customWidth="1"/>
    <col min="10754" max="10754" width="14.85546875" style="11" bestFit="1" customWidth="1"/>
    <col min="10755" max="10755" width="6" style="11" customWidth="1"/>
    <col min="10756" max="10756" width="8.140625" style="11" bestFit="1" customWidth="1"/>
    <col min="10757" max="10758" width="5.85546875" style="11" customWidth="1"/>
    <col min="10759" max="10759" width="5.140625" style="11" customWidth="1"/>
    <col min="10760" max="10760" width="5.42578125" style="11" customWidth="1"/>
    <col min="10761" max="10761" width="5" style="11" customWidth="1"/>
    <col min="10762" max="10762" width="6.85546875" style="11" customWidth="1"/>
    <col min="10763" max="10763" width="6.140625" style="11" customWidth="1"/>
    <col min="10764" max="10764" width="4.85546875" style="11" customWidth="1"/>
    <col min="10765" max="10765" width="5.140625" style="11" customWidth="1"/>
    <col min="10766" max="10766" width="8.140625" style="11" customWidth="1"/>
    <col min="10767" max="10767" width="15.85546875" style="11" customWidth="1"/>
    <col min="10768" max="11008" width="9.140625" style="11"/>
    <col min="11009" max="11009" width="15.85546875" style="11" customWidth="1"/>
    <col min="11010" max="11010" width="14.85546875" style="11" bestFit="1" customWidth="1"/>
    <col min="11011" max="11011" width="6" style="11" customWidth="1"/>
    <col min="11012" max="11012" width="8.140625" style="11" bestFit="1" customWidth="1"/>
    <col min="11013" max="11014" width="5.85546875" style="11" customWidth="1"/>
    <col min="11015" max="11015" width="5.140625" style="11" customWidth="1"/>
    <col min="11016" max="11016" width="5.42578125" style="11" customWidth="1"/>
    <col min="11017" max="11017" width="5" style="11" customWidth="1"/>
    <col min="11018" max="11018" width="6.85546875" style="11" customWidth="1"/>
    <col min="11019" max="11019" width="6.140625" style="11" customWidth="1"/>
    <col min="11020" max="11020" width="4.85546875" style="11" customWidth="1"/>
    <col min="11021" max="11021" width="5.140625" style="11" customWidth="1"/>
    <col min="11022" max="11022" width="8.140625" style="11" customWidth="1"/>
    <col min="11023" max="11023" width="15.85546875" style="11" customWidth="1"/>
    <col min="11024" max="11264" width="9.140625" style="11"/>
    <col min="11265" max="11265" width="15.85546875" style="11" customWidth="1"/>
    <col min="11266" max="11266" width="14.85546875" style="11" bestFit="1" customWidth="1"/>
    <col min="11267" max="11267" width="6" style="11" customWidth="1"/>
    <col min="11268" max="11268" width="8.140625" style="11" bestFit="1" customWidth="1"/>
    <col min="11269" max="11270" width="5.85546875" style="11" customWidth="1"/>
    <col min="11271" max="11271" width="5.140625" style="11" customWidth="1"/>
    <col min="11272" max="11272" width="5.42578125" style="11" customWidth="1"/>
    <col min="11273" max="11273" width="5" style="11" customWidth="1"/>
    <col min="11274" max="11274" width="6.85546875" style="11" customWidth="1"/>
    <col min="11275" max="11275" width="6.140625" style="11" customWidth="1"/>
    <col min="11276" max="11276" width="4.85546875" style="11" customWidth="1"/>
    <col min="11277" max="11277" width="5.140625" style="11" customWidth="1"/>
    <col min="11278" max="11278" width="8.140625" style="11" customWidth="1"/>
    <col min="11279" max="11279" width="15.85546875" style="11" customWidth="1"/>
    <col min="11280" max="11520" width="9.140625" style="11"/>
    <col min="11521" max="11521" width="15.85546875" style="11" customWidth="1"/>
    <col min="11522" max="11522" width="14.85546875" style="11" bestFit="1" customWidth="1"/>
    <col min="11523" max="11523" width="6" style="11" customWidth="1"/>
    <col min="11524" max="11524" width="8.140625" style="11" bestFit="1" customWidth="1"/>
    <col min="11525" max="11526" width="5.85546875" style="11" customWidth="1"/>
    <col min="11527" max="11527" width="5.140625" style="11" customWidth="1"/>
    <col min="11528" max="11528" width="5.42578125" style="11" customWidth="1"/>
    <col min="11529" max="11529" width="5" style="11" customWidth="1"/>
    <col min="11530" max="11530" width="6.85546875" style="11" customWidth="1"/>
    <col min="11531" max="11531" width="6.140625" style="11" customWidth="1"/>
    <col min="11532" max="11532" width="4.85546875" style="11" customWidth="1"/>
    <col min="11533" max="11533" width="5.140625" style="11" customWidth="1"/>
    <col min="11534" max="11534" width="8.140625" style="11" customWidth="1"/>
    <col min="11535" max="11535" width="15.85546875" style="11" customWidth="1"/>
    <col min="11536" max="11776" width="9.140625" style="11"/>
    <col min="11777" max="11777" width="15.85546875" style="11" customWidth="1"/>
    <col min="11778" max="11778" width="14.85546875" style="11" bestFit="1" customWidth="1"/>
    <col min="11779" max="11779" width="6" style="11" customWidth="1"/>
    <col min="11780" max="11780" width="8.140625" style="11" bestFit="1" customWidth="1"/>
    <col min="11781" max="11782" width="5.85546875" style="11" customWidth="1"/>
    <col min="11783" max="11783" width="5.140625" style="11" customWidth="1"/>
    <col min="11784" max="11784" width="5.42578125" style="11" customWidth="1"/>
    <col min="11785" max="11785" width="5" style="11" customWidth="1"/>
    <col min="11786" max="11786" width="6.85546875" style="11" customWidth="1"/>
    <col min="11787" max="11787" width="6.140625" style="11" customWidth="1"/>
    <col min="11788" max="11788" width="4.85546875" style="11" customWidth="1"/>
    <col min="11789" max="11789" width="5.140625" style="11" customWidth="1"/>
    <col min="11790" max="11790" width="8.140625" style="11" customWidth="1"/>
    <col min="11791" max="11791" width="15.85546875" style="11" customWidth="1"/>
    <col min="11792" max="12032" width="9.140625" style="11"/>
    <col min="12033" max="12033" width="15.85546875" style="11" customWidth="1"/>
    <col min="12034" max="12034" width="14.85546875" style="11" bestFit="1" customWidth="1"/>
    <col min="12035" max="12035" width="6" style="11" customWidth="1"/>
    <col min="12036" max="12036" width="8.140625" style="11" bestFit="1" customWidth="1"/>
    <col min="12037" max="12038" width="5.85546875" style="11" customWidth="1"/>
    <col min="12039" max="12039" width="5.140625" style="11" customWidth="1"/>
    <col min="12040" max="12040" width="5.42578125" style="11" customWidth="1"/>
    <col min="12041" max="12041" width="5" style="11" customWidth="1"/>
    <col min="12042" max="12042" width="6.85546875" style="11" customWidth="1"/>
    <col min="12043" max="12043" width="6.140625" style="11" customWidth="1"/>
    <col min="12044" max="12044" width="4.85546875" style="11" customWidth="1"/>
    <col min="12045" max="12045" width="5.140625" style="11" customWidth="1"/>
    <col min="12046" max="12046" width="8.140625" style="11" customWidth="1"/>
    <col min="12047" max="12047" width="15.85546875" style="11" customWidth="1"/>
    <col min="12048" max="12288" width="9.140625" style="11"/>
    <col min="12289" max="12289" width="15.85546875" style="11" customWidth="1"/>
    <col min="12290" max="12290" width="14.85546875" style="11" bestFit="1" customWidth="1"/>
    <col min="12291" max="12291" width="6" style="11" customWidth="1"/>
    <col min="12292" max="12292" width="8.140625" style="11" bestFit="1" customWidth="1"/>
    <col min="12293" max="12294" width="5.85546875" style="11" customWidth="1"/>
    <col min="12295" max="12295" width="5.140625" style="11" customWidth="1"/>
    <col min="12296" max="12296" width="5.42578125" style="11" customWidth="1"/>
    <col min="12297" max="12297" width="5" style="11" customWidth="1"/>
    <col min="12298" max="12298" width="6.85546875" style="11" customWidth="1"/>
    <col min="12299" max="12299" width="6.140625" style="11" customWidth="1"/>
    <col min="12300" max="12300" width="4.85546875" style="11" customWidth="1"/>
    <col min="12301" max="12301" width="5.140625" style="11" customWidth="1"/>
    <col min="12302" max="12302" width="8.140625" style="11" customWidth="1"/>
    <col min="12303" max="12303" width="15.85546875" style="11" customWidth="1"/>
    <col min="12304" max="12544" width="9.140625" style="11"/>
    <col min="12545" max="12545" width="15.85546875" style="11" customWidth="1"/>
    <col min="12546" max="12546" width="14.85546875" style="11" bestFit="1" customWidth="1"/>
    <col min="12547" max="12547" width="6" style="11" customWidth="1"/>
    <col min="12548" max="12548" width="8.140625" style="11" bestFit="1" customWidth="1"/>
    <col min="12549" max="12550" width="5.85546875" style="11" customWidth="1"/>
    <col min="12551" max="12551" width="5.140625" style="11" customWidth="1"/>
    <col min="12552" max="12552" width="5.42578125" style="11" customWidth="1"/>
    <col min="12553" max="12553" width="5" style="11" customWidth="1"/>
    <col min="12554" max="12554" width="6.85546875" style="11" customWidth="1"/>
    <col min="12555" max="12555" width="6.140625" style="11" customWidth="1"/>
    <col min="12556" max="12556" width="4.85546875" style="11" customWidth="1"/>
    <col min="12557" max="12557" width="5.140625" style="11" customWidth="1"/>
    <col min="12558" max="12558" width="8.140625" style="11" customWidth="1"/>
    <col min="12559" max="12559" width="15.85546875" style="11" customWidth="1"/>
    <col min="12560" max="12800" width="9.140625" style="11"/>
    <col min="12801" max="12801" width="15.85546875" style="11" customWidth="1"/>
    <col min="12802" max="12802" width="14.85546875" style="11" bestFit="1" customWidth="1"/>
    <col min="12803" max="12803" width="6" style="11" customWidth="1"/>
    <col min="12804" max="12804" width="8.140625" style="11" bestFit="1" customWidth="1"/>
    <col min="12805" max="12806" width="5.85546875" style="11" customWidth="1"/>
    <col min="12807" max="12807" width="5.140625" style="11" customWidth="1"/>
    <col min="12808" max="12808" width="5.42578125" style="11" customWidth="1"/>
    <col min="12809" max="12809" width="5" style="11" customWidth="1"/>
    <col min="12810" max="12810" width="6.85546875" style="11" customWidth="1"/>
    <col min="12811" max="12811" width="6.140625" style="11" customWidth="1"/>
    <col min="12812" max="12812" width="4.85546875" style="11" customWidth="1"/>
    <col min="12813" max="12813" width="5.140625" style="11" customWidth="1"/>
    <col min="12814" max="12814" width="8.140625" style="11" customWidth="1"/>
    <col min="12815" max="12815" width="15.85546875" style="11" customWidth="1"/>
    <col min="12816" max="13056" width="9.140625" style="11"/>
    <col min="13057" max="13057" width="15.85546875" style="11" customWidth="1"/>
    <col min="13058" max="13058" width="14.85546875" style="11" bestFit="1" customWidth="1"/>
    <col min="13059" max="13059" width="6" style="11" customWidth="1"/>
    <col min="13060" max="13060" width="8.140625" style="11" bestFit="1" customWidth="1"/>
    <col min="13061" max="13062" width="5.85546875" style="11" customWidth="1"/>
    <col min="13063" max="13063" width="5.140625" style="11" customWidth="1"/>
    <col min="13064" max="13064" width="5.42578125" style="11" customWidth="1"/>
    <col min="13065" max="13065" width="5" style="11" customWidth="1"/>
    <col min="13066" max="13066" width="6.85546875" style="11" customWidth="1"/>
    <col min="13067" max="13067" width="6.140625" style="11" customWidth="1"/>
    <col min="13068" max="13068" width="4.85546875" style="11" customWidth="1"/>
    <col min="13069" max="13069" width="5.140625" style="11" customWidth="1"/>
    <col min="13070" max="13070" width="8.140625" style="11" customWidth="1"/>
    <col min="13071" max="13071" width="15.85546875" style="11" customWidth="1"/>
    <col min="13072" max="13312" width="9.140625" style="11"/>
    <col min="13313" max="13313" width="15.85546875" style="11" customWidth="1"/>
    <col min="13314" max="13314" width="14.85546875" style="11" bestFit="1" customWidth="1"/>
    <col min="13315" max="13315" width="6" style="11" customWidth="1"/>
    <col min="13316" max="13316" width="8.140625" style="11" bestFit="1" customWidth="1"/>
    <col min="13317" max="13318" width="5.85546875" style="11" customWidth="1"/>
    <col min="13319" max="13319" width="5.140625" style="11" customWidth="1"/>
    <col min="13320" max="13320" width="5.42578125" style="11" customWidth="1"/>
    <col min="13321" max="13321" width="5" style="11" customWidth="1"/>
    <col min="13322" max="13322" width="6.85546875" style="11" customWidth="1"/>
    <col min="13323" max="13323" width="6.140625" style="11" customWidth="1"/>
    <col min="13324" max="13324" width="4.85546875" style="11" customWidth="1"/>
    <col min="13325" max="13325" width="5.140625" style="11" customWidth="1"/>
    <col min="13326" max="13326" width="8.140625" style="11" customWidth="1"/>
    <col min="13327" max="13327" width="15.85546875" style="11" customWidth="1"/>
    <col min="13328" max="13568" width="9.140625" style="11"/>
    <col min="13569" max="13569" width="15.85546875" style="11" customWidth="1"/>
    <col min="13570" max="13570" width="14.85546875" style="11" bestFit="1" customWidth="1"/>
    <col min="13571" max="13571" width="6" style="11" customWidth="1"/>
    <col min="13572" max="13572" width="8.140625" style="11" bestFit="1" customWidth="1"/>
    <col min="13573" max="13574" width="5.85546875" style="11" customWidth="1"/>
    <col min="13575" max="13575" width="5.140625" style="11" customWidth="1"/>
    <col min="13576" max="13576" width="5.42578125" style="11" customWidth="1"/>
    <col min="13577" max="13577" width="5" style="11" customWidth="1"/>
    <col min="13578" max="13578" width="6.85546875" style="11" customWidth="1"/>
    <col min="13579" max="13579" width="6.140625" style="11" customWidth="1"/>
    <col min="13580" max="13580" width="4.85546875" style="11" customWidth="1"/>
    <col min="13581" max="13581" width="5.140625" style="11" customWidth="1"/>
    <col min="13582" max="13582" width="8.140625" style="11" customWidth="1"/>
    <col min="13583" max="13583" width="15.85546875" style="11" customWidth="1"/>
    <col min="13584" max="13824" width="9.140625" style="11"/>
    <col min="13825" max="13825" width="15.85546875" style="11" customWidth="1"/>
    <col min="13826" max="13826" width="14.85546875" style="11" bestFit="1" customWidth="1"/>
    <col min="13827" max="13827" width="6" style="11" customWidth="1"/>
    <col min="13828" max="13828" width="8.140625" style="11" bestFit="1" customWidth="1"/>
    <col min="13829" max="13830" width="5.85546875" style="11" customWidth="1"/>
    <col min="13831" max="13831" width="5.140625" style="11" customWidth="1"/>
    <col min="13832" max="13832" width="5.42578125" style="11" customWidth="1"/>
    <col min="13833" max="13833" width="5" style="11" customWidth="1"/>
    <col min="13834" max="13834" width="6.85546875" style="11" customWidth="1"/>
    <col min="13835" max="13835" width="6.140625" style="11" customWidth="1"/>
    <col min="13836" max="13836" width="4.85546875" style="11" customWidth="1"/>
    <col min="13837" max="13837" width="5.140625" style="11" customWidth="1"/>
    <col min="13838" max="13838" width="8.140625" style="11" customWidth="1"/>
    <col min="13839" max="13839" width="15.85546875" style="11" customWidth="1"/>
    <col min="13840" max="14080" width="9.140625" style="11"/>
    <col min="14081" max="14081" width="15.85546875" style="11" customWidth="1"/>
    <col min="14082" max="14082" width="14.85546875" style="11" bestFit="1" customWidth="1"/>
    <col min="14083" max="14083" width="6" style="11" customWidth="1"/>
    <col min="14084" max="14084" width="8.140625" style="11" bestFit="1" customWidth="1"/>
    <col min="14085" max="14086" width="5.85546875" style="11" customWidth="1"/>
    <col min="14087" max="14087" width="5.140625" style="11" customWidth="1"/>
    <col min="14088" max="14088" width="5.42578125" style="11" customWidth="1"/>
    <col min="14089" max="14089" width="5" style="11" customWidth="1"/>
    <col min="14090" max="14090" width="6.85546875" style="11" customWidth="1"/>
    <col min="14091" max="14091" width="6.140625" style="11" customWidth="1"/>
    <col min="14092" max="14092" width="4.85546875" style="11" customWidth="1"/>
    <col min="14093" max="14093" width="5.140625" style="11" customWidth="1"/>
    <col min="14094" max="14094" width="8.140625" style="11" customWidth="1"/>
    <col min="14095" max="14095" width="15.85546875" style="11" customWidth="1"/>
    <col min="14096" max="14336" width="9.140625" style="11"/>
    <col min="14337" max="14337" width="15.85546875" style="11" customWidth="1"/>
    <col min="14338" max="14338" width="14.85546875" style="11" bestFit="1" customWidth="1"/>
    <col min="14339" max="14339" width="6" style="11" customWidth="1"/>
    <col min="14340" max="14340" width="8.140625" style="11" bestFit="1" customWidth="1"/>
    <col min="14341" max="14342" width="5.85546875" style="11" customWidth="1"/>
    <col min="14343" max="14343" width="5.140625" style="11" customWidth="1"/>
    <col min="14344" max="14344" width="5.42578125" style="11" customWidth="1"/>
    <col min="14345" max="14345" width="5" style="11" customWidth="1"/>
    <col min="14346" max="14346" width="6.85546875" style="11" customWidth="1"/>
    <col min="14347" max="14347" width="6.140625" style="11" customWidth="1"/>
    <col min="14348" max="14348" width="4.85546875" style="11" customWidth="1"/>
    <col min="14349" max="14349" width="5.140625" style="11" customWidth="1"/>
    <col min="14350" max="14350" width="8.140625" style="11" customWidth="1"/>
    <col min="14351" max="14351" width="15.85546875" style="11" customWidth="1"/>
    <col min="14352" max="14592" width="9.140625" style="11"/>
    <col min="14593" max="14593" width="15.85546875" style="11" customWidth="1"/>
    <col min="14594" max="14594" width="14.85546875" style="11" bestFit="1" customWidth="1"/>
    <col min="14595" max="14595" width="6" style="11" customWidth="1"/>
    <col min="14596" max="14596" width="8.140625" style="11" bestFit="1" customWidth="1"/>
    <col min="14597" max="14598" width="5.85546875" style="11" customWidth="1"/>
    <col min="14599" max="14599" width="5.140625" style="11" customWidth="1"/>
    <col min="14600" max="14600" width="5.42578125" style="11" customWidth="1"/>
    <col min="14601" max="14601" width="5" style="11" customWidth="1"/>
    <col min="14602" max="14602" width="6.85546875" style="11" customWidth="1"/>
    <col min="14603" max="14603" width="6.140625" style="11" customWidth="1"/>
    <col min="14604" max="14604" width="4.85546875" style="11" customWidth="1"/>
    <col min="14605" max="14605" width="5.140625" style="11" customWidth="1"/>
    <col min="14606" max="14606" width="8.140625" style="11" customWidth="1"/>
    <col min="14607" max="14607" width="15.85546875" style="11" customWidth="1"/>
    <col min="14608" max="14848" width="9.140625" style="11"/>
    <col min="14849" max="14849" width="15.85546875" style="11" customWidth="1"/>
    <col min="14850" max="14850" width="14.85546875" style="11" bestFit="1" customWidth="1"/>
    <col min="14851" max="14851" width="6" style="11" customWidth="1"/>
    <col min="14852" max="14852" width="8.140625" style="11" bestFit="1" customWidth="1"/>
    <col min="14853" max="14854" width="5.85546875" style="11" customWidth="1"/>
    <col min="14855" max="14855" width="5.140625" style="11" customWidth="1"/>
    <col min="14856" max="14856" width="5.42578125" style="11" customWidth="1"/>
    <col min="14857" max="14857" width="5" style="11" customWidth="1"/>
    <col min="14858" max="14858" width="6.85546875" style="11" customWidth="1"/>
    <col min="14859" max="14859" width="6.140625" style="11" customWidth="1"/>
    <col min="14860" max="14860" width="4.85546875" style="11" customWidth="1"/>
    <col min="14861" max="14861" width="5.140625" style="11" customWidth="1"/>
    <col min="14862" max="14862" width="8.140625" style="11" customWidth="1"/>
    <col min="14863" max="14863" width="15.85546875" style="11" customWidth="1"/>
    <col min="14864" max="15104" width="9.140625" style="11"/>
    <col min="15105" max="15105" width="15.85546875" style="11" customWidth="1"/>
    <col min="15106" max="15106" width="14.85546875" style="11" bestFit="1" customWidth="1"/>
    <col min="15107" max="15107" width="6" style="11" customWidth="1"/>
    <col min="15108" max="15108" width="8.140625" style="11" bestFit="1" customWidth="1"/>
    <col min="15109" max="15110" width="5.85546875" style="11" customWidth="1"/>
    <col min="15111" max="15111" width="5.140625" style="11" customWidth="1"/>
    <col min="15112" max="15112" width="5.42578125" style="11" customWidth="1"/>
    <col min="15113" max="15113" width="5" style="11" customWidth="1"/>
    <col min="15114" max="15114" width="6.85546875" style="11" customWidth="1"/>
    <col min="15115" max="15115" width="6.140625" style="11" customWidth="1"/>
    <col min="15116" max="15116" width="4.85546875" style="11" customWidth="1"/>
    <col min="15117" max="15117" width="5.140625" style="11" customWidth="1"/>
    <col min="15118" max="15118" width="8.140625" style="11" customWidth="1"/>
    <col min="15119" max="15119" width="15.85546875" style="11" customWidth="1"/>
    <col min="15120" max="15360" width="9.140625" style="11"/>
    <col min="15361" max="15361" width="15.85546875" style="11" customWidth="1"/>
    <col min="15362" max="15362" width="14.85546875" style="11" bestFit="1" customWidth="1"/>
    <col min="15363" max="15363" width="6" style="11" customWidth="1"/>
    <col min="15364" max="15364" width="8.140625" style="11" bestFit="1" customWidth="1"/>
    <col min="15365" max="15366" width="5.85546875" style="11" customWidth="1"/>
    <col min="15367" max="15367" width="5.140625" style="11" customWidth="1"/>
    <col min="15368" max="15368" width="5.42578125" style="11" customWidth="1"/>
    <col min="15369" max="15369" width="5" style="11" customWidth="1"/>
    <col min="15370" max="15370" width="6.85546875" style="11" customWidth="1"/>
    <col min="15371" max="15371" width="6.140625" style="11" customWidth="1"/>
    <col min="15372" max="15372" width="4.85546875" style="11" customWidth="1"/>
    <col min="15373" max="15373" width="5.140625" style="11" customWidth="1"/>
    <col min="15374" max="15374" width="8.140625" style="11" customWidth="1"/>
    <col min="15375" max="15375" width="15.85546875" style="11" customWidth="1"/>
    <col min="15376" max="15616" width="9.140625" style="11"/>
    <col min="15617" max="15617" width="15.85546875" style="11" customWidth="1"/>
    <col min="15618" max="15618" width="14.85546875" style="11" bestFit="1" customWidth="1"/>
    <col min="15619" max="15619" width="6" style="11" customWidth="1"/>
    <col min="15620" max="15620" width="8.140625" style="11" bestFit="1" customWidth="1"/>
    <col min="15621" max="15622" width="5.85546875" style="11" customWidth="1"/>
    <col min="15623" max="15623" width="5.140625" style="11" customWidth="1"/>
    <col min="15624" max="15624" width="5.42578125" style="11" customWidth="1"/>
    <col min="15625" max="15625" width="5" style="11" customWidth="1"/>
    <col min="15626" max="15626" width="6.85546875" style="11" customWidth="1"/>
    <col min="15627" max="15627" width="6.140625" style="11" customWidth="1"/>
    <col min="15628" max="15628" width="4.85546875" style="11" customWidth="1"/>
    <col min="15629" max="15629" width="5.140625" style="11" customWidth="1"/>
    <col min="15630" max="15630" width="8.140625" style="11" customWidth="1"/>
    <col min="15631" max="15631" width="15.85546875" style="11" customWidth="1"/>
    <col min="15632" max="15872" width="9.140625" style="11"/>
    <col min="15873" max="15873" width="15.85546875" style="11" customWidth="1"/>
    <col min="15874" max="15874" width="14.85546875" style="11" bestFit="1" customWidth="1"/>
    <col min="15875" max="15875" width="6" style="11" customWidth="1"/>
    <col min="15876" max="15876" width="8.140625" style="11" bestFit="1" customWidth="1"/>
    <col min="15877" max="15878" width="5.85546875" style="11" customWidth="1"/>
    <col min="15879" max="15879" width="5.140625" style="11" customWidth="1"/>
    <col min="15880" max="15880" width="5.42578125" style="11" customWidth="1"/>
    <col min="15881" max="15881" width="5" style="11" customWidth="1"/>
    <col min="15882" max="15882" width="6.85546875" style="11" customWidth="1"/>
    <col min="15883" max="15883" width="6.140625" style="11" customWidth="1"/>
    <col min="15884" max="15884" width="4.85546875" style="11" customWidth="1"/>
    <col min="15885" max="15885" width="5.140625" style="11" customWidth="1"/>
    <col min="15886" max="15886" width="8.140625" style="11" customWidth="1"/>
    <col min="15887" max="15887" width="15.85546875" style="11" customWidth="1"/>
    <col min="15888" max="16128" width="9.140625" style="11"/>
    <col min="16129" max="16129" width="15.85546875" style="11" customWidth="1"/>
    <col min="16130" max="16130" width="14.85546875" style="11" bestFit="1" customWidth="1"/>
    <col min="16131" max="16131" width="6" style="11" customWidth="1"/>
    <col min="16132" max="16132" width="8.140625" style="11" bestFit="1" customWidth="1"/>
    <col min="16133" max="16134" width="5.85546875" style="11" customWidth="1"/>
    <col min="16135" max="16135" width="5.140625" style="11" customWidth="1"/>
    <col min="16136" max="16136" width="5.42578125" style="11" customWidth="1"/>
    <col min="16137" max="16137" width="5" style="11" customWidth="1"/>
    <col min="16138" max="16138" width="6.85546875" style="11" customWidth="1"/>
    <col min="16139" max="16139" width="6.140625" style="11" customWidth="1"/>
    <col min="16140" max="16140" width="4.85546875" style="11" customWidth="1"/>
    <col min="16141" max="16141" width="5.140625" style="11" customWidth="1"/>
    <col min="16142" max="16142" width="8.140625" style="11" customWidth="1"/>
    <col min="16143" max="16143" width="15.85546875" style="11" customWidth="1"/>
    <col min="16144" max="16384" width="9.140625" style="11"/>
  </cols>
  <sheetData>
    <row r="1" spans="1:51">
      <c r="A1" s="20" t="s">
        <v>182</v>
      </c>
      <c r="R1" s="33"/>
      <c r="AY1" s="28"/>
    </row>
    <row r="2" spans="1:51">
      <c r="R2" s="33"/>
    </row>
    <row r="3" spans="1:51">
      <c r="A3" s="20" t="s">
        <v>183</v>
      </c>
      <c r="O3" s="20"/>
    </row>
    <row r="4" spans="1:51">
      <c r="B4" s="22" t="s">
        <v>184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51">
      <c r="A5" s="11" t="s">
        <v>185</v>
      </c>
      <c r="B5" s="23" t="s">
        <v>186</v>
      </c>
      <c r="C5" s="23" t="s">
        <v>187</v>
      </c>
      <c r="D5" s="23" t="s">
        <v>188</v>
      </c>
      <c r="E5" s="23" t="s">
        <v>189</v>
      </c>
      <c r="F5" s="23" t="s">
        <v>190</v>
      </c>
      <c r="G5" s="23" t="s">
        <v>191</v>
      </c>
      <c r="H5" s="23" t="s">
        <v>192</v>
      </c>
      <c r="I5" s="23" t="s">
        <v>193</v>
      </c>
      <c r="J5" s="23" t="s">
        <v>194</v>
      </c>
      <c r="K5" s="23" t="s">
        <v>195</v>
      </c>
      <c r="L5" s="23" t="s">
        <v>196</v>
      </c>
      <c r="M5" s="23" t="s">
        <v>197</v>
      </c>
      <c r="N5" s="21"/>
    </row>
    <row r="6" spans="1:51">
      <c r="A6" s="11" t="s">
        <v>186</v>
      </c>
      <c r="B6" s="49">
        <v>1</v>
      </c>
      <c r="C6" s="49">
        <v>0</v>
      </c>
      <c r="D6" s="13">
        <v>1</v>
      </c>
      <c r="E6" s="13">
        <v>0</v>
      </c>
      <c r="F6" s="13">
        <v>1</v>
      </c>
      <c r="G6" s="13">
        <v>0</v>
      </c>
      <c r="H6" s="13">
        <v>1</v>
      </c>
      <c r="I6" s="13">
        <v>1</v>
      </c>
      <c r="J6" s="13">
        <v>1</v>
      </c>
      <c r="K6" s="13">
        <v>0</v>
      </c>
      <c r="L6" s="13">
        <v>0</v>
      </c>
      <c r="M6" s="49">
        <v>0</v>
      </c>
    </row>
    <row r="7" spans="1:51">
      <c r="A7" s="11" t="s">
        <v>187</v>
      </c>
      <c r="B7" s="49">
        <v>0</v>
      </c>
      <c r="C7" s="49">
        <v>1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1</v>
      </c>
      <c r="J7" s="13">
        <v>1</v>
      </c>
      <c r="K7" s="13">
        <v>0</v>
      </c>
      <c r="L7" s="13">
        <v>0</v>
      </c>
      <c r="M7" s="49">
        <v>0</v>
      </c>
    </row>
    <row r="8" spans="1:51">
      <c r="A8" s="11" t="s">
        <v>188</v>
      </c>
      <c r="B8" s="49">
        <v>1</v>
      </c>
      <c r="C8" s="49">
        <v>0</v>
      </c>
      <c r="D8" s="13">
        <v>1</v>
      </c>
      <c r="E8" s="13">
        <v>0</v>
      </c>
      <c r="F8" s="13">
        <v>0</v>
      </c>
      <c r="G8" s="13">
        <v>0</v>
      </c>
      <c r="H8" s="13">
        <v>1</v>
      </c>
      <c r="I8" s="13">
        <v>1</v>
      </c>
      <c r="J8" s="13">
        <v>1</v>
      </c>
      <c r="K8" s="13">
        <v>0</v>
      </c>
      <c r="L8" s="13">
        <v>0</v>
      </c>
      <c r="M8" s="49">
        <v>0</v>
      </c>
    </row>
    <row r="9" spans="1:51">
      <c r="A9" s="11" t="s">
        <v>189</v>
      </c>
      <c r="B9" s="49">
        <v>0</v>
      </c>
      <c r="C9" s="49">
        <v>0</v>
      </c>
      <c r="D9" s="13">
        <v>0</v>
      </c>
      <c r="E9" s="13">
        <v>1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1</v>
      </c>
      <c r="L9" s="13">
        <v>0</v>
      </c>
      <c r="M9" s="49">
        <v>0</v>
      </c>
    </row>
    <row r="10" spans="1:51">
      <c r="A10" s="11" t="s">
        <v>190</v>
      </c>
      <c r="B10" s="49">
        <v>1</v>
      </c>
      <c r="C10" s="49">
        <v>0</v>
      </c>
      <c r="D10" s="13">
        <v>0</v>
      </c>
      <c r="E10" s="13">
        <v>0</v>
      </c>
      <c r="F10" s="13">
        <v>1</v>
      </c>
      <c r="G10" s="13">
        <v>0</v>
      </c>
      <c r="H10" s="13">
        <v>1</v>
      </c>
      <c r="I10" s="13">
        <v>0</v>
      </c>
      <c r="J10" s="13">
        <v>0</v>
      </c>
      <c r="K10" s="13">
        <v>0</v>
      </c>
      <c r="L10" s="13">
        <v>0</v>
      </c>
      <c r="M10" s="49">
        <v>0</v>
      </c>
    </row>
    <row r="11" spans="1:51">
      <c r="A11" s="11" t="s">
        <v>191</v>
      </c>
      <c r="B11" s="49">
        <v>0</v>
      </c>
      <c r="C11" s="49">
        <v>0</v>
      </c>
      <c r="D11" s="13">
        <v>0</v>
      </c>
      <c r="E11" s="13">
        <v>0</v>
      </c>
      <c r="F11" s="13">
        <v>0</v>
      </c>
      <c r="G11" s="13">
        <v>1</v>
      </c>
      <c r="H11" s="13">
        <v>0</v>
      </c>
      <c r="I11" s="13">
        <v>0</v>
      </c>
      <c r="J11" s="13">
        <v>0</v>
      </c>
      <c r="K11" s="13">
        <v>1</v>
      </c>
      <c r="L11" s="13">
        <v>1</v>
      </c>
      <c r="M11" s="49">
        <v>0</v>
      </c>
    </row>
    <row r="12" spans="1:51">
      <c r="A12" s="11" t="s">
        <v>192</v>
      </c>
      <c r="B12" s="49">
        <v>1</v>
      </c>
      <c r="C12" s="49">
        <v>0</v>
      </c>
      <c r="D12" s="13">
        <v>1</v>
      </c>
      <c r="E12" s="13">
        <v>0</v>
      </c>
      <c r="F12" s="13">
        <v>1</v>
      </c>
      <c r="G12" s="13">
        <v>0</v>
      </c>
      <c r="H12" s="13">
        <v>1</v>
      </c>
      <c r="I12" s="13">
        <v>0</v>
      </c>
      <c r="J12" s="13">
        <v>0</v>
      </c>
      <c r="K12" s="13">
        <v>0</v>
      </c>
      <c r="L12" s="13">
        <v>0</v>
      </c>
      <c r="M12" s="49">
        <v>0</v>
      </c>
    </row>
    <row r="13" spans="1:51">
      <c r="A13" s="11" t="s">
        <v>193</v>
      </c>
      <c r="B13" s="49">
        <v>1</v>
      </c>
      <c r="C13" s="49">
        <v>1</v>
      </c>
      <c r="D13" s="13">
        <v>1</v>
      </c>
      <c r="E13" s="13">
        <v>0</v>
      </c>
      <c r="F13" s="13">
        <v>0</v>
      </c>
      <c r="G13" s="13">
        <v>0</v>
      </c>
      <c r="H13" s="13">
        <v>0</v>
      </c>
      <c r="I13" s="13">
        <v>1</v>
      </c>
      <c r="J13" s="13">
        <v>1</v>
      </c>
      <c r="K13" s="13">
        <v>0</v>
      </c>
      <c r="L13" s="13">
        <v>0</v>
      </c>
      <c r="M13" s="49">
        <v>0</v>
      </c>
    </row>
    <row r="14" spans="1:51">
      <c r="A14" s="11" t="s">
        <v>194</v>
      </c>
      <c r="B14" s="49">
        <v>1</v>
      </c>
      <c r="C14" s="49">
        <v>1</v>
      </c>
      <c r="D14" s="13">
        <v>1</v>
      </c>
      <c r="E14" s="13">
        <v>0</v>
      </c>
      <c r="F14" s="13">
        <v>0</v>
      </c>
      <c r="G14" s="13">
        <v>0</v>
      </c>
      <c r="H14" s="13">
        <v>0</v>
      </c>
      <c r="I14" s="13">
        <v>1</v>
      </c>
      <c r="J14" s="13">
        <v>1</v>
      </c>
      <c r="K14" s="13">
        <v>0</v>
      </c>
      <c r="L14" s="13">
        <v>0</v>
      </c>
      <c r="M14" s="49">
        <v>0</v>
      </c>
    </row>
    <row r="15" spans="1:51">
      <c r="A15" s="11" t="s">
        <v>195</v>
      </c>
      <c r="B15" s="49">
        <v>0</v>
      </c>
      <c r="C15" s="49">
        <v>0</v>
      </c>
      <c r="D15" s="13">
        <v>0</v>
      </c>
      <c r="E15" s="13">
        <v>1</v>
      </c>
      <c r="F15" s="13">
        <v>0</v>
      </c>
      <c r="G15" s="13">
        <v>1</v>
      </c>
      <c r="H15" s="13">
        <v>0</v>
      </c>
      <c r="I15" s="13">
        <v>0</v>
      </c>
      <c r="J15" s="13">
        <v>0</v>
      </c>
      <c r="K15" s="13">
        <v>1</v>
      </c>
      <c r="L15" s="13">
        <v>1</v>
      </c>
      <c r="M15" s="49">
        <v>1</v>
      </c>
    </row>
    <row r="16" spans="1:51">
      <c r="A16" s="11" t="s">
        <v>196</v>
      </c>
      <c r="B16" s="49">
        <v>0</v>
      </c>
      <c r="C16" s="49">
        <v>0</v>
      </c>
      <c r="D16" s="13">
        <v>0</v>
      </c>
      <c r="E16" s="13">
        <v>0</v>
      </c>
      <c r="F16" s="13">
        <v>0</v>
      </c>
      <c r="G16" s="13">
        <v>1</v>
      </c>
      <c r="H16" s="13">
        <v>0</v>
      </c>
      <c r="I16" s="13">
        <v>0</v>
      </c>
      <c r="J16" s="13">
        <v>0</v>
      </c>
      <c r="K16" s="13">
        <v>1</v>
      </c>
      <c r="L16" s="13">
        <v>1</v>
      </c>
      <c r="M16" s="49">
        <v>1</v>
      </c>
    </row>
    <row r="17" spans="1:13">
      <c r="A17" s="11" t="s">
        <v>197</v>
      </c>
      <c r="B17" s="49">
        <v>0</v>
      </c>
      <c r="C17" s="49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1</v>
      </c>
      <c r="L17" s="13">
        <v>1</v>
      </c>
      <c r="M17" s="49">
        <v>1</v>
      </c>
    </row>
    <row r="19" spans="1:13">
      <c r="A19" s="20" t="s">
        <v>198</v>
      </c>
    </row>
    <row r="20" spans="1:13">
      <c r="B20" s="23" t="s">
        <v>186</v>
      </c>
      <c r="C20" s="23" t="s">
        <v>187</v>
      </c>
      <c r="D20" s="23" t="s">
        <v>188</v>
      </c>
      <c r="E20" s="23" t="s">
        <v>189</v>
      </c>
      <c r="F20" s="23" t="s">
        <v>190</v>
      </c>
      <c r="G20" s="23" t="s">
        <v>191</v>
      </c>
      <c r="H20" s="23" t="s">
        <v>192</v>
      </c>
      <c r="I20" s="23" t="s">
        <v>193</v>
      </c>
      <c r="J20" s="23" t="s">
        <v>194</v>
      </c>
      <c r="K20" s="23" t="s">
        <v>195</v>
      </c>
      <c r="L20" s="23" t="s">
        <v>196</v>
      </c>
      <c r="M20" s="23" t="s">
        <v>197</v>
      </c>
    </row>
    <row r="21" spans="1:13">
      <c r="A21" s="11" t="s">
        <v>199</v>
      </c>
      <c r="B21" s="46">
        <v>1</v>
      </c>
      <c r="C21" s="46">
        <v>1</v>
      </c>
      <c r="D21" s="46">
        <v>0</v>
      </c>
      <c r="E21" s="46">
        <v>0</v>
      </c>
      <c r="F21" s="46">
        <v>0</v>
      </c>
      <c r="G21" s="46">
        <v>0</v>
      </c>
      <c r="H21" s="46">
        <v>0</v>
      </c>
      <c r="I21" s="46">
        <v>0</v>
      </c>
      <c r="J21" s="46">
        <v>0</v>
      </c>
      <c r="K21" s="46">
        <v>1</v>
      </c>
      <c r="L21" s="46">
        <v>0</v>
      </c>
      <c r="M21" s="46">
        <v>0</v>
      </c>
    </row>
    <row r="23" spans="1:13">
      <c r="A23" s="20" t="s">
        <v>200</v>
      </c>
    </row>
    <row r="24" spans="1:13">
      <c r="A24" s="11" t="s">
        <v>185</v>
      </c>
      <c r="B24" s="23" t="s">
        <v>201</v>
      </c>
      <c r="C24" s="23"/>
      <c r="D24" s="23" t="s">
        <v>109</v>
      </c>
    </row>
    <row r="25" spans="1:13">
      <c r="A25" s="11" t="s">
        <v>186</v>
      </c>
      <c r="B25" s="11">
        <f>SUMPRODUCT(B6:M6,$B$21:$M$21)</f>
        <v>1</v>
      </c>
      <c r="C25" s="36" t="s">
        <v>220</v>
      </c>
      <c r="D25" s="11">
        <v>1</v>
      </c>
    </row>
    <row r="26" spans="1:13">
      <c r="A26" s="11" t="s">
        <v>187</v>
      </c>
      <c r="B26" s="11">
        <f t="shared" ref="B26:B36" si="0">SUMPRODUCT(B7:M7,$B$21:$M$21)</f>
        <v>1</v>
      </c>
      <c r="C26" s="36"/>
      <c r="D26" s="11">
        <v>1</v>
      </c>
    </row>
    <row r="27" spans="1:13">
      <c r="A27" s="11" t="s">
        <v>188</v>
      </c>
      <c r="B27" s="11">
        <f t="shared" si="0"/>
        <v>1</v>
      </c>
      <c r="C27" s="36"/>
      <c r="D27" s="11">
        <v>1</v>
      </c>
    </row>
    <row r="28" spans="1:13">
      <c r="A28" s="11" t="s">
        <v>189</v>
      </c>
      <c r="B28" s="11">
        <f t="shared" si="0"/>
        <v>1</v>
      </c>
      <c r="C28" s="36"/>
      <c r="D28" s="11">
        <v>1</v>
      </c>
    </row>
    <row r="29" spans="1:13">
      <c r="A29" s="11" t="s">
        <v>190</v>
      </c>
      <c r="B29" s="11">
        <f t="shared" si="0"/>
        <v>1</v>
      </c>
      <c r="C29" s="36"/>
      <c r="D29" s="11">
        <v>1</v>
      </c>
    </row>
    <row r="30" spans="1:13">
      <c r="A30" s="11" t="s">
        <v>191</v>
      </c>
      <c r="B30" s="11">
        <f t="shared" si="0"/>
        <v>1</v>
      </c>
      <c r="C30" s="36"/>
      <c r="D30" s="11">
        <v>1</v>
      </c>
    </row>
    <row r="31" spans="1:13">
      <c r="A31" s="11" t="s">
        <v>192</v>
      </c>
      <c r="B31" s="11">
        <f t="shared" si="0"/>
        <v>1</v>
      </c>
      <c r="C31" s="36"/>
      <c r="D31" s="11">
        <v>1</v>
      </c>
    </row>
    <row r="32" spans="1:13">
      <c r="A32" s="11" t="s">
        <v>193</v>
      </c>
      <c r="B32" s="11">
        <f>SUMPRODUCT(B13:M13,$B$21:$M$21)</f>
        <v>2</v>
      </c>
      <c r="C32" s="36"/>
      <c r="D32" s="11">
        <v>1</v>
      </c>
    </row>
    <row r="33" spans="1:4">
      <c r="A33" s="11" t="s">
        <v>194</v>
      </c>
      <c r="B33" s="11">
        <f t="shared" si="0"/>
        <v>2</v>
      </c>
      <c r="C33" s="36"/>
      <c r="D33" s="11">
        <v>1</v>
      </c>
    </row>
    <row r="34" spans="1:4">
      <c r="A34" s="11" t="s">
        <v>195</v>
      </c>
      <c r="B34" s="11">
        <f t="shared" si="0"/>
        <v>1</v>
      </c>
      <c r="C34" s="36"/>
      <c r="D34" s="11">
        <v>1</v>
      </c>
    </row>
    <row r="35" spans="1:4">
      <c r="A35" s="11" t="s">
        <v>196</v>
      </c>
      <c r="B35" s="11">
        <f t="shared" si="0"/>
        <v>1</v>
      </c>
      <c r="C35" s="36"/>
      <c r="D35" s="11">
        <v>1</v>
      </c>
    </row>
    <row r="36" spans="1:4">
      <c r="A36" s="11" t="s">
        <v>197</v>
      </c>
      <c r="B36" s="11">
        <f t="shared" si="0"/>
        <v>1</v>
      </c>
      <c r="C36" s="36"/>
      <c r="D36" s="11">
        <v>1</v>
      </c>
    </row>
    <row r="38" spans="1:4" ht="15.75" thickBot="1">
      <c r="A38" s="20" t="s">
        <v>91</v>
      </c>
    </row>
    <row r="39" spans="1:4" ht="15.75" thickBot="1">
      <c r="A39" s="17" t="s">
        <v>202</v>
      </c>
      <c r="B39" s="50">
        <f>SUM(B21:M21)</f>
        <v>3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27"/>
  <sheetViews>
    <sheetView topLeftCell="B1" zoomScale="70" zoomScaleNormal="70" workbookViewId="0">
      <selection activeCell="S31" sqref="S31"/>
    </sheetView>
  </sheetViews>
  <sheetFormatPr defaultRowHeight="15"/>
  <cols>
    <col min="1" max="1" width="23.85546875" style="22" customWidth="1"/>
    <col min="2" max="10" width="9.140625" style="11"/>
    <col min="11" max="11" width="19.140625" style="11" bestFit="1" customWidth="1"/>
    <col min="12" max="12" width="9.140625" style="11"/>
    <col min="13" max="13" width="14.140625" style="11" bestFit="1" customWidth="1"/>
    <col min="14" max="21" width="9.140625" style="11"/>
    <col min="22" max="22" width="3.140625" style="11" bestFit="1" customWidth="1"/>
    <col min="23" max="251" width="9.140625" style="11"/>
    <col min="252" max="252" width="20.85546875" style="11" customWidth="1"/>
    <col min="253" max="260" width="9.140625" style="11"/>
    <col min="261" max="261" width="20.85546875" style="11" bestFit="1" customWidth="1"/>
    <col min="262" max="507" width="9.140625" style="11"/>
    <col min="508" max="508" width="20.85546875" style="11" customWidth="1"/>
    <col min="509" max="516" width="9.140625" style="11"/>
    <col min="517" max="517" width="20.85546875" style="11" bestFit="1" customWidth="1"/>
    <col min="518" max="763" width="9.140625" style="11"/>
    <col min="764" max="764" width="20.85546875" style="11" customWidth="1"/>
    <col min="765" max="772" width="9.140625" style="11"/>
    <col min="773" max="773" width="20.85546875" style="11" bestFit="1" customWidth="1"/>
    <col min="774" max="1019" width="9.140625" style="11"/>
    <col min="1020" max="1020" width="20.85546875" style="11" customWidth="1"/>
    <col min="1021" max="1028" width="9.140625" style="11"/>
    <col min="1029" max="1029" width="20.85546875" style="11" bestFit="1" customWidth="1"/>
    <col min="1030" max="1275" width="9.140625" style="11"/>
    <col min="1276" max="1276" width="20.85546875" style="11" customWidth="1"/>
    <col min="1277" max="1284" width="9.140625" style="11"/>
    <col min="1285" max="1285" width="20.85546875" style="11" bestFit="1" customWidth="1"/>
    <col min="1286" max="1531" width="9.140625" style="11"/>
    <col min="1532" max="1532" width="20.85546875" style="11" customWidth="1"/>
    <col min="1533" max="1540" width="9.140625" style="11"/>
    <col min="1541" max="1541" width="20.85546875" style="11" bestFit="1" customWidth="1"/>
    <col min="1542" max="1787" width="9.140625" style="11"/>
    <col min="1788" max="1788" width="20.85546875" style="11" customWidth="1"/>
    <col min="1789" max="1796" width="9.140625" style="11"/>
    <col min="1797" max="1797" width="20.85546875" style="11" bestFit="1" customWidth="1"/>
    <col min="1798" max="2043" width="9.140625" style="11"/>
    <col min="2044" max="2044" width="20.85546875" style="11" customWidth="1"/>
    <col min="2045" max="2052" width="9.140625" style="11"/>
    <col min="2053" max="2053" width="20.85546875" style="11" bestFit="1" customWidth="1"/>
    <col min="2054" max="2299" width="9.140625" style="11"/>
    <col min="2300" max="2300" width="20.85546875" style="11" customWidth="1"/>
    <col min="2301" max="2308" width="9.140625" style="11"/>
    <col min="2309" max="2309" width="20.85546875" style="11" bestFit="1" customWidth="1"/>
    <col min="2310" max="2555" width="9.140625" style="11"/>
    <col min="2556" max="2556" width="20.85546875" style="11" customWidth="1"/>
    <col min="2557" max="2564" width="9.140625" style="11"/>
    <col min="2565" max="2565" width="20.85546875" style="11" bestFit="1" customWidth="1"/>
    <col min="2566" max="2811" width="9.140625" style="11"/>
    <col min="2812" max="2812" width="20.85546875" style="11" customWidth="1"/>
    <col min="2813" max="2820" width="9.140625" style="11"/>
    <col min="2821" max="2821" width="20.85546875" style="11" bestFit="1" customWidth="1"/>
    <col min="2822" max="3067" width="9.140625" style="11"/>
    <col min="3068" max="3068" width="20.85546875" style="11" customWidth="1"/>
    <col min="3069" max="3076" width="9.140625" style="11"/>
    <col min="3077" max="3077" width="20.85546875" style="11" bestFit="1" customWidth="1"/>
    <col min="3078" max="3323" width="9.140625" style="11"/>
    <col min="3324" max="3324" width="20.85546875" style="11" customWidth="1"/>
    <col min="3325" max="3332" width="9.140625" style="11"/>
    <col min="3333" max="3333" width="20.85546875" style="11" bestFit="1" customWidth="1"/>
    <col min="3334" max="3579" width="9.140625" style="11"/>
    <col min="3580" max="3580" width="20.85546875" style="11" customWidth="1"/>
    <col min="3581" max="3588" width="9.140625" style="11"/>
    <col min="3589" max="3589" width="20.85546875" style="11" bestFit="1" customWidth="1"/>
    <col min="3590" max="3835" width="9.140625" style="11"/>
    <col min="3836" max="3836" width="20.85546875" style="11" customWidth="1"/>
    <col min="3837" max="3844" width="9.140625" style="11"/>
    <col min="3845" max="3845" width="20.85546875" style="11" bestFit="1" customWidth="1"/>
    <col min="3846" max="4091" width="9.140625" style="11"/>
    <col min="4092" max="4092" width="20.85546875" style="11" customWidth="1"/>
    <col min="4093" max="4100" width="9.140625" style="11"/>
    <col min="4101" max="4101" width="20.85546875" style="11" bestFit="1" customWidth="1"/>
    <col min="4102" max="4347" width="9.140625" style="11"/>
    <col min="4348" max="4348" width="20.85546875" style="11" customWidth="1"/>
    <col min="4349" max="4356" width="9.140625" style="11"/>
    <col min="4357" max="4357" width="20.85546875" style="11" bestFit="1" customWidth="1"/>
    <col min="4358" max="4603" width="9.140625" style="11"/>
    <col min="4604" max="4604" width="20.85546875" style="11" customWidth="1"/>
    <col min="4605" max="4612" width="9.140625" style="11"/>
    <col min="4613" max="4613" width="20.85546875" style="11" bestFit="1" customWidth="1"/>
    <col min="4614" max="4859" width="9.140625" style="11"/>
    <col min="4860" max="4860" width="20.85546875" style="11" customWidth="1"/>
    <col min="4861" max="4868" width="9.140625" style="11"/>
    <col min="4869" max="4869" width="20.85546875" style="11" bestFit="1" customWidth="1"/>
    <col min="4870" max="5115" width="9.140625" style="11"/>
    <col min="5116" max="5116" width="20.85546875" style="11" customWidth="1"/>
    <col min="5117" max="5124" width="9.140625" style="11"/>
    <col min="5125" max="5125" width="20.85546875" style="11" bestFit="1" customWidth="1"/>
    <col min="5126" max="5371" width="9.140625" style="11"/>
    <col min="5372" max="5372" width="20.85546875" style="11" customWidth="1"/>
    <col min="5373" max="5380" width="9.140625" style="11"/>
    <col min="5381" max="5381" width="20.85546875" style="11" bestFit="1" customWidth="1"/>
    <col min="5382" max="5627" width="9.140625" style="11"/>
    <col min="5628" max="5628" width="20.85546875" style="11" customWidth="1"/>
    <col min="5629" max="5636" width="9.140625" style="11"/>
    <col min="5637" max="5637" width="20.85546875" style="11" bestFit="1" customWidth="1"/>
    <col min="5638" max="5883" width="9.140625" style="11"/>
    <col min="5884" max="5884" width="20.85546875" style="11" customWidth="1"/>
    <col min="5885" max="5892" width="9.140625" style="11"/>
    <col min="5893" max="5893" width="20.85546875" style="11" bestFit="1" customWidth="1"/>
    <col min="5894" max="6139" width="9.140625" style="11"/>
    <col min="6140" max="6140" width="20.85546875" style="11" customWidth="1"/>
    <col min="6141" max="6148" width="9.140625" style="11"/>
    <col min="6149" max="6149" width="20.85546875" style="11" bestFit="1" customWidth="1"/>
    <col min="6150" max="6395" width="9.140625" style="11"/>
    <col min="6396" max="6396" width="20.85546875" style="11" customWidth="1"/>
    <col min="6397" max="6404" width="9.140625" style="11"/>
    <col min="6405" max="6405" width="20.85546875" style="11" bestFit="1" customWidth="1"/>
    <col min="6406" max="6651" width="9.140625" style="11"/>
    <col min="6652" max="6652" width="20.85546875" style="11" customWidth="1"/>
    <col min="6653" max="6660" width="9.140625" style="11"/>
    <col min="6661" max="6661" width="20.85546875" style="11" bestFit="1" customWidth="1"/>
    <col min="6662" max="6907" width="9.140625" style="11"/>
    <col min="6908" max="6908" width="20.85546875" style="11" customWidth="1"/>
    <col min="6909" max="6916" width="9.140625" style="11"/>
    <col min="6917" max="6917" width="20.85546875" style="11" bestFit="1" customWidth="1"/>
    <col min="6918" max="7163" width="9.140625" style="11"/>
    <col min="7164" max="7164" width="20.85546875" style="11" customWidth="1"/>
    <col min="7165" max="7172" width="9.140625" style="11"/>
    <col min="7173" max="7173" width="20.85546875" style="11" bestFit="1" customWidth="1"/>
    <col min="7174" max="7419" width="9.140625" style="11"/>
    <col min="7420" max="7420" width="20.85546875" style="11" customWidth="1"/>
    <col min="7421" max="7428" width="9.140625" style="11"/>
    <col min="7429" max="7429" width="20.85546875" style="11" bestFit="1" customWidth="1"/>
    <col min="7430" max="7675" width="9.140625" style="11"/>
    <col min="7676" max="7676" width="20.85546875" style="11" customWidth="1"/>
    <col min="7677" max="7684" width="9.140625" style="11"/>
    <col min="7685" max="7685" width="20.85546875" style="11" bestFit="1" customWidth="1"/>
    <col min="7686" max="7931" width="9.140625" style="11"/>
    <col min="7932" max="7932" width="20.85546875" style="11" customWidth="1"/>
    <col min="7933" max="7940" width="9.140625" style="11"/>
    <col min="7941" max="7941" width="20.85546875" style="11" bestFit="1" customWidth="1"/>
    <col min="7942" max="8187" width="9.140625" style="11"/>
    <col min="8188" max="8188" width="20.85546875" style="11" customWidth="1"/>
    <col min="8189" max="8196" width="9.140625" style="11"/>
    <col min="8197" max="8197" width="20.85546875" style="11" bestFit="1" customWidth="1"/>
    <col min="8198" max="8443" width="9.140625" style="11"/>
    <col min="8444" max="8444" width="20.85546875" style="11" customWidth="1"/>
    <col min="8445" max="8452" width="9.140625" style="11"/>
    <col min="8453" max="8453" width="20.85546875" style="11" bestFit="1" customWidth="1"/>
    <col min="8454" max="8699" width="9.140625" style="11"/>
    <col min="8700" max="8700" width="20.85546875" style="11" customWidth="1"/>
    <col min="8701" max="8708" width="9.140625" style="11"/>
    <col min="8709" max="8709" width="20.85546875" style="11" bestFit="1" customWidth="1"/>
    <col min="8710" max="8955" width="9.140625" style="11"/>
    <col min="8956" max="8956" width="20.85546875" style="11" customWidth="1"/>
    <col min="8957" max="8964" width="9.140625" style="11"/>
    <col min="8965" max="8965" width="20.85546875" style="11" bestFit="1" customWidth="1"/>
    <col min="8966" max="9211" width="9.140625" style="11"/>
    <col min="9212" max="9212" width="20.85546875" style="11" customWidth="1"/>
    <col min="9213" max="9220" width="9.140625" style="11"/>
    <col min="9221" max="9221" width="20.85546875" style="11" bestFit="1" customWidth="1"/>
    <col min="9222" max="9467" width="9.140625" style="11"/>
    <col min="9468" max="9468" width="20.85546875" style="11" customWidth="1"/>
    <col min="9469" max="9476" width="9.140625" style="11"/>
    <col min="9477" max="9477" width="20.85546875" style="11" bestFit="1" customWidth="1"/>
    <col min="9478" max="9723" width="9.140625" style="11"/>
    <col min="9724" max="9724" width="20.85546875" style="11" customWidth="1"/>
    <col min="9725" max="9732" width="9.140625" style="11"/>
    <col min="9733" max="9733" width="20.85546875" style="11" bestFit="1" customWidth="1"/>
    <col min="9734" max="9979" width="9.140625" style="11"/>
    <col min="9980" max="9980" width="20.85546875" style="11" customWidth="1"/>
    <col min="9981" max="9988" width="9.140625" style="11"/>
    <col min="9989" max="9989" width="20.85546875" style="11" bestFit="1" customWidth="1"/>
    <col min="9990" max="10235" width="9.140625" style="11"/>
    <col min="10236" max="10236" width="20.85546875" style="11" customWidth="1"/>
    <col min="10237" max="10244" width="9.140625" style="11"/>
    <col min="10245" max="10245" width="20.85546875" style="11" bestFit="1" customWidth="1"/>
    <col min="10246" max="10491" width="9.140625" style="11"/>
    <col min="10492" max="10492" width="20.85546875" style="11" customWidth="1"/>
    <col min="10493" max="10500" width="9.140625" style="11"/>
    <col min="10501" max="10501" width="20.85546875" style="11" bestFit="1" customWidth="1"/>
    <col min="10502" max="10747" width="9.140625" style="11"/>
    <col min="10748" max="10748" width="20.85546875" style="11" customWidth="1"/>
    <col min="10749" max="10756" width="9.140625" style="11"/>
    <col min="10757" max="10757" width="20.85546875" style="11" bestFit="1" customWidth="1"/>
    <col min="10758" max="11003" width="9.140625" style="11"/>
    <col min="11004" max="11004" width="20.85546875" style="11" customWidth="1"/>
    <col min="11005" max="11012" width="9.140625" style="11"/>
    <col min="11013" max="11013" width="20.85546875" style="11" bestFit="1" customWidth="1"/>
    <col min="11014" max="11259" width="9.140625" style="11"/>
    <col min="11260" max="11260" width="20.85546875" style="11" customWidth="1"/>
    <col min="11261" max="11268" width="9.140625" style="11"/>
    <col min="11269" max="11269" width="20.85546875" style="11" bestFit="1" customWidth="1"/>
    <col min="11270" max="11515" width="9.140625" style="11"/>
    <col min="11516" max="11516" width="20.85546875" style="11" customWidth="1"/>
    <col min="11517" max="11524" width="9.140625" style="11"/>
    <col min="11525" max="11525" width="20.85546875" style="11" bestFit="1" customWidth="1"/>
    <col min="11526" max="11771" width="9.140625" style="11"/>
    <col min="11772" max="11772" width="20.85546875" style="11" customWidth="1"/>
    <col min="11773" max="11780" width="9.140625" style="11"/>
    <col min="11781" max="11781" width="20.85546875" style="11" bestFit="1" customWidth="1"/>
    <col min="11782" max="12027" width="9.140625" style="11"/>
    <col min="12028" max="12028" width="20.85546875" style="11" customWidth="1"/>
    <col min="12029" max="12036" width="9.140625" style="11"/>
    <col min="12037" max="12037" width="20.85546875" style="11" bestFit="1" customWidth="1"/>
    <col min="12038" max="12283" width="9.140625" style="11"/>
    <col min="12284" max="12284" width="20.85546875" style="11" customWidth="1"/>
    <col min="12285" max="12292" width="9.140625" style="11"/>
    <col min="12293" max="12293" width="20.85546875" style="11" bestFit="1" customWidth="1"/>
    <col min="12294" max="12539" width="9.140625" style="11"/>
    <col min="12540" max="12540" width="20.85546875" style="11" customWidth="1"/>
    <col min="12541" max="12548" width="9.140625" style="11"/>
    <col min="12549" max="12549" width="20.85546875" style="11" bestFit="1" customWidth="1"/>
    <col min="12550" max="12795" width="9.140625" style="11"/>
    <col min="12796" max="12796" width="20.85546875" style="11" customWidth="1"/>
    <col min="12797" max="12804" width="9.140625" style="11"/>
    <col min="12805" max="12805" width="20.85546875" style="11" bestFit="1" customWidth="1"/>
    <col min="12806" max="13051" width="9.140625" style="11"/>
    <col min="13052" max="13052" width="20.85546875" style="11" customWidth="1"/>
    <col min="13053" max="13060" width="9.140625" style="11"/>
    <col min="13061" max="13061" width="20.85546875" style="11" bestFit="1" customWidth="1"/>
    <col min="13062" max="13307" width="9.140625" style="11"/>
    <col min="13308" max="13308" width="20.85546875" style="11" customWidth="1"/>
    <col min="13309" max="13316" width="9.140625" style="11"/>
    <col min="13317" max="13317" width="20.85546875" style="11" bestFit="1" customWidth="1"/>
    <col min="13318" max="13563" width="9.140625" style="11"/>
    <col min="13564" max="13564" width="20.85546875" style="11" customWidth="1"/>
    <col min="13565" max="13572" width="9.140625" style="11"/>
    <col min="13573" max="13573" width="20.85546875" style="11" bestFit="1" customWidth="1"/>
    <col min="13574" max="13819" width="9.140625" style="11"/>
    <col min="13820" max="13820" width="20.85546875" style="11" customWidth="1"/>
    <col min="13821" max="13828" width="9.140625" style="11"/>
    <col min="13829" max="13829" width="20.85546875" style="11" bestFit="1" customWidth="1"/>
    <col min="13830" max="14075" width="9.140625" style="11"/>
    <col min="14076" max="14076" width="20.85546875" style="11" customWidth="1"/>
    <col min="14077" max="14084" width="9.140625" style="11"/>
    <col min="14085" max="14085" width="20.85546875" style="11" bestFit="1" customWidth="1"/>
    <col min="14086" max="14331" width="9.140625" style="11"/>
    <col min="14332" max="14332" width="20.85546875" style="11" customWidth="1"/>
    <col min="14333" max="14340" width="9.140625" style="11"/>
    <col min="14341" max="14341" width="20.85546875" style="11" bestFit="1" customWidth="1"/>
    <col min="14342" max="14587" width="9.140625" style="11"/>
    <col min="14588" max="14588" width="20.85546875" style="11" customWidth="1"/>
    <col min="14589" max="14596" width="9.140625" style="11"/>
    <col min="14597" max="14597" width="20.85546875" style="11" bestFit="1" customWidth="1"/>
    <col min="14598" max="14843" width="9.140625" style="11"/>
    <col min="14844" max="14844" width="20.85546875" style="11" customWidth="1"/>
    <col min="14845" max="14852" width="9.140625" style="11"/>
    <col min="14853" max="14853" width="20.85546875" style="11" bestFit="1" customWidth="1"/>
    <col min="14854" max="15099" width="9.140625" style="11"/>
    <col min="15100" max="15100" width="20.85546875" style="11" customWidth="1"/>
    <col min="15101" max="15108" width="9.140625" style="11"/>
    <col min="15109" max="15109" width="20.85546875" style="11" bestFit="1" customWidth="1"/>
    <col min="15110" max="15355" width="9.140625" style="11"/>
    <col min="15356" max="15356" width="20.85546875" style="11" customWidth="1"/>
    <col min="15357" max="15364" width="9.140625" style="11"/>
    <col min="15365" max="15365" width="20.85546875" style="11" bestFit="1" customWidth="1"/>
    <col min="15366" max="15611" width="9.140625" style="11"/>
    <col min="15612" max="15612" width="20.85546875" style="11" customWidth="1"/>
    <col min="15613" max="15620" width="9.140625" style="11"/>
    <col min="15621" max="15621" width="20.85546875" style="11" bestFit="1" customWidth="1"/>
    <col min="15622" max="15867" width="9.140625" style="11"/>
    <col min="15868" max="15868" width="20.85546875" style="11" customWidth="1"/>
    <col min="15869" max="15876" width="9.140625" style="11"/>
    <col min="15877" max="15877" width="20.85546875" style="11" bestFit="1" customWidth="1"/>
    <col min="15878" max="16123" width="9.140625" style="11"/>
    <col min="16124" max="16124" width="20.85546875" style="11" customWidth="1"/>
    <col min="16125" max="16132" width="9.140625" style="11"/>
    <col min="16133" max="16133" width="20.85546875" style="11" bestFit="1" customWidth="1"/>
    <col min="16134" max="16384" width="9.140625" style="11"/>
  </cols>
  <sheetData>
    <row r="1" spans="1:23" ht="20.25" thickBot="1">
      <c r="A1" s="25" t="s">
        <v>203</v>
      </c>
      <c r="K1" s="89" t="s">
        <v>449</v>
      </c>
    </row>
    <row r="2" spans="1:23" ht="15.75" thickTop="1">
      <c r="N2" s="11" t="s">
        <v>296</v>
      </c>
      <c r="O2" s="11" t="s">
        <v>297</v>
      </c>
      <c r="P2" s="11" t="s">
        <v>458</v>
      </c>
      <c r="Q2" s="11" t="s">
        <v>459</v>
      </c>
      <c r="R2" s="11" t="s">
        <v>460</v>
      </c>
      <c r="S2" s="11" t="s">
        <v>461</v>
      </c>
      <c r="T2" s="11" t="s">
        <v>462</v>
      </c>
    </row>
    <row r="3" spans="1:23">
      <c r="A3" s="25" t="s">
        <v>204</v>
      </c>
      <c r="M3" s="11" t="s">
        <v>457</v>
      </c>
      <c r="N3" s="47">
        <v>6</v>
      </c>
      <c r="O3" s="47">
        <v>3</v>
      </c>
      <c r="P3" s="47">
        <v>3</v>
      </c>
      <c r="Q3" s="47">
        <v>7</v>
      </c>
      <c r="R3" s="47">
        <v>0</v>
      </c>
      <c r="S3" s="47">
        <v>3</v>
      </c>
      <c r="T3" s="47">
        <v>1</v>
      </c>
    </row>
    <row r="4" spans="1:23">
      <c r="A4" s="22" t="s">
        <v>205</v>
      </c>
      <c r="B4" s="46">
        <v>6</v>
      </c>
      <c r="H4" s="53"/>
      <c r="M4" s="11" t="s">
        <v>463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1">
        <v>1</v>
      </c>
      <c r="U4" s="126">
        <f>SUMPRODUCT(N4:T4,$N$3:$T$3)</f>
        <v>23</v>
      </c>
      <c r="V4" s="11" t="s">
        <v>595</v>
      </c>
    </row>
    <row r="5" spans="1:23">
      <c r="A5" s="22" t="s">
        <v>206</v>
      </c>
      <c r="B5" s="46">
        <v>3</v>
      </c>
      <c r="M5" s="11" t="s">
        <v>464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1</v>
      </c>
      <c r="U5" s="11">
        <f t="shared" ref="U5:U11" si="0">SUMPRODUCT(N5:T5,$N$3:$T$3)</f>
        <v>17</v>
      </c>
      <c r="V5" s="96" t="s">
        <v>220</v>
      </c>
      <c r="W5" s="127">
        <v>17</v>
      </c>
    </row>
    <row r="6" spans="1:23">
      <c r="A6" s="22" t="s">
        <v>207</v>
      </c>
      <c r="B6" s="46">
        <v>3</v>
      </c>
      <c r="M6" s="11" t="s">
        <v>465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 s="11">
        <f t="shared" si="0"/>
        <v>13</v>
      </c>
      <c r="V6" s="96" t="s">
        <v>220</v>
      </c>
      <c r="W6" s="127">
        <v>13</v>
      </c>
    </row>
    <row r="7" spans="1:23">
      <c r="A7" s="22" t="s">
        <v>208</v>
      </c>
      <c r="B7" s="46">
        <v>7</v>
      </c>
      <c r="M7" s="11" t="s">
        <v>466</v>
      </c>
      <c r="N7">
        <v>1</v>
      </c>
      <c r="O7">
        <v>1</v>
      </c>
      <c r="P7">
        <v>1</v>
      </c>
      <c r="Q7">
        <v>0</v>
      </c>
      <c r="R7">
        <v>0</v>
      </c>
      <c r="S7">
        <v>1</v>
      </c>
      <c r="T7">
        <v>1</v>
      </c>
      <c r="U7" s="11">
        <f t="shared" si="0"/>
        <v>16</v>
      </c>
      <c r="V7" s="96" t="s">
        <v>220</v>
      </c>
      <c r="W7" s="127">
        <v>15</v>
      </c>
    </row>
    <row r="8" spans="1:23">
      <c r="A8" s="22" t="s">
        <v>209</v>
      </c>
      <c r="B8" s="46">
        <v>0</v>
      </c>
      <c r="M8" s="11" t="s">
        <v>467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1</v>
      </c>
      <c r="U8" s="11">
        <f t="shared" si="0"/>
        <v>20</v>
      </c>
      <c r="V8" s="96" t="s">
        <v>220</v>
      </c>
      <c r="W8" s="127">
        <v>19</v>
      </c>
    </row>
    <row r="9" spans="1:23">
      <c r="A9" s="22" t="s">
        <v>210</v>
      </c>
      <c r="B9" s="46">
        <v>3</v>
      </c>
      <c r="M9" s="11" t="s">
        <v>468</v>
      </c>
      <c r="N9">
        <v>1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  <c r="U9" s="11">
        <f t="shared" si="0"/>
        <v>19</v>
      </c>
      <c r="V9" s="96" t="s">
        <v>220</v>
      </c>
      <c r="W9" s="127">
        <v>14</v>
      </c>
    </row>
    <row r="10" spans="1:23">
      <c r="A10" s="22" t="s">
        <v>211</v>
      </c>
      <c r="B10" s="46">
        <v>1</v>
      </c>
      <c r="M10" s="11" t="s">
        <v>469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 s="11">
        <f t="shared" si="0"/>
        <v>16</v>
      </c>
      <c r="V10" s="96" t="s">
        <v>220</v>
      </c>
      <c r="W10" s="127">
        <v>16</v>
      </c>
    </row>
    <row r="11" spans="1:23">
      <c r="M11" s="11" t="s">
        <v>470</v>
      </c>
      <c r="N11">
        <v>0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 s="11">
        <f t="shared" si="0"/>
        <v>14</v>
      </c>
      <c r="V11" s="96" t="s">
        <v>220</v>
      </c>
      <c r="W11" s="127">
        <v>11</v>
      </c>
    </row>
    <row r="12" spans="1:23">
      <c r="A12" s="25" t="s">
        <v>221</v>
      </c>
    </row>
    <row r="13" spans="1:23">
      <c r="A13" s="22" t="s">
        <v>233</v>
      </c>
      <c r="B13" s="23" t="s">
        <v>205</v>
      </c>
      <c r="C13" s="23" t="s">
        <v>206</v>
      </c>
      <c r="D13" s="23" t="s">
        <v>207</v>
      </c>
      <c r="E13" s="23" t="s">
        <v>208</v>
      </c>
      <c r="F13" s="23" t="s">
        <v>209</v>
      </c>
      <c r="G13" s="23" t="s">
        <v>210</v>
      </c>
      <c r="H13" s="23" t="s">
        <v>211</v>
      </c>
      <c r="M13" s="20"/>
    </row>
    <row r="14" spans="1:23">
      <c r="A14" s="22" t="s">
        <v>205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</row>
    <row r="15" spans="1:23">
      <c r="A15" s="22" t="s">
        <v>206</v>
      </c>
      <c r="B15">
        <v>0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</row>
    <row r="16" spans="1:23">
      <c r="A16" s="22" t="s">
        <v>207</v>
      </c>
      <c r="B16">
        <v>0</v>
      </c>
      <c r="C16">
        <v>0</v>
      </c>
      <c r="D16">
        <v>1</v>
      </c>
      <c r="E16">
        <v>1</v>
      </c>
      <c r="F16">
        <v>1</v>
      </c>
      <c r="G16">
        <v>1</v>
      </c>
      <c r="H16">
        <v>1</v>
      </c>
    </row>
    <row r="17" spans="1:8">
      <c r="A17" s="22" t="s">
        <v>208</v>
      </c>
      <c r="B17">
        <v>1</v>
      </c>
      <c r="C17">
        <v>0</v>
      </c>
      <c r="D17">
        <v>0</v>
      </c>
      <c r="E17">
        <v>1</v>
      </c>
      <c r="F17">
        <v>1</v>
      </c>
      <c r="G17">
        <v>1</v>
      </c>
      <c r="H17">
        <v>1</v>
      </c>
    </row>
    <row r="18" spans="1:8">
      <c r="A18" s="22" t="s">
        <v>209</v>
      </c>
      <c r="B18">
        <v>1</v>
      </c>
      <c r="C18">
        <v>1</v>
      </c>
      <c r="D18">
        <v>0</v>
      </c>
      <c r="E18">
        <v>0</v>
      </c>
      <c r="F18">
        <v>1</v>
      </c>
      <c r="G18">
        <v>1</v>
      </c>
      <c r="H18">
        <v>1</v>
      </c>
    </row>
    <row r="19" spans="1:8">
      <c r="A19" s="22" t="s">
        <v>210</v>
      </c>
      <c r="B19">
        <v>1</v>
      </c>
      <c r="C19">
        <v>1</v>
      </c>
      <c r="D19">
        <v>1</v>
      </c>
      <c r="E19">
        <v>0</v>
      </c>
      <c r="F19">
        <v>0</v>
      </c>
      <c r="G19">
        <v>1</v>
      </c>
      <c r="H19">
        <v>1</v>
      </c>
    </row>
    <row r="20" spans="1:8">
      <c r="A20" s="22" t="s">
        <v>211</v>
      </c>
      <c r="B20">
        <v>1</v>
      </c>
      <c r="C20">
        <v>1</v>
      </c>
      <c r="D20">
        <v>1</v>
      </c>
      <c r="E20">
        <v>1</v>
      </c>
      <c r="F20">
        <v>0</v>
      </c>
      <c r="G20">
        <v>0</v>
      </c>
      <c r="H20">
        <v>1</v>
      </c>
    </row>
    <row r="21" spans="1:8">
      <c r="B21" s="28"/>
      <c r="C21" s="28"/>
      <c r="D21" s="28"/>
      <c r="E21" s="28"/>
      <c r="F21" s="28"/>
      <c r="G21" s="28"/>
      <c r="H21" s="28"/>
    </row>
    <row r="22" spans="1:8">
      <c r="A22" s="25" t="s">
        <v>212</v>
      </c>
      <c r="B22" s="28"/>
      <c r="C22" s="28"/>
      <c r="D22" s="28"/>
      <c r="E22" s="28"/>
      <c r="F22" s="28"/>
      <c r="G22" s="28"/>
      <c r="H22" s="28"/>
    </row>
    <row r="23" spans="1:8">
      <c r="A23" s="22" t="s">
        <v>213</v>
      </c>
      <c r="B23" s="28">
        <f>SUMPRODUCT($B$4:$B$10,B14:B20)</f>
        <v>17</v>
      </c>
      <c r="C23" s="28">
        <f t="shared" ref="C23:H23" si="1">SUMPRODUCT($B$4:$B$10,C14:C20)</f>
        <v>13</v>
      </c>
      <c r="D23" s="28">
        <f t="shared" si="1"/>
        <v>16</v>
      </c>
      <c r="E23" s="28">
        <f t="shared" si="1"/>
        <v>20</v>
      </c>
      <c r="F23" s="28">
        <f t="shared" si="1"/>
        <v>19</v>
      </c>
      <c r="G23" s="28">
        <f t="shared" si="1"/>
        <v>16</v>
      </c>
      <c r="H23" s="28">
        <f t="shared" si="1"/>
        <v>14</v>
      </c>
    </row>
    <row r="24" spans="1:8">
      <c r="A24" s="22" t="s">
        <v>214</v>
      </c>
      <c r="B24" s="13">
        <v>17</v>
      </c>
      <c r="C24" s="13">
        <v>13</v>
      </c>
      <c r="D24" s="13">
        <v>15</v>
      </c>
      <c r="E24" s="13">
        <v>19</v>
      </c>
      <c r="F24" s="13">
        <v>14</v>
      </c>
      <c r="G24" s="13">
        <v>16</v>
      </c>
      <c r="H24" s="13">
        <v>11</v>
      </c>
    </row>
    <row r="26" spans="1:8">
      <c r="A26" s="25" t="s">
        <v>91</v>
      </c>
    </row>
    <row r="27" spans="1:8">
      <c r="A27" s="22" t="s">
        <v>215</v>
      </c>
      <c r="B27" s="28">
        <f>SUM(B4:B10)</f>
        <v>23</v>
      </c>
    </row>
  </sheetData>
  <phoneticPr fontId="1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4"/>
  <sheetViews>
    <sheetView zoomScale="120" zoomScaleNormal="120" workbookViewId="0">
      <selection activeCell="D2" sqref="D2"/>
    </sheetView>
  </sheetViews>
  <sheetFormatPr defaultRowHeight="15"/>
  <cols>
    <col min="2" max="2" width="11.140625" bestFit="1" customWidth="1"/>
  </cols>
  <sheetData>
    <row r="1" spans="1:9">
      <c r="A1" t="s">
        <v>222</v>
      </c>
      <c r="B1" t="s">
        <v>223</v>
      </c>
      <c r="C1" t="s">
        <v>224</v>
      </c>
      <c r="D1" t="s">
        <v>225</v>
      </c>
      <c r="F1" t="s">
        <v>226</v>
      </c>
      <c r="G1" t="s">
        <v>227</v>
      </c>
      <c r="I1" t="s">
        <v>89</v>
      </c>
    </row>
    <row r="2" spans="1:9">
      <c r="A2">
        <v>1</v>
      </c>
      <c r="B2">
        <v>1</v>
      </c>
      <c r="C2" s="35">
        <v>131</v>
      </c>
      <c r="D2" s="52"/>
      <c r="F2">
        <v>1</v>
      </c>
      <c r="I2" s="13">
        <v>450</v>
      </c>
    </row>
    <row r="3" spans="1:9">
      <c r="A3">
        <v>1</v>
      </c>
      <c r="B3">
        <v>2</v>
      </c>
      <c r="C3" s="35">
        <v>218</v>
      </c>
      <c r="D3" s="52"/>
      <c r="F3">
        <v>2</v>
      </c>
      <c r="I3" s="13">
        <v>600</v>
      </c>
    </row>
    <row r="4" spans="1:9">
      <c r="A4">
        <v>1</v>
      </c>
      <c r="B4">
        <v>3</v>
      </c>
      <c r="C4" s="35">
        <v>266</v>
      </c>
      <c r="D4" s="52"/>
      <c r="F4">
        <v>3</v>
      </c>
      <c r="I4" s="13">
        <v>500</v>
      </c>
    </row>
    <row r="5" spans="1:9">
      <c r="A5">
        <v>1</v>
      </c>
      <c r="B5">
        <v>4</v>
      </c>
      <c r="C5" s="35">
        <v>120</v>
      </c>
      <c r="D5" s="52"/>
      <c r="F5" t="s">
        <v>228</v>
      </c>
      <c r="G5" t="s">
        <v>229</v>
      </c>
      <c r="I5" t="s">
        <v>54</v>
      </c>
    </row>
    <row r="6" spans="1:9">
      <c r="A6">
        <v>2</v>
      </c>
      <c r="B6">
        <v>1</v>
      </c>
      <c r="C6" s="35">
        <v>250</v>
      </c>
      <c r="D6" s="52"/>
      <c r="F6">
        <v>1</v>
      </c>
      <c r="I6" s="13">
        <v>450</v>
      </c>
    </row>
    <row r="7" spans="1:9">
      <c r="A7">
        <v>2</v>
      </c>
      <c r="B7">
        <v>2</v>
      </c>
      <c r="C7" s="35">
        <v>116</v>
      </c>
      <c r="D7" s="52"/>
      <c r="F7">
        <v>2</v>
      </c>
      <c r="I7" s="13">
        <v>200</v>
      </c>
    </row>
    <row r="8" spans="1:9">
      <c r="A8">
        <v>2</v>
      </c>
      <c r="B8">
        <v>3</v>
      </c>
      <c r="C8" s="35">
        <v>263</v>
      </c>
      <c r="D8" s="52"/>
      <c r="F8">
        <v>3</v>
      </c>
      <c r="I8" s="13">
        <v>300</v>
      </c>
    </row>
    <row r="9" spans="1:9">
      <c r="A9">
        <v>2</v>
      </c>
      <c r="B9">
        <v>4</v>
      </c>
      <c r="C9" s="35">
        <v>278</v>
      </c>
      <c r="D9" s="52"/>
      <c r="F9">
        <v>4</v>
      </c>
      <c r="I9" s="13">
        <v>300</v>
      </c>
    </row>
    <row r="10" spans="1:9">
      <c r="A10">
        <v>3</v>
      </c>
      <c r="B10">
        <v>1</v>
      </c>
      <c r="C10" s="35">
        <v>178</v>
      </c>
      <c r="D10" s="52"/>
    </row>
    <row r="11" spans="1:9">
      <c r="A11">
        <v>3</v>
      </c>
      <c r="B11">
        <v>2</v>
      </c>
      <c r="C11" s="35">
        <v>132</v>
      </c>
      <c r="D11" s="52"/>
    </row>
    <row r="12" spans="1:9">
      <c r="A12">
        <v>3</v>
      </c>
      <c r="B12">
        <v>3</v>
      </c>
      <c r="C12" s="35">
        <v>122</v>
      </c>
      <c r="D12" s="52"/>
    </row>
    <row r="13" spans="1:9" ht="15.75" thickBot="1">
      <c r="A13">
        <v>3</v>
      </c>
      <c r="B13">
        <v>4</v>
      </c>
      <c r="C13" s="35">
        <v>180</v>
      </c>
      <c r="D13" s="52"/>
    </row>
    <row r="14" spans="1:9" ht="15.75" thickBot="1">
      <c r="A14" t="s">
        <v>230</v>
      </c>
      <c r="D14" s="51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8"/>
  <sheetViews>
    <sheetView workbookViewId="0">
      <selection activeCell="O16" sqref="O16"/>
    </sheetView>
  </sheetViews>
  <sheetFormatPr defaultRowHeight="15"/>
  <cols>
    <col min="1" max="6" width="8.85546875" style="11"/>
    <col min="7" max="7" width="15.42578125" style="11" customWidth="1"/>
    <col min="8" max="12" width="8.85546875" style="11"/>
    <col min="13" max="13" width="12.5703125" style="11" customWidth="1"/>
    <col min="14" max="262" width="8.85546875" style="11"/>
    <col min="263" max="263" width="15.42578125" style="11" customWidth="1"/>
    <col min="264" max="268" width="8.85546875" style="11"/>
    <col min="269" max="269" width="12.5703125" style="11" customWidth="1"/>
    <col min="270" max="518" width="8.85546875" style="11"/>
    <col min="519" max="519" width="15.42578125" style="11" customWidth="1"/>
    <col min="520" max="524" width="8.85546875" style="11"/>
    <col min="525" max="525" width="12.5703125" style="11" customWidth="1"/>
    <col min="526" max="774" width="8.85546875" style="11"/>
    <col min="775" max="775" width="15.42578125" style="11" customWidth="1"/>
    <col min="776" max="780" width="8.85546875" style="11"/>
    <col min="781" max="781" width="12.5703125" style="11" customWidth="1"/>
    <col min="782" max="1030" width="8.85546875" style="11"/>
    <col min="1031" max="1031" width="15.42578125" style="11" customWidth="1"/>
    <col min="1032" max="1036" width="8.85546875" style="11"/>
    <col min="1037" max="1037" width="12.5703125" style="11" customWidth="1"/>
    <col min="1038" max="1286" width="8.85546875" style="11"/>
    <col min="1287" max="1287" width="15.42578125" style="11" customWidth="1"/>
    <col min="1288" max="1292" width="8.85546875" style="11"/>
    <col min="1293" max="1293" width="12.5703125" style="11" customWidth="1"/>
    <col min="1294" max="1542" width="8.85546875" style="11"/>
    <col min="1543" max="1543" width="15.42578125" style="11" customWidth="1"/>
    <col min="1544" max="1548" width="8.85546875" style="11"/>
    <col min="1549" max="1549" width="12.5703125" style="11" customWidth="1"/>
    <col min="1550" max="1798" width="8.85546875" style="11"/>
    <col min="1799" max="1799" width="15.42578125" style="11" customWidth="1"/>
    <col min="1800" max="1804" width="8.85546875" style="11"/>
    <col min="1805" max="1805" width="12.5703125" style="11" customWidth="1"/>
    <col min="1806" max="2054" width="8.85546875" style="11"/>
    <col min="2055" max="2055" width="15.42578125" style="11" customWidth="1"/>
    <col min="2056" max="2060" width="8.85546875" style="11"/>
    <col min="2061" max="2061" width="12.5703125" style="11" customWidth="1"/>
    <col min="2062" max="2310" width="8.85546875" style="11"/>
    <col min="2311" max="2311" width="15.42578125" style="11" customWidth="1"/>
    <col min="2312" max="2316" width="8.85546875" style="11"/>
    <col min="2317" max="2317" width="12.5703125" style="11" customWidth="1"/>
    <col min="2318" max="2566" width="8.85546875" style="11"/>
    <col min="2567" max="2567" width="15.42578125" style="11" customWidth="1"/>
    <col min="2568" max="2572" width="8.85546875" style="11"/>
    <col min="2573" max="2573" width="12.5703125" style="11" customWidth="1"/>
    <col min="2574" max="2822" width="8.85546875" style="11"/>
    <col min="2823" max="2823" width="15.42578125" style="11" customWidth="1"/>
    <col min="2824" max="2828" width="8.85546875" style="11"/>
    <col min="2829" max="2829" width="12.5703125" style="11" customWidth="1"/>
    <col min="2830" max="3078" width="8.85546875" style="11"/>
    <col min="3079" max="3079" width="15.42578125" style="11" customWidth="1"/>
    <col min="3080" max="3084" width="8.85546875" style="11"/>
    <col min="3085" max="3085" width="12.5703125" style="11" customWidth="1"/>
    <col min="3086" max="3334" width="8.85546875" style="11"/>
    <col min="3335" max="3335" width="15.42578125" style="11" customWidth="1"/>
    <col min="3336" max="3340" width="8.85546875" style="11"/>
    <col min="3341" max="3341" width="12.5703125" style="11" customWidth="1"/>
    <col min="3342" max="3590" width="8.85546875" style="11"/>
    <col min="3591" max="3591" width="15.42578125" style="11" customWidth="1"/>
    <col min="3592" max="3596" width="8.85546875" style="11"/>
    <col min="3597" max="3597" width="12.5703125" style="11" customWidth="1"/>
    <col min="3598" max="3846" width="8.85546875" style="11"/>
    <col min="3847" max="3847" width="15.42578125" style="11" customWidth="1"/>
    <col min="3848" max="3852" width="8.85546875" style="11"/>
    <col min="3853" max="3853" width="12.5703125" style="11" customWidth="1"/>
    <col min="3854" max="4102" width="8.85546875" style="11"/>
    <col min="4103" max="4103" width="15.42578125" style="11" customWidth="1"/>
    <col min="4104" max="4108" width="8.85546875" style="11"/>
    <col min="4109" max="4109" width="12.5703125" style="11" customWidth="1"/>
    <col min="4110" max="4358" width="8.85546875" style="11"/>
    <col min="4359" max="4359" width="15.42578125" style="11" customWidth="1"/>
    <col min="4360" max="4364" width="8.85546875" style="11"/>
    <col min="4365" max="4365" width="12.5703125" style="11" customWidth="1"/>
    <col min="4366" max="4614" width="8.85546875" style="11"/>
    <col min="4615" max="4615" width="15.42578125" style="11" customWidth="1"/>
    <col min="4616" max="4620" width="8.85546875" style="11"/>
    <col min="4621" max="4621" width="12.5703125" style="11" customWidth="1"/>
    <col min="4622" max="4870" width="8.85546875" style="11"/>
    <col min="4871" max="4871" width="15.42578125" style="11" customWidth="1"/>
    <col min="4872" max="4876" width="8.85546875" style="11"/>
    <col min="4877" max="4877" width="12.5703125" style="11" customWidth="1"/>
    <col min="4878" max="5126" width="8.85546875" style="11"/>
    <col min="5127" max="5127" width="15.42578125" style="11" customWidth="1"/>
    <col min="5128" max="5132" width="8.85546875" style="11"/>
    <col min="5133" max="5133" width="12.5703125" style="11" customWidth="1"/>
    <col min="5134" max="5382" width="8.85546875" style="11"/>
    <col min="5383" max="5383" width="15.42578125" style="11" customWidth="1"/>
    <col min="5384" max="5388" width="8.85546875" style="11"/>
    <col min="5389" max="5389" width="12.5703125" style="11" customWidth="1"/>
    <col min="5390" max="5638" width="8.85546875" style="11"/>
    <col min="5639" max="5639" width="15.42578125" style="11" customWidth="1"/>
    <col min="5640" max="5644" width="8.85546875" style="11"/>
    <col min="5645" max="5645" width="12.5703125" style="11" customWidth="1"/>
    <col min="5646" max="5894" width="8.85546875" style="11"/>
    <col min="5895" max="5895" width="15.42578125" style="11" customWidth="1"/>
    <col min="5896" max="5900" width="8.85546875" style="11"/>
    <col min="5901" max="5901" width="12.5703125" style="11" customWidth="1"/>
    <col min="5902" max="6150" width="8.85546875" style="11"/>
    <col min="6151" max="6151" width="15.42578125" style="11" customWidth="1"/>
    <col min="6152" max="6156" width="8.85546875" style="11"/>
    <col min="6157" max="6157" width="12.5703125" style="11" customWidth="1"/>
    <col min="6158" max="6406" width="8.85546875" style="11"/>
    <col min="6407" max="6407" width="15.42578125" style="11" customWidth="1"/>
    <col min="6408" max="6412" width="8.85546875" style="11"/>
    <col min="6413" max="6413" width="12.5703125" style="11" customWidth="1"/>
    <col min="6414" max="6662" width="8.85546875" style="11"/>
    <col min="6663" max="6663" width="15.42578125" style="11" customWidth="1"/>
    <col min="6664" max="6668" width="8.85546875" style="11"/>
    <col min="6669" max="6669" width="12.5703125" style="11" customWidth="1"/>
    <col min="6670" max="6918" width="8.85546875" style="11"/>
    <col min="6919" max="6919" width="15.42578125" style="11" customWidth="1"/>
    <col min="6920" max="6924" width="8.85546875" style="11"/>
    <col min="6925" max="6925" width="12.5703125" style="11" customWidth="1"/>
    <col min="6926" max="7174" width="8.85546875" style="11"/>
    <col min="7175" max="7175" width="15.42578125" style="11" customWidth="1"/>
    <col min="7176" max="7180" width="8.85546875" style="11"/>
    <col min="7181" max="7181" width="12.5703125" style="11" customWidth="1"/>
    <col min="7182" max="7430" width="8.85546875" style="11"/>
    <col min="7431" max="7431" width="15.42578125" style="11" customWidth="1"/>
    <col min="7432" max="7436" width="8.85546875" style="11"/>
    <col min="7437" max="7437" width="12.5703125" style="11" customWidth="1"/>
    <col min="7438" max="7686" width="8.85546875" style="11"/>
    <col min="7687" max="7687" width="15.42578125" style="11" customWidth="1"/>
    <col min="7688" max="7692" width="8.85546875" style="11"/>
    <col min="7693" max="7693" width="12.5703125" style="11" customWidth="1"/>
    <col min="7694" max="7942" width="8.85546875" style="11"/>
    <col min="7943" max="7943" width="15.42578125" style="11" customWidth="1"/>
    <col min="7944" max="7948" width="8.85546875" style="11"/>
    <col min="7949" max="7949" width="12.5703125" style="11" customWidth="1"/>
    <col min="7950" max="8198" width="8.85546875" style="11"/>
    <col min="8199" max="8199" width="15.42578125" style="11" customWidth="1"/>
    <col min="8200" max="8204" width="8.85546875" style="11"/>
    <col min="8205" max="8205" width="12.5703125" style="11" customWidth="1"/>
    <col min="8206" max="8454" width="8.85546875" style="11"/>
    <col min="8455" max="8455" width="15.42578125" style="11" customWidth="1"/>
    <col min="8456" max="8460" width="8.85546875" style="11"/>
    <col min="8461" max="8461" width="12.5703125" style="11" customWidth="1"/>
    <col min="8462" max="8710" width="8.85546875" style="11"/>
    <col min="8711" max="8711" width="15.42578125" style="11" customWidth="1"/>
    <col min="8712" max="8716" width="8.85546875" style="11"/>
    <col min="8717" max="8717" width="12.5703125" style="11" customWidth="1"/>
    <col min="8718" max="8966" width="8.85546875" style="11"/>
    <col min="8967" max="8967" width="15.42578125" style="11" customWidth="1"/>
    <col min="8968" max="8972" width="8.85546875" style="11"/>
    <col min="8973" max="8973" width="12.5703125" style="11" customWidth="1"/>
    <col min="8974" max="9222" width="8.85546875" style="11"/>
    <col min="9223" max="9223" width="15.42578125" style="11" customWidth="1"/>
    <col min="9224" max="9228" width="8.85546875" style="11"/>
    <col min="9229" max="9229" width="12.5703125" style="11" customWidth="1"/>
    <col min="9230" max="9478" width="8.85546875" style="11"/>
    <col min="9479" max="9479" width="15.42578125" style="11" customWidth="1"/>
    <col min="9480" max="9484" width="8.85546875" style="11"/>
    <col min="9485" max="9485" width="12.5703125" style="11" customWidth="1"/>
    <col min="9486" max="9734" width="8.85546875" style="11"/>
    <col min="9735" max="9735" width="15.42578125" style="11" customWidth="1"/>
    <col min="9736" max="9740" width="8.85546875" style="11"/>
    <col min="9741" max="9741" width="12.5703125" style="11" customWidth="1"/>
    <col min="9742" max="9990" width="8.85546875" style="11"/>
    <col min="9991" max="9991" width="15.42578125" style="11" customWidth="1"/>
    <col min="9992" max="9996" width="8.85546875" style="11"/>
    <col min="9997" max="9997" width="12.5703125" style="11" customWidth="1"/>
    <col min="9998" max="10246" width="8.85546875" style="11"/>
    <col min="10247" max="10247" width="15.42578125" style="11" customWidth="1"/>
    <col min="10248" max="10252" width="8.85546875" style="11"/>
    <col min="10253" max="10253" width="12.5703125" style="11" customWidth="1"/>
    <col min="10254" max="10502" width="8.85546875" style="11"/>
    <col min="10503" max="10503" width="15.42578125" style="11" customWidth="1"/>
    <col min="10504" max="10508" width="8.85546875" style="11"/>
    <col min="10509" max="10509" width="12.5703125" style="11" customWidth="1"/>
    <col min="10510" max="10758" width="8.85546875" style="11"/>
    <col min="10759" max="10759" width="15.42578125" style="11" customWidth="1"/>
    <col min="10760" max="10764" width="8.85546875" style="11"/>
    <col min="10765" max="10765" width="12.5703125" style="11" customWidth="1"/>
    <col min="10766" max="11014" width="8.85546875" style="11"/>
    <col min="11015" max="11015" width="15.42578125" style="11" customWidth="1"/>
    <col min="11016" max="11020" width="8.85546875" style="11"/>
    <col min="11021" max="11021" width="12.5703125" style="11" customWidth="1"/>
    <col min="11022" max="11270" width="8.85546875" style="11"/>
    <col min="11271" max="11271" width="15.42578125" style="11" customWidth="1"/>
    <col min="11272" max="11276" width="8.85546875" style="11"/>
    <col min="11277" max="11277" width="12.5703125" style="11" customWidth="1"/>
    <col min="11278" max="11526" width="8.85546875" style="11"/>
    <col min="11527" max="11527" width="15.42578125" style="11" customWidth="1"/>
    <col min="11528" max="11532" width="8.85546875" style="11"/>
    <col min="11533" max="11533" width="12.5703125" style="11" customWidth="1"/>
    <col min="11534" max="11782" width="8.85546875" style="11"/>
    <col min="11783" max="11783" width="15.42578125" style="11" customWidth="1"/>
    <col min="11784" max="11788" width="8.85546875" style="11"/>
    <col min="11789" max="11789" width="12.5703125" style="11" customWidth="1"/>
    <col min="11790" max="12038" width="8.85546875" style="11"/>
    <col min="12039" max="12039" width="15.42578125" style="11" customWidth="1"/>
    <col min="12040" max="12044" width="8.85546875" style="11"/>
    <col min="12045" max="12045" width="12.5703125" style="11" customWidth="1"/>
    <col min="12046" max="12294" width="8.85546875" style="11"/>
    <col min="12295" max="12295" width="15.42578125" style="11" customWidth="1"/>
    <col min="12296" max="12300" width="8.85546875" style="11"/>
    <col min="12301" max="12301" width="12.5703125" style="11" customWidth="1"/>
    <col min="12302" max="12550" width="8.85546875" style="11"/>
    <col min="12551" max="12551" width="15.42578125" style="11" customWidth="1"/>
    <col min="12552" max="12556" width="8.85546875" style="11"/>
    <col min="12557" max="12557" width="12.5703125" style="11" customWidth="1"/>
    <col min="12558" max="12806" width="8.85546875" style="11"/>
    <col min="12807" max="12807" width="15.42578125" style="11" customWidth="1"/>
    <col min="12808" max="12812" width="8.85546875" style="11"/>
    <col min="12813" max="12813" width="12.5703125" style="11" customWidth="1"/>
    <col min="12814" max="13062" width="8.85546875" style="11"/>
    <col min="13063" max="13063" width="15.42578125" style="11" customWidth="1"/>
    <col min="13064" max="13068" width="8.85546875" style="11"/>
    <col min="13069" max="13069" width="12.5703125" style="11" customWidth="1"/>
    <col min="13070" max="13318" width="8.85546875" style="11"/>
    <col min="13319" max="13319" width="15.42578125" style="11" customWidth="1"/>
    <col min="13320" max="13324" width="8.85546875" style="11"/>
    <col min="13325" max="13325" width="12.5703125" style="11" customWidth="1"/>
    <col min="13326" max="13574" width="8.85546875" style="11"/>
    <col min="13575" max="13575" width="15.42578125" style="11" customWidth="1"/>
    <col min="13576" max="13580" width="8.85546875" style="11"/>
    <col min="13581" max="13581" width="12.5703125" style="11" customWidth="1"/>
    <col min="13582" max="13830" width="8.85546875" style="11"/>
    <col min="13831" max="13831" width="15.42578125" style="11" customWidth="1"/>
    <col min="13832" max="13836" width="8.85546875" style="11"/>
    <col min="13837" max="13837" width="12.5703125" style="11" customWidth="1"/>
    <col min="13838" max="14086" width="8.85546875" style="11"/>
    <col min="14087" max="14087" width="15.42578125" style="11" customWidth="1"/>
    <col min="14088" max="14092" width="8.85546875" style="11"/>
    <col min="14093" max="14093" width="12.5703125" style="11" customWidth="1"/>
    <col min="14094" max="14342" width="8.85546875" style="11"/>
    <col min="14343" max="14343" width="15.42578125" style="11" customWidth="1"/>
    <col min="14344" max="14348" width="8.85546875" style="11"/>
    <col min="14349" max="14349" width="12.5703125" style="11" customWidth="1"/>
    <col min="14350" max="14598" width="8.85546875" style="11"/>
    <col min="14599" max="14599" width="15.42578125" style="11" customWidth="1"/>
    <col min="14600" max="14604" width="8.85546875" style="11"/>
    <col min="14605" max="14605" width="12.5703125" style="11" customWidth="1"/>
    <col min="14606" max="14854" width="8.85546875" style="11"/>
    <col min="14855" max="14855" width="15.42578125" style="11" customWidth="1"/>
    <col min="14856" max="14860" width="8.85546875" style="11"/>
    <col min="14861" max="14861" width="12.5703125" style="11" customWidth="1"/>
    <col min="14862" max="15110" width="8.85546875" style="11"/>
    <col min="15111" max="15111" width="15.42578125" style="11" customWidth="1"/>
    <col min="15112" max="15116" width="8.85546875" style="11"/>
    <col min="15117" max="15117" width="12.5703125" style="11" customWidth="1"/>
    <col min="15118" max="15366" width="8.85546875" style="11"/>
    <col min="15367" max="15367" width="15.42578125" style="11" customWidth="1"/>
    <col min="15368" max="15372" width="8.85546875" style="11"/>
    <col min="15373" max="15373" width="12.5703125" style="11" customWidth="1"/>
    <col min="15374" max="15622" width="8.85546875" style="11"/>
    <col min="15623" max="15623" width="15.42578125" style="11" customWidth="1"/>
    <col min="15624" max="15628" width="8.85546875" style="11"/>
    <col min="15629" max="15629" width="12.5703125" style="11" customWidth="1"/>
    <col min="15630" max="15878" width="8.85546875" style="11"/>
    <col min="15879" max="15879" width="15.42578125" style="11" customWidth="1"/>
    <col min="15880" max="15884" width="8.85546875" style="11"/>
    <col min="15885" max="15885" width="12.5703125" style="11" customWidth="1"/>
    <col min="15886" max="16134" width="8.85546875" style="11"/>
    <col min="16135" max="16135" width="15.42578125" style="11" customWidth="1"/>
    <col min="16136" max="16140" width="8.85546875" style="11"/>
    <col min="16141" max="16141" width="12.5703125" style="11" customWidth="1"/>
    <col min="16142" max="16384" width="8.85546875" style="11"/>
  </cols>
  <sheetData>
    <row r="1" spans="1:17">
      <c r="A1" s="20" t="s">
        <v>234</v>
      </c>
      <c r="Q1" s="33"/>
    </row>
    <row r="2" spans="1:17">
      <c r="Q2" s="33"/>
    </row>
    <row r="3" spans="1:17">
      <c r="A3" s="20" t="s">
        <v>235</v>
      </c>
      <c r="H3" s="20" t="s">
        <v>236</v>
      </c>
    </row>
    <row r="4" spans="1:17">
      <c r="A4" s="11" t="s">
        <v>237</v>
      </c>
      <c r="B4" s="13">
        <v>1</v>
      </c>
      <c r="C4" s="13">
        <v>2</v>
      </c>
      <c r="D4" s="13">
        <v>3</v>
      </c>
      <c r="H4" s="11" t="s">
        <v>238</v>
      </c>
      <c r="I4" s="13">
        <v>2</v>
      </c>
    </row>
    <row r="5" spans="1:17">
      <c r="B5" s="13">
        <v>2</v>
      </c>
      <c r="C5" s="13">
        <v>4</v>
      </c>
      <c r="D5" s="13">
        <v>5</v>
      </c>
      <c r="I5" s="13">
        <v>3</v>
      </c>
    </row>
    <row r="6" spans="1:17">
      <c r="I6" s="13">
        <v>4</v>
      </c>
    </row>
    <row r="7" spans="1:17">
      <c r="A7" s="11" t="s">
        <v>239</v>
      </c>
      <c r="B7" s="13">
        <v>1</v>
      </c>
      <c r="C7" s="13">
        <v>2</v>
      </c>
    </row>
    <row r="8" spans="1:17">
      <c r="B8" s="13">
        <v>3</v>
      </c>
      <c r="C8" s="13">
        <v>4</v>
      </c>
      <c r="H8" s="11" t="s">
        <v>240</v>
      </c>
    </row>
    <row r="9" spans="1:17">
      <c r="B9" s="13">
        <v>5</v>
      </c>
      <c r="C9" s="13">
        <v>6</v>
      </c>
      <c r="H9" s="11" t="s">
        <v>241</v>
      </c>
    </row>
    <row r="10" spans="1:17">
      <c r="I10" s="54"/>
    </row>
    <row r="11" spans="1:17">
      <c r="A11" s="17" t="s">
        <v>242</v>
      </c>
      <c r="I11" s="55"/>
    </row>
    <row r="12" spans="1:17">
      <c r="A12" s="11" t="s">
        <v>243</v>
      </c>
    </row>
    <row r="13" spans="1:17">
      <c r="B13" s="56"/>
      <c r="C13" s="57"/>
      <c r="H13" s="20" t="s">
        <v>244</v>
      </c>
    </row>
    <row r="14" spans="1:17">
      <c r="B14" s="58"/>
      <c r="C14" s="59"/>
      <c r="H14" s="11" t="s">
        <v>245</v>
      </c>
      <c r="I14" s="13">
        <v>4</v>
      </c>
      <c r="J14" s="13">
        <v>5</v>
      </c>
    </row>
    <row r="16" spans="1:17">
      <c r="A16" s="20" t="s">
        <v>246</v>
      </c>
      <c r="H16" s="11" t="s">
        <v>247</v>
      </c>
    </row>
    <row r="17" spans="1:11">
      <c r="A17" s="11" t="s">
        <v>248</v>
      </c>
      <c r="B17" s="13">
        <v>2</v>
      </c>
      <c r="C17" s="13">
        <v>1</v>
      </c>
      <c r="D17" s="13">
        <v>3</v>
      </c>
      <c r="H17" s="11" t="s">
        <v>249</v>
      </c>
    </row>
    <row r="18" spans="1:11">
      <c r="B18" s="13">
        <v>1</v>
      </c>
      <c r="C18" s="13">
        <v>-1</v>
      </c>
      <c r="D18" s="13">
        <v>0</v>
      </c>
      <c r="I18" s="60"/>
      <c r="J18" s="61"/>
      <c r="K18" s="62"/>
    </row>
    <row r="19" spans="1:11">
      <c r="B19" s="13">
        <v>3</v>
      </c>
      <c r="C19" s="13">
        <v>0</v>
      </c>
      <c r="D19" s="13">
        <v>4</v>
      </c>
    </row>
    <row r="20" spans="1:11">
      <c r="H20" s="20" t="s">
        <v>250</v>
      </c>
    </row>
    <row r="21" spans="1:11">
      <c r="A21" s="11" t="s">
        <v>251</v>
      </c>
      <c r="H21" s="11" t="s">
        <v>252</v>
      </c>
      <c r="I21" s="13">
        <v>1</v>
      </c>
      <c r="J21" s="13">
        <v>6</v>
      </c>
      <c r="K21" s="13">
        <v>3</v>
      </c>
    </row>
    <row r="22" spans="1:11">
      <c r="A22" s="11" t="s">
        <v>253</v>
      </c>
    </row>
    <row r="23" spans="1:11">
      <c r="A23" s="11" t="s">
        <v>254</v>
      </c>
      <c r="H23" s="11" t="s">
        <v>255</v>
      </c>
    </row>
    <row r="24" spans="1:11">
      <c r="B24" s="63"/>
      <c r="H24" s="11" t="s">
        <v>254</v>
      </c>
    </row>
    <row r="25" spans="1:11">
      <c r="I25" s="63"/>
    </row>
    <row r="26" spans="1:11">
      <c r="A26" s="11" t="s">
        <v>256</v>
      </c>
    </row>
    <row r="27" spans="1:11">
      <c r="A27" s="11" t="s">
        <v>257</v>
      </c>
    </row>
    <row r="28" spans="1:11">
      <c r="A28" s="11" t="s">
        <v>258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8"/>
  <sheetViews>
    <sheetView workbookViewId="0">
      <selection activeCell="G3" sqref="G3"/>
    </sheetView>
  </sheetViews>
  <sheetFormatPr defaultRowHeight="15"/>
  <sheetData>
    <row r="1" spans="1:8">
      <c r="A1" t="s">
        <v>361</v>
      </c>
    </row>
    <row r="2" spans="1:8">
      <c r="A2">
        <v>4</v>
      </c>
      <c r="B2">
        <v>3</v>
      </c>
      <c r="G2" t="s">
        <v>364</v>
      </c>
    </row>
    <row r="3" spans="1:8">
      <c r="A3">
        <v>3</v>
      </c>
      <c r="B3">
        <v>2</v>
      </c>
      <c r="G3">
        <f>MDETERM(A2:B3)</f>
        <v>-1</v>
      </c>
      <c r="H3" s="73" t="s">
        <v>363</v>
      </c>
    </row>
    <row r="5" spans="1:8">
      <c r="A5" t="s">
        <v>362</v>
      </c>
    </row>
    <row r="6" spans="1:8">
      <c r="A6">
        <v>1</v>
      </c>
      <c r="B6">
        <v>0</v>
      </c>
      <c r="C6">
        <v>5</v>
      </c>
    </row>
    <row r="7" spans="1:8">
      <c r="A7">
        <v>2</v>
      </c>
      <c r="B7">
        <v>1</v>
      </c>
      <c r="C7">
        <v>6</v>
      </c>
      <c r="G7">
        <f t="array" ref="G7">MDETERM(A6:C8)</f>
        <v>6</v>
      </c>
    </row>
    <row r="8" spans="1:8">
      <c r="A8">
        <v>2</v>
      </c>
      <c r="B8">
        <v>4</v>
      </c>
      <c r="C8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28"/>
  <sheetViews>
    <sheetView zoomScaleNormal="100" workbookViewId="0">
      <selection activeCell="D18" sqref="D18"/>
    </sheetView>
  </sheetViews>
  <sheetFormatPr defaultRowHeight="15"/>
  <cols>
    <col min="1" max="1" width="22.140625" style="11" customWidth="1"/>
    <col min="2" max="2" width="9.85546875" style="11" customWidth="1"/>
    <col min="3" max="3" width="12.42578125" style="11" customWidth="1"/>
    <col min="4" max="4" width="13.85546875" style="11" bestFit="1" customWidth="1"/>
    <col min="5" max="5" width="11.42578125" style="11" customWidth="1"/>
    <col min="6" max="8" width="4.5703125" style="11" customWidth="1"/>
    <col min="9" max="256" width="8.85546875" style="11"/>
    <col min="257" max="257" width="19" style="11" customWidth="1"/>
    <col min="258" max="258" width="9.85546875" style="11" customWidth="1"/>
    <col min="259" max="260" width="12.42578125" style="11" customWidth="1"/>
    <col min="261" max="261" width="11.42578125" style="11" customWidth="1"/>
    <col min="262" max="262" width="16.5703125" style="11" customWidth="1"/>
    <col min="263" max="512" width="8.85546875" style="11"/>
    <col min="513" max="513" width="19" style="11" customWidth="1"/>
    <col min="514" max="514" width="9.85546875" style="11" customWidth="1"/>
    <col min="515" max="516" width="12.42578125" style="11" customWidth="1"/>
    <col min="517" max="517" width="11.42578125" style="11" customWidth="1"/>
    <col min="518" max="518" width="16.5703125" style="11" customWidth="1"/>
    <col min="519" max="768" width="8.85546875" style="11"/>
    <col min="769" max="769" width="19" style="11" customWidth="1"/>
    <col min="770" max="770" width="9.85546875" style="11" customWidth="1"/>
    <col min="771" max="772" width="12.42578125" style="11" customWidth="1"/>
    <col min="773" max="773" width="11.42578125" style="11" customWidth="1"/>
    <col min="774" max="774" width="16.5703125" style="11" customWidth="1"/>
    <col min="775" max="1024" width="8.85546875" style="11"/>
    <col min="1025" max="1025" width="19" style="11" customWidth="1"/>
    <col min="1026" max="1026" width="9.85546875" style="11" customWidth="1"/>
    <col min="1027" max="1028" width="12.42578125" style="11" customWidth="1"/>
    <col min="1029" max="1029" width="11.42578125" style="11" customWidth="1"/>
    <col min="1030" max="1030" width="16.5703125" style="11" customWidth="1"/>
    <col min="1031" max="1280" width="8.85546875" style="11"/>
    <col min="1281" max="1281" width="19" style="11" customWidth="1"/>
    <col min="1282" max="1282" width="9.85546875" style="11" customWidth="1"/>
    <col min="1283" max="1284" width="12.42578125" style="11" customWidth="1"/>
    <col min="1285" max="1285" width="11.42578125" style="11" customWidth="1"/>
    <col min="1286" max="1286" width="16.5703125" style="11" customWidth="1"/>
    <col min="1287" max="1536" width="8.85546875" style="11"/>
    <col min="1537" max="1537" width="19" style="11" customWidth="1"/>
    <col min="1538" max="1538" width="9.85546875" style="11" customWidth="1"/>
    <col min="1539" max="1540" width="12.42578125" style="11" customWidth="1"/>
    <col min="1541" max="1541" width="11.42578125" style="11" customWidth="1"/>
    <col min="1542" max="1542" width="16.5703125" style="11" customWidth="1"/>
    <col min="1543" max="1792" width="8.85546875" style="11"/>
    <col min="1793" max="1793" width="19" style="11" customWidth="1"/>
    <col min="1794" max="1794" width="9.85546875" style="11" customWidth="1"/>
    <col min="1795" max="1796" width="12.42578125" style="11" customWidth="1"/>
    <col min="1797" max="1797" width="11.42578125" style="11" customWidth="1"/>
    <col min="1798" max="1798" width="16.5703125" style="11" customWidth="1"/>
    <col min="1799" max="2048" width="8.85546875" style="11"/>
    <col min="2049" max="2049" width="19" style="11" customWidth="1"/>
    <col min="2050" max="2050" width="9.85546875" style="11" customWidth="1"/>
    <col min="2051" max="2052" width="12.42578125" style="11" customWidth="1"/>
    <col min="2053" max="2053" width="11.42578125" style="11" customWidth="1"/>
    <col min="2054" max="2054" width="16.5703125" style="11" customWidth="1"/>
    <col min="2055" max="2304" width="8.85546875" style="11"/>
    <col min="2305" max="2305" width="19" style="11" customWidth="1"/>
    <col min="2306" max="2306" width="9.85546875" style="11" customWidth="1"/>
    <col min="2307" max="2308" width="12.42578125" style="11" customWidth="1"/>
    <col min="2309" max="2309" width="11.42578125" style="11" customWidth="1"/>
    <col min="2310" max="2310" width="16.5703125" style="11" customWidth="1"/>
    <col min="2311" max="2560" width="8.85546875" style="11"/>
    <col min="2561" max="2561" width="19" style="11" customWidth="1"/>
    <col min="2562" max="2562" width="9.85546875" style="11" customWidth="1"/>
    <col min="2563" max="2564" width="12.42578125" style="11" customWidth="1"/>
    <col min="2565" max="2565" width="11.42578125" style="11" customWidth="1"/>
    <col min="2566" max="2566" width="16.5703125" style="11" customWidth="1"/>
    <col min="2567" max="2816" width="8.85546875" style="11"/>
    <col min="2817" max="2817" width="19" style="11" customWidth="1"/>
    <col min="2818" max="2818" width="9.85546875" style="11" customWidth="1"/>
    <col min="2819" max="2820" width="12.42578125" style="11" customWidth="1"/>
    <col min="2821" max="2821" width="11.42578125" style="11" customWidth="1"/>
    <col min="2822" max="2822" width="16.5703125" style="11" customWidth="1"/>
    <col min="2823" max="3072" width="8.85546875" style="11"/>
    <col min="3073" max="3073" width="19" style="11" customWidth="1"/>
    <col min="3074" max="3074" width="9.85546875" style="11" customWidth="1"/>
    <col min="3075" max="3076" width="12.42578125" style="11" customWidth="1"/>
    <col min="3077" max="3077" width="11.42578125" style="11" customWidth="1"/>
    <col min="3078" max="3078" width="16.5703125" style="11" customWidth="1"/>
    <col min="3079" max="3328" width="8.85546875" style="11"/>
    <col min="3329" max="3329" width="19" style="11" customWidth="1"/>
    <col min="3330" max="3330" width="9.85546875" style="11" customWidth="1"/>
    <col min="3331" max="3332" width="12.42578125" style="11" customWidth="1"/>
    <col min="3333" max="3333" width="11.42578125" style="11" customWidth="1"/>
    <col min="3334" max="3334" width="16.5703125" style="11" customWidth="1"/>
    <col min="3335" max="3584" width="8.85546875" style="11"/>
    <col min="3585" max="3585" width="19" style="11" customWidth="1"/>
    <col min="3586" max="3586" width="9.85546875" style="11" customWidth="1"/>
    <col min="3587" max="3588" width="12.42578125" style="11" customWidth="1"/>
    <col min="3589" max="3589" width="11.42578125" style="11" customWidth="1"/>
    <col min="3590" max="3590" width="16.5703125" style="11" customWidth="1"/>
    <col min="3591" max="3840" width="8.85546875" style="11"/>
    <col min="3841" max="3841" width="19" style="11" customWidth="1"/>
    <col min="3842" max="3842" width="9.85546875" style="11" customWidth="1"/>
    <col min="3843" max="3844" width="12.42578125" style="11" customWidth="1"/>
    <col min="3845" max="3845" width="11.42578125" style="11" customWidth="1"/>
    <col min="3846" max="3846" width="16.5703125" style="11" customWidth="1"/>
    <col min="3847" max="4096" width="8.85546875" style="11"/>
    <col min="4097" max="4097" width="19" style="11" customWidth="1"/>
    <col min="4098" max="4098" width="9.85546875" style="11" customWidth="1"/>
    <col min="4099" max="4100" width="12.42578125" style="11" customWidth="1"/>
    <col min="4101" max="4101" width="11.42578125" style="11" customWidth="1"/>
    <col min="4102" max="4102" width="16.5703125" style="11" customWidth="1"/>
    <col min="4103" max="4352" width="8.85546875" style="11"/>
    <col min="4353" max="4353" width="19" style="11" customWidth="1"/>
    <col min="4354" max="4354" width="9.85546875" style="11" customWidth="1"/>
    <col min="4355" max="4356" width="12.42578125" style="11" customWidth="1"/>
    <col min="4357" max="4357" width="11.42578125" style="11" customWidth="1"/>
    <col min="4358" max="4358" width="16.5703125" style="11" customWidth="1"/>
    <col min="4359" max="4608" width="8.85546875" style="11"/>
    <col min="4609" max="4609" width="19" style="11" customWidth="1"/>
    <col min="4610" max="4610" width="9.85546875" style="11" customWidth="1"/>
    <col min="4611" max="4612" width="12.42578125" style="11" customWidth="1"/>
    <col min="4613" max="4613" width="11.42578125" style="11" customWidth="1"/>
    <col min="4614" max="4614" width="16.5703125" style="11" customWidth="1"/>
    <col min="4615" max="4864" width="8.85546875" style="11"/>
    <col min="4865" max="4865" width="19" style="11" customWidth="1"/>
    <col min="4866" max="4866" width="9.85546875" style="11" customWidth="1"/>
    <col min="4867" max="4868" width="12.42578125" style="11" customWidth="1"/>
    <col min="4869" max="4869" width="11.42578125" style="11" customWidth="1"/>
    <col min="4870" max="4870" width="16.5703125" style="11" customWidth="1"/>
    <col min="4871" max="5120" width="8.85546875" style="11"/>
    <col min="5121" max="5121" width="19" style="11" customWidth="1"/>
    <col min="5122" max="5122" width="9.85546875" style="11" customWidth="1"/>
    <col min="5123" max="5124" width="12.42578125" style="11" customWidth="1"/>
    <col min="5125" max="5125" width="11.42578125" style="11" customWidth="1"/>
    <col min="5126" max="5126" width="16.5703125" style="11" customWidth="1"/>
    <col min="5127" max="5376" width="8.85546875" style="11"/>
    <col min="5377" max="5377" width="19" style="11" customWidth="1"/>
    <col min="5378" max="5378" width="9.85546875" style="11" customWidth="1"/>
    <col min="5379" max="5380" width="12.42578125" style="11" customWidth="1"/>
    <col min="5381" max="5381" width="11.42578125" style="11" customWidth="1"/>
    <col min="5382" max="5382" width="16.5703125" style="11" customWidth="1"/>
    <col min="5383" max="5632" width="8.85546875" style="11"/>
    <col min="5633" max="5633" width="19" style="11" customWidth="1"/>
    <col min="5634" max="5634" width="9.85546875" style="11" customWidth="1"/>
    <col min="5635" max="5636" width="12.42578125" style="11" customWidth="1"/>
    <col min="5637" max="5637" width="11.42578125" style="11" customWidth="1"/>
    <col min="5638" max="5638" width="16.5703125" style="11" customWidth="1"/>
    <col min="5639" max="5888" width="8.85546875" style="11"/>
    <col min="5889" max="5889" width="19" style="11" customWidth="1"/>
    <col min="5890" max="5890" width="9.85546875" style="11" customWidth="1"/>
    <col min="5891" max="5892" width="12.42578125" style="11" customWidth="1"/>
    <col min="5893" max="5893" width="11.42578125" style="11" customWidth="1"/>
    <col min="5894" max="5894" width="16.5703125" style="11" customWidth="1"/>
    <col min="5895" max="6144" width="8.85546875" style="11"/>
    <col min="6145" max="6145" width="19" style="11" customWidth="1"/>
    <col min="6146" max="6146" width="9.85546875" style="11" customWidth="1"/>
    <col min="6147" max="6148" width="12.42578125" style="11" customWidth="1"/>
    <col min="6149" max="6149" width="11.42578125" style="11" customWidth="1"/>
    <col min="6150" max="6150" width="16.5703125" style="11" customWidth="1"/>
    <col min="6151" max="6400" width="8.85546875" style="11"/>
    <col min="6401" max="6401" width="19" style="11" customWidth="1"/>
    <col min="6402" max="6402" width="9.85546875" style="11" customWidth="1"/>
    <col min="6403" max="6404" width="12.42578125" style="11" customWidth="1"/>
    <col min="6405" max="6405" width="11.42578125" style="11" customWidth="1"/>
    <col min="6406" max="6406" width="16.5703125" style="11" customWidth="1"/>
    <col min="6407" max="6656" width="8.85546875" style="11"/>
    <col min="6657" max="6657" width="19" style="11" customWidth="1"/>
    <col min="6658" max="6658" width="9.85546875" style="11" customWidth="1"/>
    <col min="6659" max="6660" width="12.42578125" style="11" customWidth="1"/>
    <col min="6661" max="6661" width="11.42578125" style="11" customWidth="1"/>
    <col min="6662" max="6662" width="16.5703125" style="11" customWidth="1"/>
    <col min="6663" max="6912" width="8.85546875" style="11"/>
    <col min="6913" max="6913" width="19" style="11" customWidth="1"/>
    <col min="6914" max="6914" width="9.85546875" style="11" customWidth="1"/>
    <col min="6915" max="6916" width="12.42578125" style="11" customWidth="1"/>
    <col min="6917" max="6917" width="11.42578125" style="11" customWidth="1"/>
    <col min="6918" max="6918" width="16.5703125" style="11" customWidth="1"/>
    <col min="6919" max="7168" width="8.85546875" style="11"/>
    <col min="7169" max="7169" width="19" style="11" customWidth="1"/>
    <col min="7170" max="7170" width="9.85546875" style="11" customWidth="1"/>
    <col min="7171" max="7172" width="12.42578125" style="11" customWidth="1"/>
    <col min="7173" max="7173" width="11.42578125" style="11" customWidth="1"/>
    <col min="7174" max="7174" width="16.5703125" style="11" customWidth="1"/>
    <col min="7175" max="7424" width="8.85546875" style="11"/>
    <col min="7425" max="7425" width="19" style="11" customWidth="1"/>
    <col min="7426" max="7426" width="9.85546875" style="11" customWidth="1"/>
    <col min="7427" max="7428" width="12.42578125" style="11" customWidth="1"/>
    <col min="7429" max="7429" width="11.42578125" style="11" customWidth="1"/>
    <col min="7430" max="7430" width="16.5703125" style="11" customWidth="1"/>
    <col min="7431" max="7680" width="8.85546875" style="11"/>
    <col min="7681" max="7681" width="19" style="11" customWidth="1"/>
    <col min="7682" max="7682" width="9.85546875" style="11" customWidth="1"/>
    <col min="7683" max="7684" width="12.42578125" style="11" customWidth="1"/>
    <col min="7685" max="7685" width="11.42578125" style="11" customWidth="1"/>
    <col min="7686" max="7686" width="16.5703125" style="11" customWidth="1"/>
    <col min="7687" max="7936" width="8.85546875" style="11"/>
    <col min="7937" max="7937" width="19" style="11" customWidth="1"/>
    <col min="7938" max="7938" width="9.85546875" style="11" customWidth="1"/>
    <col min="7939" max="7940" width="12.42578125" style="11" customWidth="1"/>
    <col min="7941" max="7941" width="11.42578125" style="11" customWidth="1"/>
    <col min="7942" max="7942" width="16.5703125" style="11" customWidth="1"/>
    <col min="7943" max="8192" width="8.85546875" style="11"/>
    <col min="8193" max="8193" width="19" style="11" customWidth="1"/>
    <col min="8194" max="8194" width="9.85546875" style="11" customWidth="1"/>
    <col min="8195" max="8196" width="12.42578125" style="11" customWidth="1"/>
    <col min="8197" max="8197" width="11.42578125" style="11" customWidth="1"/>
    <col min="8198" max="8198" width="16.5703125" style="11" customWidth="1"/>
    <col min="8199" max="8448" width="8.85546875" style="11"/>
    <col min="8449" max="8449" width="19" style="11" customWidth="1"/>
    <col min="8450" max="8450" width="9.85546875" style="11" customWidth="1"/>
    <col min="8451" max="8452" width="12.42578125" style="11" customWidth="1"/>
    <col min="8453" max="8453" width="11.42578125" style="11" customWidth="1"/>
    <col min="8454" max="8454" width="16.5703125" style="11" customWidth="1"/>
    <col min="8455" max="8704" width="8.85546875" style="11"/>
    <col min="8705" max="8705" width="19" style="11" customWidth="1"/>
    <col min="8706" max="8706" width="9.85546875" style="11" customWidth="1"/>
    <col min="8707" max="8708" width="12.42578125" style="11" customWidth="1"/>
    <col min="8709" max="8709" width="11.42578125" style="11" customWidth="1"/>
    <col min="8710" max="8710" width="16.5703125" style="11" customWidth="1"/>
    <col min="8711" max="8960" width="8.85546875" style="11"/>
    <col min="8961" max="8961" width="19" style="11" customWidth="1"/>
    <col min="8962" max="8962" width="9.85546875" style="11" customWidth="1"/>
    <col min="8963" max="8964" width="12.42578125" style="11" customWidth="1"/>
    <col min="8965" max="8965" width="11.42578125" style="11" customWidth="1"/>
    <col min="8966" max="8966" width="16.5703125" style="11" customWidth="1"/>
    <col min="8967" max="9216" width="8.85546875" style="11"/>
    <col min="9217" max="9217" width="19" style="11" customWidth="1"/>
    <col min="9218" max="9218" width="9.85546875" style="11" customWidth="1"/>
    <col min="9219" max="9220" width="12.42578125" style="11" customWidth="1"/>
    <col min="9221" max="9221" width="11.42578125" style="11" customWidth="1"/>
    <col min="9222" max="9222" width="16.5703125" style="11" customWidth="1"/>
    <col min="9223" max="9472" width="8.85546875" style="11"/>
    <col min="9473" max="9473" width="19" style="11" customWidth="1"/>
    <col min="9474" max="9474" width="9.85546875" style="11" customWidth="1"/>
    <col min="9475" max="9476" width="12.42578125" style="11" customWidth="1"/>
    <col min="9477" max="9477" width="11.42578125" style="11" customWidth="1"/>
    <col min="9478" max="9478" width="16.5703125" style="11" customWidth="1"/>
    <col min="9479" max="9728" width="8.85546875" style="11"/>
    <col min="9729" max="9729" width="19" style="11" customWidth="1"/>
    <col min="9730" max="9730" width="9.85546875" style="11" customWidth="1"/>
    <col min="9731" max="9732" width="12.42578125" style="11" customWidth="1"/>
    <col min="9733" max="9733" width="11.42578125" style="11" customWidth="1"/>
    <col min="9734" max="9734" width="16.5703125" style="11" customWidth="1"/>
    <col min="9735" max="9984" width="8.85546875" style="11"/>
    <col min="9985" max="9985" width="19" style="11" customWidth="1"/>
    <col min="9986" max="9986" width="9.85546875" style="11" customWidth="1"/>
    <col min="9987" max="9988" width="12.42578125" style="11" customWidth="1"/>
    <col min="9989" max="9989" width="11.42578125" style="11" customWidth="1"/>
    <col min="9990" max="9990" width="16.5703125" style="11" customWidth="1"/>
    <col min="9991" max="10240" width="8.85546875" style="11"/>
    <col min="10241" max="10241" width="19" style="11" customWidth="1"/>
    <col min="10242" max="10242" width="9.85546875" style="11" customWidth="1"/>
    <col min="10243" max="10244" width="12.42578125" style="11" customWidth="1"/>
    <col min="10245" max="10245" width="11.42578125" style="11" customWidth="1"/>
    <col min="10246" max="10246" width="16.5703125" style="11" customWidth="1"/>
    <col min="10247" max="10496" width="8.85546875" style="11"/>
    <col min="10497" max="10497" width="19" style="11" customWidth="1"/>
    <col min="10498" max="10498" width="9.85546875" style="11" customWidth="1"/>
    <col min="10499" max="10500" width="12.42578125" style="11" customWidth="1"/>
    <col min="10501" max="10501" width="11.42578125" style="11" customWidth="1"/>
    <col min="10502" max="10502" width="16.5703125" style="11" customWidth="1"/>
    <col min="10503" max="10752" width="8.85546875" style="11"/>
    <col min="10753" max="10753" width="19" style="11" customWidth="1"/>
    <col min="10754" max="10754" width="9.85546875" style="11" customWidth="1"/>
    <col min="10755" max="10756" width="12.42578125" style="11" customWidth="1"/>
    <col min="10757" max="10757" width="11.42578125" style="11" customWidth="1"/>
    <col min="10758" max="10758" width="16.5703125" style="11" customWidth="1"/>
    <col min="10759" max="11008" width="8.85546875" style="11"/>
    <col min="11009" max="11009" width="19" style="11" customWidth="1"/>
    <col min="11010" max="11010" width="9.85546875" style="11" customWidth="1"/>
    <col min="11011" max="11012" width="12.42578125" style="11" customWidth="1"/>
    <col min="11013" max="11013" width="11.42578125" style="11" customWidth="1"/>
    <col min="11014" max="11014" width="16.5703125" style="11" customWidth="1"/>
    <col min="11015" max="11264" width="8.85546875" style="11"/>
    <col min="11265" max="11265" width="19" style="11" customWidth="1"/>
    <col min="11266" max="11266" width="9.85546875" style="11" customWidth="1"/>
    <col min="11267" max="11268" width="12.42578125" style="11" customWidth="1"/>
    <col min="11269" max="11269" width="11.42578125" style="11" customWidth="1"/>
    <col min="11270" max="11270" width="16.5703125" style="11" customWidth="1"/>
    <col min="11271" max="11520" width="8.85546875" style="11"/>
    <col min="11521" max="11521" width="19" style="11" customWidth="1"/>
    <col min="11522" max="11522" width="9.85546875" style="11" customWidth="1"/>
    <col min="11523" max="11524" width="12.42578125" style="11" customWidth="1"/>
    <col min="11525" max="11525" width="11.42578125" style="11" customWidth="1"/>
    <col min="11526" max="11526" width="16.5703125" style="11" customWidth="1"/>
    <col min="11527" max="11776" width="8.85546875" style="11"/>
    <col min="11777" max="11777" width="19" style="11" customWidth="1"/>
    <col min="11778" max="11778" width="9.85546875" style="11" customWidth="1"/>
    <col min="11779" max="11780" width="12.42578125" style="11" customWidth="1"/>
    <col min="11781" max="11781" width="11.42578125" style="11" customWidth="1"/>
    <col min="11782" max="11782" width="16.5703125" style="11" customWidth="1"/>
    <col min="11783" max="12032" width="8.85546875" style="11"/>
    <col min="12033" max="12033" width="19" style="11" customWidth="1"/>
    <col min="12034" max="12034" width="9.85546875" style="11" customWidth="1"/>
    <col min="12035" max="12036" width="12.42578125" style="11" customWidth="1"/>
    <col min="12037" max="12037" width="11.42578125" style="11" customWidth="1"/>
    <col min="12038" max="12038" width="16.5703125" style="11" customWidth="1"/>
    <col min="12039" max="12288" width="8.85546875" style="11"/>
    <col min="12289" max="12289" width="19" style="11" customWidth="1"/>
    <col min="12290" max="12290" width="9.85546875" style="11" customWidth="1"/>
    <col min="12291" max="12292" width="12.42578125" style="11" customWidth="1"/>
    <col min="12293" max="12293" width="11.42578125" style="11" customWidth="1"/>
    <col min="12294" max="12294" width="16.5703125" style="11" customWidth="1"/>
    <col min="12295" max="12544" width="8.85546875" style="11"/>
    <col min="12545" max="12545" width="19" style="11" customWidth="1"/>
    <col min="12546" max="12546" width="9.85546875" style="11" customWidth="1"/>
    <col min="12547" max="12548" width="12.42578125" style="11" customWidth="1"/>
    <col min="12549" max="12549" width="11.42578125" style="11" customWidth="1"/>
    <col min="12550" max="12550" width="16.5703125" style="11" customWidth="1"/>
    <col min="12551" max="12800" width="8.85546875" style="11"/>
    <col min="12801" max="12801" width="19" style="11" customWidth="1"/>
    <col min="12802" max="12802" width="9.85546875" style="11" customWidth="1"/>
    <col min="12803" max="12804" width="12.42578125" style="11" customWidth="1"/>
    <col min="12805" max="12805" width="11.42578125" style="11" customWidth="1"/>
    <col min="12806" max="12806" width="16.5703125" style="11" customWidth="1"/>
    <col min="12807" max="13056" width="8.85546875" style="11"/>
    <col min="13057" max="13057" width="19" style="11" customWidth="1"/>
    <col min="13058" max="13058" width="9.85546875" style="11" customWidth="1"/>
    <col min="13059" max="13060" width="12.42578125" style="11" customWidth="1"/>
    <col min="13061" max="13061" width="11.42578125" style="11" customWidth="1"/>
    <col min="13062" max="13062" width="16.5703125" style="11" customWidth="1"/>
    <col min="13063" max="13312" width="8.85546875" style="11"/>
    <col min="13313" max="13313" width="19" style="11" customWidth="1"/>
    <col min="13314" max="13314" width="9.85546875" style="11" customWidth="1"/>
    <col min="13315" max="13316" width="12.42578125" style="11" customWidth="1"/>
    <col min="13317" max="13317" width="11.42578125" style="11" customWidth="1"/>
    <col min="13318" max="13318" width="16.5703125" style="11" customWidth="1"/>
    <col min="13319" max="13568" width="8.85546875" style="11"/>
    <col min="13569" max="13569" width="19" style="11" customWidth="1"/>
    <col min="13570" max="13570" width="9.85546875" style="11" customWidth="1"/>
    <col min="13571" max="13572" width="12.42578125" style="11" customWidth="1"/>
    <col min="13573" max="13573" width="11.42578125" style="11" customWidth="1"/>
    <col min="13574" max="13574" width="16.5703125" style="11" customWidth="1"/>
    <col min="13575" max="13824" width="8.85546875" style="11"/>
    <col min="13825" max="13825" width="19" style="11" customWidth="1"/>
    <col min="13826" max="13826" width="9.85546875" style="11" customWidth="1"/>
    <col min="13827" max="13828" width="12.42578125" style="11" customWidth="1"/>
    <col min="13829" max="13829" width="11.42578125" style="11" customWidth="1"/>
    <col min="13830" max="13830" width="16.5703125" style="11" customWidth="1"/>
    <col min="13831" max="14080" width="8.85546875" style="11"/>
    <col min="14081" max="14081" width="19" style="11" customWidth="1"/>
    <col min="14082" max="14082" width="9.85546875" style="11" customWidth="1"/>
    <col min="14083" max="14084" width="12.42578125" style="11" customWidth="1"/>
    <col min="14085" max="14085" width="11.42578125" style="11" customWidth="1"/>
    <col min="14086" max="14086" width="16.5703125" style="11" customWidth="1"/>
    <col min="14087" max="14336" width="8.85546875" style="11"/>
    <col min="14337" max="14337" width="19" style="11" customWidth="1"/>
    <col min="14338" max="14338" width="9.85546875" style="11" customWidth="1"/>
    <col min="14339" max="14340" width="12.42578125" style="11" customWidth="1"/>
    <col min="14341" max="14341" width="11.42578125" style="11" customWidth="1"/>
    <col min="14342" max="14342" width="16.5703125" style="11" customWidth="1"/>
    <col min="14343" max="14592" width="8.85546875" style="11"/>
    <col min="14593" max="14593" width="19" style="11" customWidth="1"/>
    <col min="14594" max="14594" width="9.85546875" style="11" customWidth="1"/>
    <col min="14595" max="14596" width="12.42578125" style="11" customWidth="1"/>
    <col min="14597" max="14597" width="11.42578125" style="11" customWidth="1"/>
    <col min="14598" max="14598" width="16.5703125" style="11" customWidth="1"/>
    <col min="14599" max="14848" width="8.85546875" style="11"/>
    <col min="14849" max="14849" width="19" style="11" customWidth="1"/>
    <col min="14850" max="14850" width="9.85546875" style="11" customWidth="1"/>
    <col min="14851" max="14852" width="12.42578125" style="11" customWidth="1"/>
    <col min="14853" max="14853" width="11.42578125" style="11" customWidth="1"/>
    <col min="14854" max="14854" width="16.5703125" style="11" customWidth="1"/>
    <col min="14855" max="15104" width="8.85546875" style="11"/>
    <col min="15105" max="15105" width="19" style="11" customWidth="1"/>
    <col min="15106" max="15106" width="9.85546875" style="11" customWidth="1"/>
    <col min="15107" max="15108" width="12.42578125" style="11" customWidth="1"/>
    <col min="15109" max="15109" width="11.42578125" style="11" customWidth="1"/>
    <col min="15110" max="15110" width="16.5703125" style="11" customWidth="1"/>
    <col min="15111" max="15360" width="8.85546875" style="11"/>
    <col min="15361" max="15361" width="19" style="11" customWidth="1"/>
    <col min="15362" max="15362" width="9.85546875" style="11" customWidth="1"/>
    <col min="15363" max="15364" width="12.42578125" style="11" customWidth="1"/>
    <col min="15365" max="15365" width="11.42578125" style="11" customWidth="1"/>
    <col min="15366" max="15366" width="16.5703125" style="11" customWidth="1"/>
    <col min="15367" max="15616" width="8.85546875" style="11"/>
    <col min="15617" max="15617" width="19" style="11" customWidth="1"/>
    <col min="15618" max="15618" width="9.85546875" style="11" customWidth="1"/>
    <col min="15619" max="15620" width="12.42578125" style="11" customWidth="1"/>
    <col min="15621" max="15621" width="11.42578125" style="11" customWidth="1"/>
    <col min="15622" max="15622" width="16.5703125" style="11" customWidth="1"/>
    <col min="15623" max="15872" width="8.85546875" style="11"/>
    <col min="15873" max="15873" width="19" style="11" customWidth="1"/>
    <col min="15874" max="15874" width="9.85546875" style="11" customWidth="1"/>
    <col min="15875" max="15876" width="12.42578125" style="11" customWidth="1"/>
    <col min="15877" max="15877" width="11.42578125" style="11" customWidth="1"/>
    <col min="15878" max="15878" width="16.5703125" style="11" customWidth="1"/>
    <col min="15879" max="16128" width="8.85546875" style="11"/>
    <col min="16129" max="16129" width="19" style="11" customWidth="1"/>
    <col min="16130" max="16130" width="9.85546875" style="11" customWidth="1"/>
    <col min="16131" max="16132" width="12.42578125" style="11" customWidth="1"/>
    <col min="16133" max="16133" width="11.42578125" style="11" customWidth="1"/>
    <col min="16134" max="16134" width="16.5703125" style="11" customWidth="1"/>
    <col min="16135" max="16384" width="8.85546875" style="11"/>
  </cols>
  <sheetData>
    <row r="1" spans="1:17">
      <c r="A1" s="20" t="s">
        <v>279</v>
      </c>
      <c r="J1" s="33"/>
    </row>
    <row r="2" spans="1:17">
      <c r="J2" s="33"/>
    </row>
    <row r="3" spans="1:17">
      <c r="A3" s="20" t="s">
        <v>45</v>
      </c>
      <c r="F3" s="20"/>
    </row>
    <row r="4" spans="1:17">
      <c r="A4" s="17" t="s">
        <v>280</v>
      </c>
      <c r="F4" s="22"/>
      <c r="G4" s="22"/>
    </row>
    <row r="5" spans="1:17" s="23" customFormat="1">
      <c r="A5" s="11"/>
      <c r="B5" s="23" t="s">
        <v>281</v>
      </c>
      <c r="C5" s="23" t="s">
        <v>282</v>
      </c>
      <c r="D5" s="23" t="s">
        <v>283</v>
      </c>
      <c r="F5" s="22"/>
      <c r="G5" s="22"/>
      <c r="J5" s="11" t="s">
        <v>365</v>
      </c>
      <c r="O5" s="11"/>
      <c r="Q5" s="23" t="s">
        <v>364</v>
      </c>
    </row>
    <row r="6" spans="1:17">
      <c r="A6" s="22" t="s">
        <v>284</v>
      </c>
      <c r="B6" s="13">
        <v>2.2530000000000001</v>
      </c>
      <c r="C6" s="13">
        <v>-1.2999999999999999E-2</v>
      </c>
      <c r="D6" s="13">
        <v>3.0000000000000001E-3</v>
      </c>
      <c r="F6" s="22" t="s">
        <v>355</v>
      </c>
      <c r="G6" s="22" t="s">
        <v>356</v>
      </c>
      <c r="H6" s="11" t="s">
        <v>357</v>
      </c>
      <c r="J6" s="11" t="s">
        <v>366</v>
      </c>
      <c r="K6" s="11" t="s">
        <v>367</v>
      </c>
      <c r="N6" s="11">
        <f>2*C6</f>
        <v>-2.5999999999999999E-2</v>
      </c>
      <c r="O6" s="11">
        <f>D6+C7</f>
        <v>8.0000000000000002E-3</v>
      </c>
      <c r="Q6" s="11">
        <f>MDETERM(N6:O7)</f>
        <v>7.1599999999999995E-4</v>
      </c>
    </row>
    <row r="7" spans="1:17">
      <c r="A7" s="11" t="s">
        <v>285</v>
      </c>
      <c r="B7" s="13">
        <v>1.1419999999999999</v>
      </c>
      <c r="C7" s="13">
        <v>5.0000000000000001E-3</v>
      </c>
      <c r="D7" s="13">
        <v>-1.4999999999999999E-2</v>
      </c>
      <c r="F7" s="22" t="s">
        <v>358</v>
      </c>
      <c r="G7" s="22" t="s">
        <v>359</v>
      </c>
      <c r="H7" s="11" t="s">
        <v>360</v>
      </c>
      <c r="J7" s="11" t="s">
        <v>367</v>
      </c>
      <c r="K7" s="11" t="s">
        <v>368</v>
      </c>
      <c r="N7" s="11">
        <f>O6</f>
        <v>8.0000000000000002E-3</v>
      </c>
      <c r="O7" s="11">
        <f>2*D7</f>
        <v>-0.03</v>
      </c>
    </row>
    <row r="8" spans="1:17">
      <c r="F8" s="22"/>
      <c r="G8" s="22"/>
    </row>
    <row r="9" spans="1:17">
      <c r="A9" s="17" t="s">
        <v>286</v>
      </c>
      <c r="B9" s="69">
        <v>75</v>
      </c>
    </row>
    <row r="11" spans="1:17">
      <c r="A11" s="25" t="s">
        <v>287</v>
      </c>
    </row>
    <row r="12" spans="1:17" s="23" customFormat="1">
      <c r="B12" s="23" t="s">
        <v>288</v>
      </c>
      <c r="C12" s="23" t="s">
        <v>289</v>
      </c>
      <c r="D12" s="21"/>
    </row>
    <row r="13" spans="1:17">
      <c r="A13" s="11" t="s">
        <v>290</v>
      </c>
      <c r="B13" s="130">
        <v>137.57112194445477</v>
      </c>
      <c r="C13" s="130">
        <v>75.848899722255098</v>
      </c>
    </row>
    <row r="14" spans="1:17">
      <c r="B14" s="70"/>
      <c r="C14" s="70"/>
      <c r="D14" s="40"/>
    </row>
    <row r="15" spans="1:17">
      <c r="A15" s="11" t="s">
        <v>89</v>
      </c>
      <c r="B15" s="131">
        <v>0.69212211388844735</v>
      </c>
      <c r="C15" s="70"/>
      <c r="D15" s="40"/>
    </row>
    <row r="17" spans="1:7">
      <c r="A17" s="25" t="s">
        <v>291</v>
      </c>
    </row>
    <row r="18" spans="1:7">
      <c r="B18" s="23" t="s">
        <v>288</v>
      </c>
      <c r="C18" s="23" t="s">
        <v>289</v>
      </c>
      <c r="D18" s="23"/>
      <c r="E18" s="23"/>
      <c r="F18" s="23"/>
      <c r="G18" s="21"/>
    </row>
    <row r="19" spans="1:7">
      <c r="A19" s="11" t="s">
        <v>54</v>
      </c>
      <c r="B19" s="40">
        <f>SUMPRODUCT(C6:D6,B13:C13) +B6</f>
        <v>0.69212211388885336</v>
      </c>
      <c r="C19" s="40">
        <f>SUMPRODUCT(C7:D7, B13:C13) + B7</f>
        <v>0.69212211388844747</v>
      </c>
    </row>
    <row r="20" spans="1:7">
      <c r="B20" s="23" t="s">
        <v>278</v>
      </c>
      <c r="C20" s="23" t="s">
        <v>278</v>
      </c>
    </row>
    <row r="21" spans="1:7">
      <c r="A21" s="11" t="s">
        <v>89</v>
      </c>
      <c r="B21" s="40">
        <f>$B$15</f>
        <v>0.69212211388844735</v>
      </c>
      <c r="C21" s="40">
        <f>$B$15</f>
        <v>0.69212211388844735</v>
      </c>
      <c r="D21" s="40"/>
    </row>
    <row r="22" spans="1:7">
      <c r="B22" s="40"/>
    </row>
    <row r="23" spans="1:7">
      <c r="A23" s="20" t="s">
        <v>292</v>
      </c>
    </row>
    <row r="24" spans="1:7">
      <c r="A24" s="11" t="s">
        <v>75</v>
      </c>
      <c r="B24" s="71">
        <f>SUMPRODUCT(B19:C19,B13:C13)</f>
        <v>147.71271654213734</v>
      </c>
      <c r="C24" s="71"/>
    </row>
    <row r="25" spans="1:7">
      <c r="A25" s="11" t="s">
        <v>293</v>
      </c>
      <c r="B25" s="71">
        <f>$B$9*B15</f>
        <v>51.909158541633552</v>
      </c>
    </row>
    <row r="26" spans="1:7">
      <c r="A26" s="11" t="s">
        <v>181</v>
      </c>
      <c r="B26" s="132">
        <f>B24-B25</f>
        <v>95.803558000503784</v>
      </c>
    </row>
    <row r="28" spans="1:7">
      <c r="A28" s="20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9189-507B-492C-B892-EA89AEC44AA6}">
  <dimension ref="A1:G6"/>
  <sheetViews>
    <sheetView workbookViewId="0">
      <selection activeCell="H4" sqref="H4"/>
    </sheetView>
  </sheetViews>
  <sheetFormatPr defaultRowHeight="15"/>
  <sheetData>
    <row r="1" spans="1:7">
      <c r="B1" s="2" t="s">
        <v>296</v>
      </c>
      <c r="C1" s="2" t="s">
        <v>297</v>
      </c>
      <c r="D1" s="2" t="s">
        <v>601</v>
      </c>
      <c r="E1" s="2"/>
    </row>
    <row r="2" spans="1:7">
      <c r="A2" t="s">
        <v>457</v>
      </c>
      <c r="B2" s="52">
        <v>0.1818181818181818</v>
      </c>
      <c r="C2" s="52">
        <v>0.81818181818181812</v>
      </c>
      <c r="D2" s="52">
        <v>-4.3636363636363633</v>
      </c>
    </row>
    <row r="3" spans="1:7">
      <c r="A3" t="s">
        <v>602</v>
      </c>
      <c r="B3">
        <v>0</v>
      </c>
      <c r="C3">
        <v>0</v>
      </c>
      <c r="D3">
        <v>1</v>
      </c>
      <c r="E3" s="101">
        <f t="shared" ref="E3:E5" si="0">SUMPRODUCT(B3:D3,$B$2:$D$2)</f>
        <v>-4.3636363636363633</v>
      </c>
      <c r="F3" s="2"/>
    </row>
    <row r="4" spans="1:7">
      <c r="A4" t="s">
        <v>603</v>
      </c>
      <c r="B4">
        <v>12</v>
      </c>
      <c r="C4">
        <v>-8</v>
      </c>
      <c r="D4">
        <v>-1</v>
      </c>
      <c r="E4">
        <f t="shared" si="0"/>
        <v>0</v>
      </c>
      <c r="F4" s="2" t="s">
        <v>220</v>
      </c>
      <c r="G4">
        <v>0</v>
      </c>
    </row>
    <row r="5" spans="1:7">
      <c r="A5" t="s">
        <v>604</v>
      </c>
      <c r="B5">
        <v>-6</v>
      </c>
      <c r="C5">
        <v>-4</v>
      </c>
      <c r="D5">
        <v>-1</v>
      </c>
      <c r="E5">
        <f t="shared" si="0"/>
        <v>0</v>
      </c>
      <c r="F5" s="2" t="s">
        <v>220</v>
      </c>
      <c r="G5">
        <v>0</v>
      </c>
    </row>
    <row r="6" spans="1:7">
      <c r="A6" t="s">
        <v>605</v>
      </c>
      <c r="B6">
        <v>1</v>
      </c>
      <c r="C6">
        <v>1</v>
      </c>
      <c r="D6">
        <v>0</v>
      </c>
      <c r="E6">
        <f>SUMPRODUCT(B6:D6,$B$2:$D$2)</f>
        <v>0.99999999999999989</v>
      </c>
      <c r="F6" s="2" t="s">
        <v>354</v>
      </c>
      <c r="G6">
        <v>1</v>
      </c>
    </row>
  </sheetData>
  <phoneticPr fontId="1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8"/>
  <sheetViews>
    <sheetView topLeftCell="D1" workbookViewId="0">
      <selection activeCell="L17" sqref="L17"/>
    </sheetView>
  </sheetViews>
  <sheetFormatPr defaultRowHeight="15"/>
  <cols>
    <col min="1" max="1" width="21.85546875" style="11" customWidth="1"/>
    <col min="2" max="5" width="16.85546875" style="11" customWidth="1"/>
    <col min="6" max="6" width="17.85546875" style="11" customWidth="1"/>
    <col min="7" max="7" width="11.5703125" style="11" customWidth="1"/>
    <col min="8" max="256" width="8.85546875" style="11"/>
    <col min="257" max="257" width="21.85546875" style="11" customWidth="1"/>
    <col min="258" max="261" width="16.85546875" style="11" customWidth="1"/>
    <col min="262" max="262" width="17.85546875" style="11" customWidth="1"/>
    <col min="263" max="263" width="11.5703125" style="11" customWidth="1"/>
    <col min="264" max="512" width="8.85546875" style="11"/>
    <col min="513" max="513" width="21.85546875" style="11" customWidth="1"/>
    <col min="514" max="517" width="16.85546875" style="11" customWidth="1"/>
    <col min="518" max="518" width="17.85546875" style="11" customWidth="1"/>
    <col min="519" max="519" width="11.5703125" style="11" customWidth="1"/>
    <col min="520" max="768" width="8.85546875" style="11"/>
    <col min="769" max="769" width="21.85546875" style="11" customWidth="1"/>
    <col min="770" max="773" width="16.85546875" style="11" customWidth="1"/>
    <col min="774" max="774" width="17.85546875" style="11" customWidth="1"/>
    <col min="775" max="775" width="11.5703125" style="11" customWidth="1"/>
    <col min="776" max="1024" width="8.85546875" style="11"/>
    <col min="1025" max="1025" width="21.85546875" style="11" customWidth="1"/>
    <col min="1026" max="1029" width="16.85546875" style="11" customWidth="1"/>
    <col min="1030" max="1030" width="17.85546875" style="11" customWidth="1"/>
    <col min="1031" max="1031" width="11.5703125" style="11" customWidth="1"/>
    <col min="1032" max="1280" width="8.85546875" style="11"/>
    <col min="1281" max="1281" width="21.85546875" style="11" customWidth="1"/>
    <col min="1282" max="1285" width="16.85546875" style="11" customWidth="1"/>
    <col min="1286" max="1286" width="17.85546875" style="11" customWidth="1"/>
    <col min="1287" max="1287" width="11.5703125" style="11" customWidth="1"/>
    <col min="1288" max="1536" width="8.85546875" style="11"/>
    <col min="1537" max="1537" width="21.85546875" style="11" customWidth="1"/>
    <col min="1538" max="1541" width="16.85546875" style="11" customWidth="1"/>
    <col min="1542" max="1542" width="17.85546875" style="11" customWidth="1"/>
    <col min="1543" max="1543" width="11.5703125" style="11" customWidth="1"/>
    <col min="1544" max="1792" width="8.85546875" style="11"/>
    <col min="1793" max="1793" width="21.85546875" style="11" customWidth="1"/>
    <col min="1794" max="1797" width="16.85546875" style="11" customWidth="1"/>
    <col min="1798" max="1798" width="17.85546875" style="11" customWidth="1"/>
    <col min="1799" max="1799" width="11.5703125" style="11" customWidth="1"/>
    <col min="1800" max="2048" width="8.85546875" style="11"/>
    <col min="2049" max="2049" width="21.85546875" style="11" customWidth="1"/>
    <col min="2050" max="2053" width="16.85546875" style="11" customWidth="1"/>
    <col min="2054" max="2054" width="17.85546875" style="11" customWidth="1"/>
    <col min="2055" max="2055" width="11.5703125" style="11" customWidth="1"/>
    <col min="2056" max="2304" width="8.85546875" style="11"/>
    <col min="2305" max="2305" width="21.85546875" style="11" customWidth="1"/>
    <col min="2306" max="2309" width="16.85546875" style="11" customWidth="1"/>
    <col min="2310" max="2310" width="17.85546875" style="11" customWidth="1"/>
    <col min="2311" max="2311" width="11.5703125" style="11" customWidth="1"/>
    <col min="2312" max="2560" width="8.85546875" style="11"/>
    <col min="2561" max="2561" width="21.85546875" style="11" customWidth="1"/>
    <col min="2562" max="2565" width="16.85546875" style="11" customWidth="1"/>
    <col min="2566" max="2566" width="17.85546875" style="11" customWidth="1"/>
    <col min="2567" max="2567" width="11.5703125" style="11" customWidth="1"/>
    <col min="2568" max="2816" width="8.85546875" style="11"/>
    <col min="2817" max="2817" width="21.85546875" style="11" customWidth="1"/>
    <col min="2818" max="2821" width="16.85546875" style="11" customWidth="1"/>
    <col min="2822" max="2822" width="17.85546875" style="11" customWidth="1"/>
    <col min="2823" max="2823" width="11.5703125" style="11" customWidth="1"/>
    <col min="2824" max="3072" width="8.85546875" style="11"/>
    <col min="3073" max="3073" width="21.85546875" style="11" customWidth="1"/>
    <col min="3074" max="3077" width="16.85546875" style="11" customWidth="1"/>
    <col min="3078" max="3078" width="17.85546875" style="11" customWidth="1"/>
    <col min="3079" max="3079" width="11.5703125" style="11" customWidth="1"/>
    <col min="3080" max="3328" width="8.85546875" style="11"/>
    <col min="3329" max="3329" width="21.85546875" style="11" customWidth="1"/>
    <col min="3330" max="3333" width="16.85546875" style="11" customWidth="1"/>
    <col min="3334" max="3334" width="17.85546875" style="11" customWidth="1"/>
    <col min="3335" max="3335" width="11.5703125" style="11" customWidth="1"/>
    <col min="3336" max="3584" width="8.85546875" style="11"/>
    <col min="3585" max="3585" width="21.85546875" style="11" customWidth="1"/>
    <col min="3586" max="3589" width="16.85546875" style="11" customWidth="1"/>
    <col min="3590" max="3590" width="17.85546875" style="11" customWidth="1"/>
    <col min="3591" max="3591" width="11.5703125" style="11" customWidth="1"/>
    <col min="3592" max="3840" width="8.85546875" style="11"/>
    <col min="3841" max="3841" width="21.85546875" style="11" customWidth="1"/>
    <col min="3842" max="3845" width="16.85546875" style="11" customWidth="1"/>
    <col min="3846" max="3846" width="17.85546875" style="11" customWidth="1"/>
    <col min="3847" max="3847" width="11.5703125" style="11" customWidth="1"/>
    <col min="3848" max="4096" width="8.85546875" style="11"/>
    <col min="4097" max="4097" width="21.85546875" style="11" customWidth="1"/>
    <col min="4098" max="4101" width="16.85546875" style="11" customWidth="1"/>
    <col min="4102" max="4102" width="17.85546875" style="11" customWidth="1"/>
    <col min="4103" max="4103" width="11.5703125" style="11" customWidth="1"/>
    <col min="4104" max="4352" width="8.85546875" style="11"/>
    <col min="4353" max="4353" width="21.85546875" style="11" customWidth="1"/>
    <col min="4354" max="4357" width="16.85546875" style="11" customWidth="1"/>
    <col min="4358" max="4358" width="17.85546875" style="11" customWidth="1"/>
    <col min="4359" max="4359" width="11.5703125" style="11" customWidth="1"/>
    <col min="4360" max="4608" width="8.85546875" style="11"/>
    <col min="4609" max="4609" width="21.85546875" style="11" customWidth="1"/>
    <col min="4610" max="4613" width="16.85546875" style="11" customWidth="1"/>
    <col min="4614" max="4614" width="17.85546875" style="11" customWidth="1"/>
    <col min="4615" max="4615" width="11.5703125" style="11" customWidth="1"/>
    <col min="4616" max="4864" width="8.85546875" style="11"/>
    <col min="4865" max="4865" width="21.85546875" style="11" customWidth="1"/>
    <col min="4866" max="4869" width="16.85546875" style="11" customWidth="1"/>
    <col min="4870" max="4870" width="17.85546875" style="11" customWidth="1"/>
    <col min="4871" max="4871" width="11.5703125" style="11" customWidth="1"/>
    <col min="4872" max="5120" width="8.85546875" style="11"/>
    <col min="5121" max="5121" width="21.85546875" style="11" customWidth="1"/>
    <col min="5122" max="5125" width="16.85546875" style="11" customWidth="1"/>
    <col min="5126" max="5126" width="17.85546875" style="11" customWidth="1"/>
    <col min="5127" max="5127" width="11.5703125" style="11" customWidth="1"/>
    <col min="5128" max="5376" width="8.85546875" style="11"/>
    <col min="5377" max="5377" width="21.85546875" style="11" customWidth="1"/>
    <col min="5378" max="5381" width="16.85546875" style="11" customWidth="1"/>
    <col min="5382" max="5382" width="17.85546875" style="11" customWidth="1"/>
    <col min="5383" max="5383" width="11.5703125" style="11" customWidth="1"/>
    <col min="5384" max="5632" width="8.85546875" style="11"/>
    <col min="5633" max="5633" width="21.85546875" style="11" customWidth="1"/>
    <col min="5634" max="5637" width="16.85546875" style="11" customWidth="1"/>
    <col min="5638" max="5638" width="17.85546875" style="11" customWidth="1"/>
    <col min="5639" max="5639" width="11.5703125" style="11" customWidth="1"/>
    <col min="5640" max="5888" width="8.85546875" style="11"/>
    <col min="5889" max="5889" width="21.85546875" style="11" customWidth="1"/>
    <col min="5890" max="5893" width="16.85546875" style="11" customWidth="1"/>
    <col min="5894" max="5894" width="17.85546875" style="11" customWidth="1"/>
    <col min="5895" max="5895" width="11.5703125" style="11" customWidth="1"/>
    <col min="5896" max="6144" width="8.85546875" style="11"/>
    <col min="6145" max="6145" width="21.85546875" style="11" customWidth="1"/>
    <col min="6146" max="6149" width="16.85546875" style="11" customWidth="1"/>
    <col min="6150" max="6150" width="17.85546875" style="11" customWidth="1"/>
    <col min="6151" max="6151" width="11.5703125" style="11" customWidth="1"/>
    <col min="6152" max="6400" width="8.85546875" style="11"/>
    <col min="6401" max="6401" width="21.85546875" style="11" customWidth="1"/>
    <col min="6402" max="6405" width="16.85546875" style="11" customWidth="1"/>
    <col min="6406" max="6406" width="17.85546875" style="11" customWidth="1"/>
    <col min="6407" max="6407" width="11.5703125" style="11" customWidth="1"/>
    <col min="6408" max="6656" width="8.85546875" style="11"/>
    <col min="6657" max="6657" width="21.85546875" style="11" customWidth="1"/>
    <col min="6658" max="6661" width="16.85546875" style="11" customWidth="1"/>
    <col min="6662" max="6662" width="17.85546875" style="11" customWidth="1"/>
    <col min="6663" max="6663" width="11.5703125" style="11" customWidth="1"/>
    <col min="6664" max="6912" width="8.85546875" style="11"/>
    <col min="6913" max="6913" width="21.85546875" style="11" customWidth="1"/>
    <col min="6914" max="6917" width="16.85546875" style="11" customWidth="1"/>
    <col min="6918" max="6918" width="17.85546875" style="11" customWidth="1"/>
    <col min="6919" max="6919" width="11.5703125" style="11" customWidth="1"/>
    <col min="6920" max="7168" width="8.85546875" style="11"/>
    <col min="7169" max="7169" width="21.85546875" style="11" customWidth="1"/>
    <col min="7170" max="7173" width="16.85546875" style="11" customWidth="1"/>
    <col min="7174" max="7174" width="17.85546875" style="11" customWidth="1"/>
    <col min="7175" max="7175" width="11.5703125" style="11" customWidth="1"/>
    <col min="7176" max="7424" width="8.85546875" style="11"/>
    <col min="7425" max="7425" width="21.85546875" style="11" customWidth="1"/>
    <col min="7426" max="7429" width="16.85546875" style="11" customWidth="1"/>
    <col min="7430" max="7430" width="17.85546875" style="11" customWidth="1"/>
    <col min="7431" max="7431" width="11.5703125" style="11" customWidth="1"/>
    <col min="7432" max="7680" width="8.85546875" style="11"/>
    <col min="7681" max="7681" width="21.85546875" style="11" customWidth="1"/>
    <col min="7682" max="7685" width="16.85546875" style="11" customWidth="1"/>
    <col min="7686" max="7686" width="17.85546875" style="11" customWidth="1"/>
    <col min="7687" max="7687" width="11.5703125" style="11" customWidth="1"/>
    <col min="7688" max="7936" width="8.85546875" style="11"/>
    <col min="7937" max="7937" width="21.85546875" style="11" customWidth="1"/>
    <col min="7938" max="7941" width="16.85546875" style="11" customWidth="1"/>
    <col min="7942" max="7942" width="17.85546875" style="11" customWidth="1"/>
    <col min="7943" max="7943" width="11.5703125" style="11" customWidth="1"/>
    <col min="7944" max="8192" width="8.85546875" style="11"/>
    <col min="8193" max="8193" width="21.85546875" style="11" customWidth="1"/>
    <col min="8194" max="8197" width="16.85546875" style="11" customWidth="1"/>
    <col min="8198" max="8198" width="17.85546875" style="11" customWidth="1"/>
    <col min="8199" max="8199" width="11.5703125" style="11" customWidth="1"/>
    <col min="8200" max="8448" width="8.85546875" style="11"/>
    <col min="8449" max="8449" width="21.85546875" style="11" customWidth="1"/>
    <col min="8450" max="8453" width="16.85546875" style="11" customWidth="1"/>
    <col min="8454" max="8454" width="17.85546875" style="11" customWidth="1"/>
    <col min="8455" max="8455" width="11.5703125" style="11" customWidth="1"/>
    <col min="8456" max="8704" width="8.85546875" style="11"/>
    <col min="8705" max="8705" width="21.85546875" style="11" customWidth="1"/>
    <col min="8706" max="8709" width="16.85546875" style="11" customWidth="1"/>
    <col min="8710" max="8710" width="17.85546875" style="11" customWidth="1"/>
    <col min="8711" max="8711" width="11.5703125" style="11" customWidth="1"/>
    <col min="8712" max="8960" width="8.85546875" style="11"/>
    <col min="8961" max="8961" width="21.85546875" style="11" customWidth="1"/>
    <col min="8962" max="8965" width="16.85546875" style="11" customWidth="1"/>
    <col min="8966" max="8966" width="17.85546875" style="11" customWidth="1"/>
    <col min="8967" max="8967" width="11.5703125" style="11" customWidth="1"/>
    <col min="8968" max="9216" width="8.85546875" style="11"/>
    <col min="9217" max="9217" width="21.85546875" style="11" customWidth="1"/>
    <col min="9218" max="9221" width="16.85546875" style="11" customWidth="1"/>
    <col min="9222" max="9222" width="17.85546875" style="11" customWidth="1"/>
    <col min="9223" max="9223" width="11.5703125" style="11" customWidth="1"/>
    <col min="9224" max="9472" width="8.85546875" style="11"/>
    <col min="9473" max="9473" width="21.85546875" style="11" customWidth="1"/>
    <col min="9474" max="9477" width="16.85546875" style="11" customWidth="1"/>
    <col min="9478" max="9478" width="17.85546875" style="11" customWidth="1"/>
    <col min="9479" max="9479" width="11.5703125" style="11" customWidth="1"/>
    <col min="9480" max="9728" width="8.85546875" style="11"/>
    <col min="9729" max="9729" width="21.85546875" style="11" customWidth="1"/>
    <col min="9730" max="9733" width="16.85546875" style="11" customWidth="1"/>
    <col min="9734" max="9734" width="17.85546875" style="11" customWidth="1"/>
    <col min="9735" max="9735" width="11.5703125" style="11" customWidth="1"/>
    <col min="9736" max="9984" width="8.85546875" style="11"/>
    <col min="9985" max="9985" width="21.85546875" style="11" customWidth="1"/>
    <col min="9986" max="9989" width="16.85546875" style="11" customWidth="1"/>
    <col min="9990" max="9990" width="17.85546875" style="11" customWidth="1"/>
    <col min="9991" max="9991" width="11.5703125" style="11" customWidth="1"/>
    <col min="9992" max="10240" width="8.85546875" style="11"/>
    <col min="10241" max="10241" width="21.85546875" style="11" customWidth="1"/>
    <col min="10242" max="10245" width="16.85546875" style="11" customWidth="1"/>
    <col min="10246" max="10246" width="17.85546875" style="11" customWidth="1"/>
    <col min="10247" max="10247" width="11.5703125" style="11" customWidth="1"/>
    <col min="10248" max="10496" width="8.85546875" style="11"/>
    <col min="10497" max="10497" width="21.85546875" style="11" customWidth="1"/>
    <col min="10498" max="10501" width="16.85546875" style="11" customWidth="1"/>
    <col min="10502" max="10502" width="17.85546875" style="11" customWidth="1"/>
    <col min="10503" max="10503" width="11.5703125" style="11" customWidth="1"/>
    <col min="10504" max="10752" width="8.85546875" style="11"/>
    <col min="10753" max="10753" width="21.85546875" style="11" customWidth="1"/>
    <col min="10754" max="10757" width="16.85546875" style="11" customWidth="1"/>
    <col min="10758" max="10758" width="17.85546875" style="11" customWidth="1"/>
    <col min="10759" max="10759" width="11.5703125" style="11" customWidth="1"/>
    <col min="10760" max="11008" width="8.85546875" style="11"/>
    <col min="11009" max="11009" width="21.85546875" style="11" customWidth="1"/>
    <col min="11010" max="11013" width="16.85546875" style="11" customWidth="1"/>
    <col min="11014" max="11014" width="17.85546875" style="11" customWidth="1"/>
    <col min="11015" max="11015" width="11.5703125" style="11" customWidth="1"/>
    <col min="11016" max="11264" width="8.85546875" style="11"/>
    <col min="11265" max="11265" width="21.85546875" style="11" customWidth="1"/>
    <col min="11266" max="11269" width="16.85546875" style="11" customWidth="1"/>
    <col min="11270" max="11270" width="17.85546875" style="11" customWidth="1"/>
    <col min="11271" max="11271" width="11.5703125" style="11" customWidth="1"/>
    <col min="11272" max="11520" width="8.85546875" style="11"/>
    <col min="11521" max="11521" width="21.85546875" style="11" customWidth="1"/>
    <col min="11522" max="11525" width="16.85546875" style="11" customWidth="1"/>
    <col min="11526" max="11526" width="17.85546875" style="11" customWidth="1"/>
    <col min="11527" max="11527" width="11.5703125" style="11" customWidth="1"/>
    <col min="11528" max="11776" width="8.85546875" style="11"/>
    <col min="11777" max="11777" width="21.85546875" style="11" customWidth="1"/>
    <col min="11778" max="11781" width="16.85546875" style="11" customWidth="1"/>
    <col min="11782" max="11782" width="17.85546875" style="11" customWidth="1"/>
    <col min="11783" max="11783" width="11.5703125" style="11" customWidth="1"/>
    <col min="11784" max="12032" width="8.85546875" style="11"/>
    <col min="12033" max="12033" width="21.85546875" style="11" customWidth="1"/>
    <col min="12034" max="12037" width="16.85546875" style="11" customWidth="1"/>
    <col min="12038" max="12038" width="17.85546875" style="11" customWidth="1"/>
    <col min="12039" max="12039" width="11.5703125" style="11" customWidth="1"/>
    <col min="12040" max="12288" width="8.85546875" style="11"/>
    <col min="12289" max="12289" width="21.85546875" style="11" customWidth="1"/>
    <col min="12290" max="12293" width="16.85546875" style="11" customWidth="1"/>
    <col min="12294" max="12294" width="17.85546875" style="11" customWidth="1"/>
    <col min="12295" max="12295" width="11.5703125" style="11" customWidth="1"/>
    <col min="12296" max="12544" width="8.85546875" style="11"/>
    <col min="12545" max="12545" width="21.85546875" style="11" customWidth="1"/>
    <col min="12546" max="12549" width="16.85546875" style="11" customWidth="1"/>
    <col min="12550" max="12550" width="17.85546875" style="11" customWidth="1"/>
    <col min="12551" max="12551" width="11.5703125" style="11" customWidth="1"/>
    <col min="12552" max="12800" width="8.85546875" style="11"/>
    <col min="12801" max="12801" width="21.85546875" style="11" customWidth="1"/>
    <col min="12802" max="12805" width="16.85546875" style="11" customWidth="1"/>
    <col min="12806" max="12806" width="17.85546875" style="11" customWidth="1"/>
    <col min="12807" max="12807" width="11.5703125" style="11" customWidth="1"/>
    <col min="12808" max="13056" width="8.85546875" style="11"/>
    <col min="13057" max="13057" width="21.85546875" style="11" customWidth="1"/>
    <col min="13058" max="13061" width="16.85546875" style="11" customWidth="1"/>
    <col min="13062" max="13062" width="17.85546875" style="11" customWidth="1"/>
    <col min="13063" max="13063" width="11.5703125" style="11" customWidth="1"/>
    <col min="13064" max="13312" width="8.85546875" style="11"/>
    <col min="13313" max="13313" width="21.85546875" style="11" customWidth="1"/>
    <col min="13314" max="13317" width="16.85546875" style="11" customWidth="1"/>
    <col min="13318" max="13318" width="17.85546875" style="11" customWidth="1"/>
    <col min="13319" max="13319" width="11.5703125" style="11" customWidth="1"/>
    <col min="13320" max="13568" width="8.85546875" style="11"/>
    <col min="13569" max="13569" width="21.85546875" style="11" customWidth="1"/>
    <col min="13570" max="13573" width="16.85546875" style="11" customWidth="1"/>
    <col min="13574" max="13574" width="17.85546875" style="11" customWidth="1"/>
    <col min="13575" max="13575" width="11.5703125" style="11" customWidth="1"/>
    <col min="13576" max="13824" width="8.85546875" style="11"/>
    <col min="13825" max="13825" width="21.85546875" style="11" customWidth="1"/>
    <col min="13826" max="13829" width="16.85546875" style="11" customWidth="1"/>
    <col min="13830" max="13830" width="17.85546875" style="11" customWidth="1"/>
    <col min="13831" max="13831" width="11.5703125" style="11" customWidth="1"/>
    <col min="13832" max="14080" width="8.85546875" style="11"/>
    <col min="14081" max="14081" width="21.85546875" style="11" customWidth="1"/>
    <col min="14082" max="14085" width="16.85546875" style="11" customWidth="1"/>
    <col min="14086" max="14086" width="17.85546875" style="11" customWidth="1"/>
    <col min="14087" max="14087" width="11.5703125" style="11" customWidth="1"/>
    <col min="14088" max="14336" width="8.85546875" style="11"/>
    <col min="14337" max="14337" width="21.85546875" style="11" customWidth="1"/>
    <col min="14338" max="14341" width="16.85546875" style="11" customWidth="1"/>
    <col min="14342" max="14342" width="17.85546875" style="11" customWidth="1"/>
    <col min="14343" max="14343" width="11.5703125" style="11" customWidth="1"/>
    <col min="14344" max="14592" width="8.85546875" style="11"/>
    <col min="14593" max="14593" width="21.85546875" style="11" customWidth="1"/>
    <col min="14594" max="14597" width="16.85546875" style="11" customWidth="1"/>
    <col min="14598" max="14598" width="17.85546875" style="11" customWidth="1"/>
    <col min="14599" max="14599" width="11.5703125" style="11" customWidth="1"/>
    <col min="14600" max="14848" width="8.85546875" style="11"/>
    <col min="14849" max="14849" width="21.85546875" style="11" customWidth="1"/>
    <col min="14850" max="14853" width="16.85546875" style="11" customWidth="1"/>
    <col min="14854" max="14854" width="17.85546875" style="11" customWidth="1"/>
    <col min="14855" max="14855" width="11.5703125" style="11" customWidth="1"/>
    <col min="14856" max="15104" width="8.85546875" style="11"/>
    <col min="15105" max="15105" width="21.85546875" style="11" customWidth="1"/>
    <col min="15106" max="15109" width="16.85546875" style="11" customWidth="1"/>
    <col min="15110" max="15110" width="17.85546875" style="11" customWidth="1"/>
    <col min="15111" max="15111" width="11.5703125" style="11" customWidth="1"/>
    <col min="15112" max="15360" width="8.85546875" style="11"/>
    <col min="15361" max="15361" width="21.85546875" style="11" customWidth="1"/>
    <col min="15362" max="15365" width="16.85546875" style="11" customWidth="1"/>
    <col min="15366" max="15366" width="17.85546875" style="11" customWidth="1"/>
    <col min="15367" max="15367" width="11.5703125" style="11" customWidth="1"/>
    <col min="15368" max="15616" width="8.85546875" style="11"/>
    <col min="15617" max="15617" width="21.85546875" style="11" customWidth="1"/>
    <col min="15618" max="15621" width="16.85546875" style="11" customWidth="1"/>
    <col min="15622" max="15622" width="17.85546875" style="11" customWidth="1"/>
    <col min="15623" max="15623" width="11.5703125" style="11" customWidth="1"/>
    <col min="15624" max="15872" width="8.85546875" style="11"/>
    <col min="15873" max="15873" width="21.85546875" style="11" customWidth="1"/>
    <col min="15874" max="15877" width="16.85546875" style="11" customWidth="1"/>
    <col min="15878" max="15878" width="17.85546875" style="11" customWidth="1"/>
    <col min="15879" max="15879" width="11.5703125" style="11" customWidth="1"/>
    <col min="15880" max="16128" width="8.85546875" style="11"/>
    <col min="16129" max="16129" width="21.85546875" style="11" customWidth="1"/>
    <col min="16130" max="16133" width="16.85546875" style="11" customWidth="1"/>
    <col min="16134" max="16134" width="17.85546875" style="11" customWidth="1"/>
    <col min="16135" max="16135" width="11.5703125" style="11" customWidth="1"/>
    <col min="16136" max="16384" width="8.85546875" style="11"/>
  </cols>
  <sheetData>
    <row r="1" spans="1:9">
      <c r="A1" s="25" t="s">
        <v>259</v>
      </c>
      <c r="H1" s="33"/>
    </row>
    <row r="2" spans="1:9">
      <c r="H2" s="33"/>
    </row>
    <row r="3" spans="1:9">
      <c r="A3" s="10" t="s">
        <v>260</v>
      </c>
    </row>
    <row r="4" spans="1:9">
      <c r="B4" s="21" t="s">
        <v>261</v>
      </c>
      <c r="C4" s="21" t="s">
        <v>262</v>
      </c>
      <c r="D4" s="21" t="s">
        <v>263</v>
      </c>
    </row>
    <row r="5" spans="1:9">
      <c r="A5" s="11" t="s">
        <v>264</v>
      </c>
      <c r="B5" s="13">
        <v>0.14000000000000001</v>
      </c>
      <c r="C5" s="13">
        <v>0.11</v>
      </c>
      <c r="D5" s="13">
        <v>0.1</v>
      </c>
    </row>
    <row r="6" spans="1:9">
      <c r="A6" s="11" t="s">
        <v>265</v>
      </c>
      <c r="B6" s="13">
        <v>0.2</v>
      </c>
      <c r="C6" s="13">
        <v>0.15</v>
      </c>
      <c r="D6" s="13">
        <v>0.08</v>
      </c>
    </row>
    <row r="8" spans="1:9">
      <c r="A8" s="11" t="s">
        <v>266</v>
      </c>
      <c r="B8" s="21" t="s">
        <v>261</v>
      </c>
      <c r="C8" s="21" t="s">
        <v>262</v>
      </c>
      <c r="D8" s="21" t="s">
        <v>263</v>
      </c>
      <c r="F8" s="11" t="s">
        <v>267</v>
      </c>
      <c r="G8" s="21" t="s">
        <v>261</v>
      </c>
      <c r="H8" s="21" t="s">
        <v>262</v>
      </c>
      <c r="I8" s="21" t="s">
        <v>263</v>
      </c>
    </row>
    <row r="9" spans="1:9">
      <c r="A9" s="11" t="s">
        <v>261</v>
      </c>
      <c r="B9" s="13">
        <v>1</v>
      </c>
      <c r="C9" s="13">
        <v>0.6</v>
      </c>
      <c r="D9" s="13">
        <v>0.4</v>
      </c>
      <c r="F9" s="11" t="s">
        <v>261</v>
      </c>
      <c r="G9" s="56"/>
      <c r="H9" s="64"/>
      <c r="I9" s="57"/>
    </row>
    <row r="10" spans="1:9">
      <c r="A10" s="11" t="s">
        <v>262</v>
      </c>
      <c r="B10" s="13">
        <v>0.6</v>
      </c>
      <c r="C10" s="13">
        <v>1</v>
      </c>
      <c r="D10" s="13">
        <v>0.7</v>
      </c>
      <c r="F10" s="11" t="s">
        <v>262</v>
      </c>
      <c r="G10" s="65"/>
      <c r="I10" s="66"/>
    </row>
    <row r="11" spans="1:9">
      <c r="A11" s="11" t="s">
        <v>263</v>
      </c>
      <c r="B11" s="13">
        <v>0.4</v>
      </c>
      <c r="C11" s="13">
        <v>0.7</v>
      </c>
      <c r="D11" s="13">
        <v>1</v>
      </c>
      <c r="F11" s="11" t="s">
        <v>263</v>
      </c>
      <c r="G11" s="58"/>
      <c r="H11" s="67"/>
      <c r="I11" s="59"/>
    </row>
    <row r="13" spans="1:9">
      <c r="A13" s="20" t="s">
        <v>268</v>
      </c>
    </row>
    <row r="14" spans="1:9">
      <c r="B14" s="21" t="s">
        <v>261</v>
      </c>
      <c r="C14" s="21" t="s">
        <v>262</v>
      </c>
      <c r="D14" s="21" t="s">
        <v>263</v>
      </c>
      <c r="E14" s="23"/>
      <c r="F14" s="25"/>
      <c r="G14" s="23"/>
    </row>
    <row r="15" spans="1:9">
      <c r="A15" s="17" t="s">
        <v>269</v>
      </c>
      <c r="B15" s="16"/>
      <c r="C15" s="16"/>
      <c r="D15" s="16"/>
      <c r="F15" s="17"/>
    </row>
    <row r="16" spans="1:9">
      <c r="F16" s="22"/>
    </row>
    <row r="17" spans="1:6">
      <c r="A17" s="20" t="s">
        <v>270</v>
      </c>
      <c r="F17" s="22"/>
    </row>
    <row r="18" spans="1:6">
      <c r="B18" s="23" t="s">
        <v>271</v>
      </c>
      <c r="C18" s="23"/>
      <c r="D18" s="23" t="s">
        <v>272</v>
      </c>
      <c r="F18" s="22"/>
    </row>
    <row r="19" spans="1:6">
      <c r="B19" s="40"/>
      <c r="C19" s="29"/>
      <c r="D19" s="28"/>
      <c r="F19" s="22"/>
    </row>
    <row r="20" spans="1:6">
      <c r="F20" s="22"/>
    </row>
    <row r="21" spans="1:6">
      <c r="A21" s="25" t="s">
        <v>273</v>
      </c>
    </row>
    <row r="22" spans="1:6">
      <c r="B22" s="23" t="s">
        <v>274</v>
      </c>
      <c r="C22" s="23"/>
      <c r="D22" s="23" t="s">
        <v>275</v>
      </c>
    </row>
    <row r="23" spans="1:6">
      <c r="B23" s="40"/>
      <c r="C23" s="36"/>
      <c r="D23" s="68">
        <v>0.12</v>
      </c>
    </row>
    <row r="25" spans="1:6">
      <c r="A25" s="20" t="s">
        <v>276</v>
      </c>
      <c r="B25" s="12"/>
    </row>
    <row r="26" spans="1:6">
      <c r="A26" s="11" t="s">
        <v>277</v>
      </c>
      <c r="B26" s="12"/>
    </row>
    <row r="28" spans="1:6">
      <c r="A28" s="20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D1EC8-752F-43D6-B790-5A15DDCDB8C8}">
  <dimension ref="A1:L15"/>
  <sheetViews>
    <sheetView zoomScaleNormal="100" workbookViewId="0">
      <selection activeCell="H21" sqref="H21"/>
    </sheetView>
  </sheetViews>
  <sheetFormatPr defaultRowHeight="15"/>
  <cols>
    <col min="1" max="1" width="36.28515625" bestFit="1" customWidth="1"/>
    <col min="5" max="5" width="19" customWidth="1"/>
    <col min="6" max="6" width="19.5703125" bestFit="1" customWidth="1"/>
    <col min="11" max="11" width="3" bestFit="1" customWidth="1"/>
  </cols>
  <sheetData>
    <row r="1" spans="1:12" ht="20.25" thickBot="1">
      <c r="A1" s="89" t="s">
        <v>394</v>
      </c>
      <c r="E1" s="89" t="s">
        <v>393</v>
      </c>
    </row>
    <row r="2" spans="1:12" ht="15.75" thickTop="1">
      <c r="A2" t="s">
        <v>395</v>
      </c>
      <c r="B2">
        <v>240000</v>
      </c>
      <c r="F2" t="s">
        <v>371</v>
      </c>
      <c r="G2" s="79">
        <v>0.25</v>
      </c>
    </row>
    <row r="3" spans="1:12">
      <c r="A3" t="s">
        <v>396</v>
      </c>
      <c r="B3">
        <v>15000</v>
      </c>
      <c r="F3" t="s">
        <v>369</v>
      </c>
      <c r="G3" s="79">
        <v>1</v>
      </c>
      <c r="H3" s="79">
        <v>2</v>
      </c>
      <c r="I3" s="79">
        <v>3</v>
      </c>
    </row>
    <row r="4" spans="1:12">
      <c r="A4" t="s">
        <v>397</v>
      </c>
      <c r="B4">
        <v>7.68</v>
      </c>
      <c r="F4" t="s">
        <v>377</v>
      </c>
      <c r="G4" s="79">
        <v>850</v>
      </c>
      <c r="H4" s="79">
        <v>1280</v>
      </c>
      <c r="I4" s="79">
        <v>630</v>
      </c>
    </row>
    <row r="5" spans="1:12">
      <c r="A5" s="128"/>
      <c r="B5" s="128"/>
      <c r="F5" t="s">
        <v>370</v>
      </c>
      <c r="G5" s="79">
        <v>0.28999999999999998</v>
      </c>
      <c r="H5" s="79">
        <v>0.45</v>
      </c>
      <c r="I5" s="79">
        <v>0.25</v>
      </c>
    </row>
    <row r="6" spans="1:12">
      <c r="A6" t="s">
        <v>596</v>
      </c>
      <c r="B6" s="52">
        <v>30618.621786410153</v>
      </c>
      <c r="F6" t="s">
        <v>378</v>
      </c>
      <c r="G6" s="79">
        <v>100</v>
      </c>
      <c r="H6" s="79">
        <v>100</v>
      </c>
      <c r="I6" s="79">
        <v>100</v>
      </c>
    </row>
    <row r="7" spans="1:12" ht="30">
      <c r="A7" s="129" t="s">
        <v>598</v>
      </c>
      <c r="B7">
        <f>B2/B6</f>
        <v>7.8383671764913405</v>
      </c>
      <c r="F7" t="s">
        <v>379</v>
      </c>
    </row>
    <row r="8" spans="1:12" ht="30">
      <c r="A8" s="129" t="s">
        <v>599</v>
      </c>
      <c r="B8">
        <f>B6/2</f>
        <v>15309.310893205076</v>
      </c>
      <c r="F8" t="s">
        <v>380</v>
      </c>
      <c r="G8" s="79">
        <v>0.5</v>
      </c>
      <c r="H8" s="79">
        <v>0.4</v>
      </c>
      <c r="I8" s="79">
        <v>1</v>
      </c>
    </row>
    <row r="9" spans="1:12" ht="30">
      <c r="A9" s="129" t="s">
        <v>597</v>
      </c>
      <c r="B9">
        <f>B3*B7</f>
        <v>117575.5076473701</v>
      </c>
      <c r="F9" t="s">
        <v>372</v>
      </c>
      <c r="G9" s="52"/>
      <c r="H9" s="52"/>
      <c r="I9" s="52"/>
    </row>
    <row r="10" spans="1:12">
      <c r="A10" t="s">
        <v>398</v>
      </c>
      <c r="B10">
        <f>B8*B4</f>
        <v>117575.50765981498</v>
      </c>
    </row>
    <row r="11" spans="1:12">
      <c r="A11" t="s">
        <v>399</v>
      </c>
      <c r="B11" s="101">
        <f>B9+B10</f>
        <v>235151.01530718507</v>
      </c>
      <c r="F11" t="s">
        <v>374</v>
      </c>
    </row>
    <row r="12" spans="1:12" ht="15.75" thickBot="1">
      <c r="F12" t="s">
        <v>375</v>
      </c>
    </row>
    <row r="13" spans="1:12" ht="15.75" thickBot="1">
      <c r="F13" t="s">
        <v>376</v>
      </c>
      <c r="J13" s="51"/>
    </row>
    <row r="15" spans="1:12">
      <c r="F15" t="s">
        <v>373</v>
      </c>
      <c r="K15" s="73" t="s">
        <v>278</v>
      </c>
      <c r="L15">
        <v>1000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3241-7CED-4A17-BDC1-56C6BD21859E}">
  <dimension ref="A1:I16"/>
  <sheetViews>
    <sheetView workbookViewId="0">
      <selection activeCell="P18" sqref="P18"/>
    </sheetView>
  </sheetViews>
  <sheetFormatPr defaultRowHeight="15"/>
  <cols>
    <col min="1" max="4" width="9" bestFit="1" customWidth="1"/>
    <col min="5" max="5" width="15.5703125" bestFit="1" customWidth="1"/>
    <col min="6" max="6" width="9" bestFit="1" customWidth="1"/>
    <col min="7" max="7" width="13.140625" bestFit="1" customWidth="1"/>
    <col min="8" max="8" width="3" bestFit="1" customWidth="1"/>
    <col min="9" max="9" width="9" bestFit="1" customWidth="1"/>
  </cols>
  <sheetData>
    <row r="1" spans="1:9" ht="18">
      <c r="B1" s="86" t="s">
        <v>386</v>
      </c>
      <c r="C1" s="86" t="s">
        <v>387</v>
      </c>
      <c r="D1" s="86" t="s">
        <v>388</v>
      </c>
      <c r="F1" t="s">
        <v>381</v>
      </c>
    </row>
    <row r="2" spans="1:9">
      <c r="B2" s="52">
        <v>-6</v>
      </c>
      <c r="C2" s="52">
        <v>0.9</v>
      </c>
      <c r="D2" s="52">
        <v>0.4</v>
      </c>
      <c r="F2" s="52">
        <v>1.6</v>
      </c>
    </row>
    <row r="4" spans="1:9" s="81" customFormat="1" ht="18.75">
      <c r="A4" s="81" t="s">
        <v>382</v>
      </c>
      <c r="B4" s="81" t="s">
        <v>383</v>
      </c>
      <c r="C4" s="84" t="s">
        <v>389</v>
      </c>
      <c r="D4" s="84" t="s">
        <v>390</v>
      </c>
      <c r="E4" s="87" t="s">
        <v>391</v>
      </c>
      <c r="F4" s="84" t="s">
        <v>384</v>
      </c>
      <c r="G4" s="88" t="s">
        <v>392</v>
      </c>
      <c r="I4" s="81" t="s">
        <v>381</v>
      </c>
    </row>
    <row r="5" spans="1:9" s="81" customFormat="1">
      <c r="A5" s="82">
        <v>1</v>
      </c>
      <c r="B5" s="82">
        <v>1</v>
      </c>
      <c r="C5" s="85">
        <v>2.7</v>
      </c>
      <c r="D5" s="85">
        <v>5.5</v>
      </c>
      <c r="E5" s="82">
        <f>SUMPRODUCT(B5:D5,$B$2:$D$2)</f>
        <v>-1.3699999999999997</v>
      </c>
      <c r="F5" s="85">
        <v>-1</v>
      </c>
      <c r="G5" s="82">
        <f>F5*E5</f>
        <v>1.3699999999999997</v>
      </c>
      <c r="H5" s="83" t="s">
        <v>220</v>
      </c>
      <c r="I5" s="81">
        <f>$F$2</f>
        <v>1.6</v>
      </c>
    </row>
    <row r="6" spans="1:9" s="81" customFormat="1">
      <c r="A6" s="82">
        <v>2</v>
      </c>
      <c r="B6" s="82">
        <v>1</v>
      </c>
      <c r="C6" s="85">
        <v>8</v>
      </c>
      <c r="D6" s="85">
        <v>9.1</v>
      </c>
      <c r="E6" s="82">
        <f t="shared" ref="E6:E14" si="0">SUMPRODUCT(B6:D6,$B$2:$D$2)</f>
        <v>4.84</v>
      </c>
      <c r="F6" s="85">
        <v>1</v>
      </c>
      <c r="G6" s="82">
        <f t="shared" ref="G6:G14" si="1">F6*E6</f>
        <v>4.84</v>
      </c>
      <c r="I6" s="81">
        <f t="shared" ref="I6:I14" si="2">$F$2</f>
        <v>1.6</v>
      </c>
    </row>
    <row r="7" spans="1:9" s="81" customFormat="1">
      <c r="A7" s="82">
        <v>3</v>
      </c>
      <c r="B7" s="82">
        <v>1</v>
      </c>
      <c r="C7" s="85">
        <v>0.9</v>
      </c>
      <c r="D7" s="85">
        <v>4.7</v>
      </c>
      <c r="E7" s="82">
        <f t="shared" si="0"/>
        <v>-3.3099999999999996</v>
      </c>
      <c r="F7" s="85">
        <v>-1</v>
      </c>
      <c r="G7" s="82">
        <f t="shared" si="1"/>
        <v>3.3099999999999996</v>
      </c>
      <c r="I7" s="81">
        <f t="shared" si="2"/>
        <v>1.6</v>
      </c>
    </row>
    <row r="8" spans="1:9" s="81" customFormat="1">
      <c r="A8" s="82">
        <v>4</v>
      </c>
      <c r="B8" s="82">
        <v>1</v>
      </c>
      <c r="C8" s="85">
        <v>1.1000000000000001</v>
      </c>
      <c r="D8" s="85">
        <v>3.1</v>
      </c>
      <c r="E8" s="82">
        <f t="shared" si="0"/>
        <v>-3.7699999999999996</v>
      </c>
      <c r="F8" s="85">
        <v>-1</v>
      </c>
      <c r="G8" s="82">
        <f t="shared" si="1"/>
        <v>3.7699999999999996</v>
      </c>
      <c r="I8" s="81">
        <f t="shared" si="2"/>
        <v>1.6</v>
      </c>
    </row>
    <row r="9" spans="1:9" s="81" customFormat="1">
      <c r="A9" s="82">
        <v>5</v>
      </c>
      <c r="B9" s="82">
        <v>1</v>
      </c>
      <c r="C9" s="85">
        <v>5.4</v>
      </c>
      <c r="D9" s="85">
        <v>8.5</v>
      </c>
      <c r="E9" s="82">
        <f t="shared" si="0"/>
        <v>2.2600000000000007</v>
      </c>
      <c r="F9" s="85">
        <v>1</v>
      </c>
      <c r="G9" s="82">
        <f t="shared" si="1"/>
        <v>2.2600000000000007</v>
      </c>
      <c r="I9" s="81">
        <f t="shared" si="2"/>
        <v>1.6</v>
      </c>
    </row>
    <row r="10" spans="1:9" s="81" customFormat="1">
      <c r="A10" s="82">
        <v>6</v>
      </c>
      <c r="B10" s="82">
        <v>1</v>
      </c>
      <c r="C10" s="85">
        <v>2.9</v>
      </c>
      <c r="D10" s="85">
        <v>1.9</v>
      </c>
      <c r="E10" s="82">
        <f t="shared" si="0"/>
        <v>-2.63</v>
      </c>
      <c r="F10" s="85">
        <v>-1</v>
      </c>
      <c r="G10" s="82">
        <f t="shared" si="1"/>
        <v>2.63</v>
      </c>
      <c r="I10" s="81">
        <f t="shared" si="2"/>
        <v>1.6</v>
      </c>
    </row>
    <row r="11" spans="1:9" s="81" customFormat="1">
      <c r="A11" s="82">
        <v>7</v>
      </c>
      <c r="B11" s="82">
        <v>1</v>
      </c>
      <c r="C11" s="85">
        <v>6.1</v>
      </c>
      <c r="D11" s="85">
        <v>6.6</v>
      </c>
      <c r="E11" s="82">
        <f t="shared" si="0"/>
        <v>2.1300000000000003</v>
      </c>
      <c r="F11" s="85">
        <v>1</v>
      </c>
      <c r="G11" s="82">
        <f t="shared" si="1"/>
        <v>2.1300000000000003</v>
      </c>
      <c r="I11" s="81">
        <f t="shared" si="2"/>
        <v>1.6</v>
      </c>
    </row>
    <row r="12" spans="1:9" s="81" customFormat="1">
      <c r="A12" s="82">
        <v>8</v>
      </c>
      <c r="B12" s="82">
        <v>1</v>
      </c>
      <c r="C12" s="85">
        <v>0.5</v>
      </c>
      <c r="D12" s="85">
        <v>1</v>
      </c>
      <c r="E12" s="82">
        <f t="shared" si="0"/>
        <v>-5.1499999999999995</v>
      </c>
      <c r="F12" s="85">
        <v>-1</v>
      </c>
      <c r="G12" s="82">
        <f t="shared" si="1"/>
        <v>5.1499999999999995</v>
      </c>
      <c r="I12" s="81">
        <f t="shared" si="2"/>
        <v>1.6</v>
      </c>
    </row>
    <row r="13" spans="1:9" s="81" customFormat="1">
      <c r="A13" s="82">
        <v>9</v>
      </c>
      <c r="B13" s="82">
        <v>1</v>
      </c>
      <c r="C13" s="85">
        <v>8.3000000000000007</v>
      </c>
      <c r="D13" s="85">
        <v>6.6</v>
      </c>
      <c r="E13" s="82">
        <f t="shared" si="0"/>
        <v>4.1100000000000012</v>
      </c>
      <c r="F13" s="85">
        <v>1</v>
      </c>
      <c r="G13" s="82">
        <f t="shared" si="1"/>
        <v>4.1100000000000012</v>
      </c>
      <c r="I13" s="81">
        <f t="shared" si="2"/>
        <v>1.6</v>
      </c>
    </row>
    <row r="14" spans="1:9" s="81" customFormat="1">
      <c r="A14" s="82">
        <v>10</v>
      </c>
      <c r="B14" s="82">
        <v>1</v>
      </c>
      <c r="C14" s="85">
        <v>8.1</v>
      </c>
      <c r="D14" s="85">
        <v>4.7</v>
      </c>
      <c r="E14" s="82">
        <f t="shared" si="0"/>
        <v>3.17</v>
      </c>
      <c r="F14" s="85">
        <v>1</v>
      </c>
      <c r="G14" s="82">
        <f t="shared" si="1"/>
        <v>3.17</v>
      </c>
      <c r="I14" s="81">
        <f t="shared" si="2"/>
        <v>1.6</v>
      </c>
    </row>
    <row r="16" spans="1:9" ht="18.75">
      <c r="C16" s="86" t="s">
        <v>385</v>
      </c>
      <c r="D16">
        <f>C2^2 + D2^2</f>
        <v>0.97000000000000008</v>
      </c>
      <c r="E16" s="73" t="s">
        <v>354</v>
      </c>
      <c r="F16" s="80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14198-B56A-4E6A-9111-45ED4BF145FD}">
  <dimension ref="A2:J21"/>
  <sheetViews>
    <sheetView workbookViewId="0">
      <selection activeCell="W12" sqref="W12"/>
    </sheetView>
  </sheetViews>
  <sheetFormatPr defaultRowHeight="15"/>
  <sheetData>
    <row r="2" spans="1:10">
      <c r="A2" t="s">
        <v>400</v>
      </c>
      <c r="G2" t="s">
        <v>408</v>
      </c>
      <c r="H2" t="s">
        <v>409</v>
      </c>
      <c r="J2" t="s">
        <v>412</v>
      </c>
    </row>
    <row r="3" spans="1:10">
      <c r="A3">
        <v>22</v>
      </c>
      <c r="G3" s="52">
        <v>15</v>
      </c>
      <c r="H3" s="52">
        <v>-1.2</v>
      </c>
      <c r="J3">
        <f>SUMSQ(J6:J15)</f>
        <v>164.82</v>
      </c>
    </row>
    <row r="4" spans="1:10">
      <c r="A4">
        <v>15</v>
      </c>
    </row>
    <row r="5" spans="1:10">
      <c r="A5">
        <v>17</v>
      </c>
      <c r="F5" t="s">
        <v>413</v>
      </c>
      <c r="G5" t="s">
        <v>290</v>
      </c>
      <c r="H5" t="s">
        <v>54</v>
      </c>
      <c r="I5" t="s">
        <v>410</v>
      </c>
      <c r="J5" t="s">
        <v>411</v>
      </c>
    </row>
    <row r="6" spans="1:10">
      <c r="A6">
        <v>33</v>
      </c>
      <c r="F6">
        <v>1</v>
      </c>
      <c r="G6">
        <v>10</v>
      </c>
      <c r="H6">
        <v>1.3</v>
      </c>
      <c r="I6">
        <f>$G$3+$H$3*G6</f>
        <v>3</v>
      </c>
      <c r="J6">
        <f>H6-I6</f>
        <v>-1.7</v>
      </c>
    </row>
    <row r="7" spans="1:10">
      <c r="A7">
        <v>16</v>
      </c>
      <c r="F7">
        <v>2</v>
      </c>
      <c r="G7">
        <v>9</v>
      </c>
      <c r="H7">
        <v>2</v>
      </c>
      <c r="I7">
        <f t="shared" ref="I7:I15" si="0">$G$3+$H$3*G7</f>
        <v>4.2000000000000011</v>
      </c>
      <c r="J7">
        <f t="shared" ref="J7:J15" si="1">H7-I7</f>
        <v>-2.2000000000000011</v>
      </c>
    </row>
    <row r="8" spans="1:10">
      <c r="A8">
        <v>22</v>
      </c>
      <c r="F8">
        <v>3</v>
      </c>
      <c r="G8">
        <v>8</v>
      </c>
      <c r="H8">
        <v>2.4</v>
      </c>
      <c r="I8">
        <f t="shared" si="0"/>
        <v>5.4</v>
      </c>
      <c r="J8">
        <f t="shared" si="1"/>
        <v>-3.0000000000000004</v>
      </c>
    </row>
    <row r="9" spans="1:10">
      <c r="A9">
        <v>22</v>
      </c>
      <c r="F9">
        <v>4</v>
      </c>
      <c r="G9">
        <v>7</v>
      </c>
      <c r="H9">
        <v>2.7</v>
      </c>
      <c r="I9">
        <f t="shared" si="0"/>
        <v>6.6</v>
      </c>
      <c r="J9">
        <f t="shared" si="1"/>
        <v>-3.8999999999999995</v>
      </c>
    </row>
    <row r="10" spans="1:10">
      <c r="A10">
        <v>15</v>
      </c>
      <c r="F10">
        <v>5</v>
      </c>
      <c r="G10">
        <v>6</v>
      </c>
      <c r="H10">
        <v>3</v>
      </c>
      <c r="I10">
        <f t="shared" si="0"/>
        <v>7.8000000000000007</v>
      </c>
      <c r="J10">
        <f t="shared" si="1"/>
        <v>-4.8000000000000007</v>
      </c>
    </row>
    <row r="11" spans="1:10">
      <c r="A11">
        <v>22</v>
      </c>
      <c r="F11">
        <v>6</v>
      </c>
      <c r="G11">
        <v>5</v>
      </c>
      <c r="H11">
        <v>4.2</v>
      </c>
      <c r="I11">
        <f t="shared" si="0"/>
        <v>9</v>
      </c>
      <c r="J11">
        <f t="shared" si="1"/>
        <v>-4.8</v>
      </c>
    </row>
    <row r="12" spans="1:10">
      <c r="A12">
        <v>17</v>
      </c>
      <c r="F12">
        <v>7</v>
      </c>
      <c r="G12">
        <v>4</v>
      </c>
      <c r="H12">
        <v>5</v>
      </c>
      <c r="I12">
        <f t="shared" si="0"/>
        <v>10.199999999999999</v>
      </c>
      <c r="J12">
        <f t="shared" si="1"/>
        <v>-5.1999999999999993</v>
      </c>
    </row>
    <row r="13" spans="1:10">
      <c r="A13">
        <v>23</v>
      </c>
      <c r="F13">
        <v>8</v>
      </c>
      <c r="G13">
        <v>3</v>
      </c>
      <c r="H13">
        <v>6</v>
      </c>
      <c r="I13">
        <f t="shared" si="0"/>
        <v>11.4</v>
      </c>
      <c r="J13">
        <f t="shared" si="1"/>
        <v>-5.4</v>
      </c>
    </row>
    <row r="14" spans="1:10">
      <c r="A14">
        <v>19</v>
      </c>
      <c r="F14">
        <v>9</v>
      </c>
      <c r="G14">
        <v>2</v>
      </c>
      <c r="H14">
        <v>9</v>
      </c>
      <c r="I14">
        <f t="shared" si="0"/>
        <v>12.6</v>
      </c>
      <c r="J14">
        <f t="shared" si="1"/>
        <v>-3.5999999999999996</v>
      </c>
    </row>
    <row r="15" spans="1:10">
      <c r="A15">
        <v>31</v>
      </c>
      <c r="F15">
        <v>10</v>
      </c>
      <c r="G15">
        <v>1</v>
      </c>
      <c r="H15">
        <v>18</v>
      </c>
      <c r="I15">
        <f t="shared" si="0"/>
        <v>13.8</v>
      </c>
      <c r="J15">
        <f t="shared" si="1"/>
        <v>4.1999999999999993</v>
      </c>
    </row>
    <row r="16" spans="1:10">
      <c r="A16">
        <v>17</v>
      </c>
    </row>
    <row r="17" spans="1:8">
      <c r="A17">
        <v>30</v>
      </c>
    </row>
    <row r="18" spans="1:8">
      <c r="A18">
        <v>23</v>
      </c>
    </row>
    <row r="19" spans="1:8">
      <c r="A19">
        <v>31</v>
      </c>
      <c r="H19">
        <f>SUM(H6:H15)</f>
        <v>53.599999999999994</v>
      </c>
    </row>
    <row r="20" spans="1:8">
      <c r="A20">
        <v>12</v>
      </c>
    </row>
    <row r="21" spans="1:8">
      <c r="A21">
        <v>41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221A-5E02-4AAB-87CE-F72249FF67DB}">
  <dimension ref="A1:C11"/>
  <sheetViews>
    <sheetView workbookViewId="0">
      <selection activeCell="I4" sqref="I4"/>
    </sheetView>
  </sheetViews>
  <sheetFormatPr defaultRowHeight="15"/>
  <cols>
    <col min="2" max="2" width="10.5703125" bestFit="1" customWidth="1"/>
  </cols>
  <sheetData>
    <row r="1" spans="1:3">
      <c r="A1" t="s">
        <v>442</v>
      </c>
      <c r="B1" t="s">
        <v>7</v>
      </c>
      <c r="C1" t="s">
        <v>443</v>
      </c>
    </row>
    <row r="2" spans="1:3">
      <c r="A2">
        <v>1</v>
      </c>
      <c r="B2">
        <v>1.3</v>
      </c>
      <c r="C2">
        <v>10</v>
      </c>
    </row>
    <row r="3" spans="1:3">
      <c r="A3">
        <v>2</v>
      </c>
      <c r="B3">
        <v>2</v>
      </c>
      <c r="C3">
        <v>6</v>
      </c>
    </row>
    <row r="4" spans="1:3">
      <c r="A4">
        <v>3</v>
      </c>
      <c r="B4">
        <v>1.7</v>
      </c>
      <c r="C4">
        <v>5</v>
      </c>
    </row>
    <row r="5" spans="1:3">
      <c r="A5">
        <v>4</v>
      </c>
      <c r="B5">
        <v>1.5</v>
      </c>
      <c r="C5">
        <v>12</v>
      </c>
    </row>
    <row r="6" spans="1:3">
      <c r="A6">
        <v>5</v>
      </c>
      <c r="B6">
        <v>1.6</v>
      </c>
      <c r="C6">
        <v>10</v>
      </c>
    </row>
    <row r="7" spans="1:3">
      <c r="A7">
        <v>6</v>
      </c>
      <c r="B7">
        <v>1.2</v>
      </c>
      <c r="C7">
        <v>15</v>
      </c>
    </row>
    <row r="8" spans="1:3">
      <c r="A8">
        <v>7</v>
      </c>
      <c r="B8">
        <v>1.6</v>
      </c>
      <c r="C8">
        <v>5</v>
      </c>
    </row>
    <row r="9" spans="1:3">
      <c r="A9">
        <v>8</v>
      </c>
      <c r="B9">
        <v>1.4</v>
      </c>
      <c r="C9">
        <v>12</v>
      </c>
    </row>
    <row r="10" spans="1:3">
      <c r="A10">
        <v>9</v>
      </c>
      <c r="B10">
        <v>1</v>
      </c>
      <c r="C10">
        <v>17</v>
      </c>
    </row>
    <row r="11" spans="1:3">
      <c r="A11">
        <v>10</v>
      </c>
      <c r="B11">
        <v>1.1000000000000001</v>
      </c>
      <c r="C11">
        <v>20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1A95-F527-448F-A238-508D8B187D7B}">
  <dimension ref="A1:G9"/>
  <sheetViews>
    <sheetView zoomScaleNormal="100" workbookViewId="0">
      <selection activeCell="D9" sqref="D9"/>
    </sheetView>
  </sheetViews>
  <sheetFormatPr defaultRowHeight="15"/>
  <cols>
    <col min="1" max="1" width="11.140625" bestFit="1" customWidth="1"/>
    <col min="4" max="4" width="35.42578125" bestFit="1" customWidth="1"/>
    <col min="5" max="5" width="6.7109375" bestFit="1" customWidth="1"/>
    <col min="6" max="6" width="20.140625" bestFit="1" customWidth="1"/>
    <col min="7" max="7" width="13.42578125" bestFit="1" customWidth="1"/>
  </cols>
  <sheetData>
    <row r="1" spans="1:7">
      <c r="A1" s="93" t="s">
        <v>438</v>
      </c>
      <c r="B1" t="s">
        <v>436</v>
      </c>
      <c r="C1" t="s">
        <v>437</v>
      </c>
      <c r="D1" t="s">
        <v>471</v>
      </c>
      <c r="E1" t="s">
        <v>472</v>
      </c>
      <c r="F1" t="s">
        <v>440</v>
      </c>
    </row>
    <row r="2" spans="1:7">
      <c r="A2">
        <v>1</v>
      </c>
      <c r="B2">
        <v>5</v>
      </c>
      <c r="C2">
        <v>10</v>
      </c>
      <c r="D2" s="91">
        <f>SQRT(($B$6-B2)^2+($C$6-C2)^2)</f>
        <v>6.5822388548643165</v>
      </c>
      <c r="E2" s="91">
        <f>SQRT(SUMSQ(B2-$B$6,C2-$C$6))</f>
        <v>6.5822388548643165</v>
      </c>
      <c r="F2">
        <v>200</v>
      </c>
      <c r="G2" s="92"/>
    </row>
    <row r="3" spans="1:7">
      <c r="A3">
        <v>2</v>
      </c>
      <c r="B3">
        <v>10</v>
      </c>
      <c r="C3">
        <v>5</v>
      </c>
      <c r="D3" s="91">
        <f t="shared" ref="D3:D5" si="0">SQRT(($B$6-B3)^2+($C$6-C3)^2)</f>
        <v>0.68643097869524783</v>
      </c>
      <c r="E3" s="91">
        <f t="shared" ref="E3:E5" si="1">SQRT(SUMSQ(B3-$B$6,C3-$C$6))</f>
        <v>0.68643097869524783</v>
      </c>
      <c r="F3">
        <v>150</v>
      </c>
      <c r="G3" s="92"/>
    </row>
    <row r="4" spans="1:7">
      <c r="A4">
        <v>3</v>
      </c>
      <c r="B4">
        <v>0</v>
      </c>
      <c r="C4">
        <v>12</v>
      </c>
      <c r="D4" s="91">
        <f t="shared" si="0"/>
        <v>11.634120361102164</v>
      </c>
      <c r="E4" s="91">
        <f t="shared" si="1"/>
        <v>11.634120361102164</v>
      </c>
      <c r="F4">
        <v>200</v>
      </c>
      <c r="G4" s="92"/>
    </row>
    <row r="5" spans="1:7">
      <c r="A5">
        <v>4</v>
      </c>
      <c r="B5">
        <v>12</v>
      </c>
      <c r="C5">
        <v>0</v>
      </c>
      <c r="D5" s="91">
        <f t="shared" si="0"/>
        <v>5.7010106583900315</v>
      </c>
      <c r="E5" s="91">
        <f t="shared" si="1"/>
        <v>5.7010106583900315</v>
      </c>
      <c r="F5">
        <v>300</v>
      </c>
      <c r="G5" s="92"/>
    </row>
    <row r="6" spans="1:7">
      <c r="A6" t="s">
        <v>439</v>
      </c>
      <c r="B6" s="52">
        <v>9.3141693154228697</v>
      </c>
      <c r="C6" s="52">
        <v>5.02870123002557</v>
      </c>
    </row>
    <row r="7" spans="1:7">
      <c r="A7" s="142" t="s">
        <v>441</v>
      </c>
      <c r="B7" s="142"/>
      <c r="C7" s="142"/>
      <c r="D7" s="142"/>
      <c r="E7" s="142"/>
      <c r="F7" s="91">
        <f>SUMPRODUCT(F2:F5,E2:E5)</f>
        <v>5456.5396875145925</v>
      </c>
      <c r="G7" s="92"/>
    </row>
    <row r="8" spans="1:7">
      <c r="D8" s="91"/>
    </row>
    <row r="9" spans="1:7">
      <c r="A9" t="s">
        <v>600</v>
      </c>
    </row>
  </sheetData>
  <mergeCells count="1">
    <mergeCell ref="A7:E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21A9346877C94FBE0D2EF98A54C8DF" ma:contentTypeVersion="0" ma:contentTypeDescription="Create a new document." ma:contentTypeScope="" ma:versionID="751dbf132c53fd3bc3488d619145845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3191C1-D2B6-4B97-A701-AFB02492B9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0238CAA-F670-4524-9BD2-2D2D3FDCD9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94C634-99D9-44FC-B2A2-D1462FE9BD9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30</vt:i4>
      </vt:variant>
    </vt:vector>
  </HeadingPairs>
  <TitlesOfParts>
    <vt:vector size="68" baseType="lpstr">
      <vt:lpstr>Advertising </vt:lpstr>
      <vt:lpstr>Advertising _Sensitivity Report</vt:lpstr>
      <vt:lpstr>monopolist</vt:lpstr>
      <vt:lpstr>Sensitivity Report 1</vt:lpstr>
      <vt:lpstr>ProductMix</vt:lpstr>
      <vt:lpstr>ProductMix_add_on</vt:lpstr>
      <vt:lpstr>ProductMix2 Sensitivity</vt:lpstr>
      <vt:lpstr>ProductMix2</vt:lpstr>
      <vt:lpstr>LM_2</vt:lpstr>
      <vt:lpstr>Dual</vt:lpstr>
      <vt:lpstr>ProdPlanning</vt:lpstr>
      <vt:lpstr>project</vt:lpstr>
      <vt:lpstr>BlendingOil</vt:lpstr>
      <vt:lpstr>Transport1</vt:lpstr>
      <vt:lpstr>AssignmentProblem</vt:lpstr>
      <vt:lpstr>BinPacking</vt:lpstr>
      <vt:lpstr>cuttingStock</vt:lpstr>
      <vt:lpstr>MCNF</vt:lpstr>
      <vt:lpstr>RedBrandLogistics</vt:lpstr>
      <vt:lpstr>HW3</vt:lpstr>
      <vt:lpstr>set_covering_model</vt:lpstr>
      <vt:lpstr>ShortestPath</vt:lpstr>
      <vt:lpstr>Aggregate1</vt:lpstr>
      <vt:lpstr>CapitalBudget</vt:lpstr>
      <vt:lpstr>FixedCost</vt:lpstr>
      <vt:lpstr>Hub</vt:lpstr>
      <vt:lpstr>WorkerScheduling</vt:lpstr>
      <vt:lpstr>Transport1-2</vt:lpstr>
      <vt:lpstr>MMULT</vt:lpstr>
      <vt:lpstr>MDETERM</vt:lpstr>
      <vt:lpstr>Peakload</vt:lpstr>
      <vt:lpstr>GameTheory</vt:lpstr>
      <vt:lpstr>Portfolio</vt:lpstr>
      <vt:lpstr>EOQ</vt:lpstr>
      <vt:lpstr>SVM1</vt:lpstr>
      <vt:lpstr>MLE</vt:lpstr>
      <vt:lpstr>OLS</vt:lpstr>
      <vt:lpstr>Location</vt:lpstr>
      <vt:lpstr>AFinish</vt:lpstr>
      <vt:lpstr>AStart</vt:lpstr>
      <vt:lpstr>BFinish</vt:lpstr>
      <vt:lpstr>BStart</vt:lpstr>
      <vt:lpstr>CFinish</vt:lpstr>
      <vt:lpstr>CStart</vt:lpstr>
      <vt:lpstr>DFinish</vt:lpstr>
      <vt:lpstr>DStart</vt:lpstr>
      <vt:lpstr>EFinish</vt:lpstr>
      <vt:lpstr>EStart</vt:lpstr>
      <vt:lpstr>FFinish</vt:lpstr>
      <vt:lpstr>FStart</vt:lpstr>
      <vt:lpstr>GFinish</vt:lpstr>
      <vt:lpstr>GStart</vt:lpstr>
      <vt:lpstr>HFinish</vt:lpstr>
      <vt:lpstr>HStart</vt:lpstr>
      <vt:lpstr>IFinish</vt:lpstr>
      <vt:lpstr>invLevels</vt:lpstr>
      <vt:lpstr>IStart</vt:lpstr>
      <vt:lpstr>JFinish</vt:lpstr>
      <vt:lpstr>JStart</vt:lpstr>
      <vt:lpstr>KFinish</vt:lpstr>
      <vt:lpstr>KStart</vt:lpstr>
      <vt:lpstr>LFinish</vt:lpstr>
      <vt:lpstr>LStart</vt:lpstr>
      <vt:lpstr>MFinish</vt:lpstr>
      <vt:lpstr>MStart</vt:lpstr>
      <vt:lpstr>NFinish</vt:lpstr>
      <vt:lpstr>NStart</vt:lpstr>
      <vt:lpstr>yFinish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Albright</dc:creator>
  <cp:lastModifiedBy>Pannatorn  Janpitak</cp:lastModifiedBy>
  <cp:lastPrinted>2009-11-17T17:04:20Z</cp:lastPrinted>
  <dcterms:created xsi:type="dcterms:W3CDTF">2009-09-28T15:17:58Z</dcterms:created>
  <dcterms:modified xsi:type="dcterms:W3CDTF">2026-09-17T23:54:32Z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0x0101005D21A9346877C94FBE0D2EF98A54C8DF</vt:lpwstr>
  </property>
</Properties>
</file>