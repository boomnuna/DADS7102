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E6D51028-0B40-4280-B074-7525BEAE2B10}" xr6:coauthVersionLast="47" xr6:coauthVersionMax="47" xr10:uidLastSave="{00000000-0000-0000-0000-000000000000}"/>
  <bookViews>
    <workbookView xWindow="-120" yWindow="-120" windowWidth="29040" windowHeight="15720" tabRatio="954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WorkerScheduling!#REF!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WorkerScheduling!#REF!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WorkerScheduling!#REF!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WorkerScheduling!#REF!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WorkerScheduling!#REF!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" i="11" l="1"/>
  <c r="U5" i="11"/>
  <c r="U8" i="11"/>
  <c r="I11" i="6" l="1"/>
  <c r="I20" i="6"/>
  <c r="I16" i="6"/>
  <c r="J9" i="6"/>
  <c r="J20" i="6"/>
  <c r="J16" i="6"/>
  <c r="J11" i="6"/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7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I21" i="6"/>
  <c r="F1" i="6"/>
  <c r="J15" i="6"/>
  <c r="J10" i="6"/>
  <c r="I10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<sst xmlns="http://schemas.openxmlformats.org/spreadsheetml/2006/main" count="1099" uniqueCount="621">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</sst>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  <numFmt numFmtId="174" formatCode="0.0%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indexed="18"/>
      <name val="Calibri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8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44" fontId="11" fillId="0" borderId="0" applyFont="0" applyFill="0" applyBorder="0" applyAlignment="0" applyProtection="0"/>
    <xf numFmtId="0" fontId="27" fillId="0" borderId="16" applyNumberFormat="0" applyFill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4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65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66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2" borderId="0" xfId="2" applyFont="1" applyFill="1" applyBorder="1"/>
    <xf numFmtId="167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64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68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5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5" fontId="5" fillId="0" borderId="0" xfId="1" applyNumberFormat="1" applyFont="1"/>
    <xf numFmtId="168" fontId="5" fillId="2" borderId="0" xfId="1" applyNumberFormat="1" applyFont="1" applyFill="1"/>
    <xf numFmtId="2" fontId="5" fillId="0" borderId="0" xfId="1" applyNumberFormat="1" applyFont="1"/>
    <xf numFmtId="6" fontId="5" fillId="0" borderId="0" xfId="1" applyNumberFormat="1" applyFont="1"/>
    <xf numFmtId="6" fontId="5" fillId="0" borderId="0" xfId="1" applyNumberFormat="1" applyFont="1" applyAlignment="1">
      <alignment horizontal="right"/>
    </xf>
    <xf numFmtId="168" fontId="5" fillId="0" borderId="0" xfId="1" applyNumberFormat="1" applyFont="1" applyAlignment="1">
      <alignment horizontal="right"/>
    </xf>
    <xf numFmtId="168" fontId="5" fillId="0" borderId="0" xfId="1" quotePrefix="1" applyNumberFormat="1" applyFont="1" applyAlignment="1">
      <alignment horizontal="center"/>
    </xf>
    <xf numFmtId="6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6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6" fontId="5" fillId="2" borderId="0" xfId="1" applyNumberFormat="1" applyFont="1" applyFill="1" applyAlignment="1">
      <alignment horizontal="right"/>
    </xf>
    <xf numFmtId="8" fontId="5" fillId="0" borderId="0" xfId="1" applyNumberFormat="1" applyFont="1"/>
    <xf numFmtId="7" fontId="5" fillId="0" borderId="0" xfId="1" applyNumberFormat="1" applyFont="1"/>
    <xf numFmtId="169" fontId="5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5" fillId="0" borderId="0" xfId="1" applyNumberFormat="1" applyFont="1" applyAlignment="1">
      <alignment horizontal="right"/>
    </xf>
    <xf numFmtId="169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172" fontId="5" fillId="0" borderId="0" xfId="1" applyNumberFormat="1" applyFont="1"/>
    <xf numFmtId="168" fontId="5" fillId="8" borderId="0" xfId="1" applyNumberFormat="1" applyFont="1" applyFill="1"/>
    <xf numFmtId="172" fontId="5" fillId="8" borderId="0" xfId="1" applyNumberFormat="1" applyFont="1" applyFill="1"/>
    <xf numFmtId="43" fontId="5" fillId="0" borderId="0" xfId="6" applyFont="1"/>
    <xf numFmtId="43" fontId="5" fillId="8" borderId="11" xfId="6" applyFont="1" applyFill="1" applyBorder="1"/>
    <xf numFmtId="173" fontId="0" fillId="0" borderId="0" xfId="6" applyNumberFormat="1" applyFont="1" applyBorder="1" applyAlignment="1">
      <alignment horizontal="right" indent="2"/>
    </xf>
    <xf numFmtId="0" fontId="0" fillId="9" borderId="0" xfId="0" applyFill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74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8" fontId="5" fillId="5" borderId="0" xfId="1" applyNumberFormat="1" applyFont="1" applyFill="1"/>
    <xf numFmtId="2" fontId="5" fillId="5" borderId="0" xfId="1" applyNumberFormat="1" applyFont="1" applyFill="1"/>
    <xf numFmtId="7" fontId="5" fillId="8" borderId="0" xfId="1" applyNumberFormat="1" applyFont="1" applyFill="1"/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  <xf numFmtId="43" fontId="0" fillId="8" borderId="0" xfId="6" applyFont="1" applyFill="1"/>
    <xf numFmtId="0" fontId="0" fillId="0" borderId="0" xfId="0" applyAlignment="1">
      <alignment horizontal="left"/>
    </xf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abSelected="1" workbookViewId="0">
      <selection activeCell="T23" sqref="T23"/>
    </sheetView>
  </sheetViews>
  <sheetFormatPr defaultColWidth="9" defaultRowHeight="15"/>
  <cols>
    <col min="1" max="16384" width="9" style="133"/>
  </cols>
  <sheetData>
    <row r="1" spans="1:5">
      <c r="A1" s="133" t="s">
        <v>296</v>
      </c>
      <c r="B1" s="133" t="s">
        <v>297</v>
      </c>
      <c r="C1" s="133" t="s">
        <v>620</v>
      </c>
    </row>
    <row r="2" spans="1:5">
      <c r="A2" s="134">
        <v>2.4642857142857153</v>
      </c>
      <c r="B2" s="134">
        <v>2.6071428571428554</v>
      </c>
      <c r="C2" s="141">
        <f>(-2*A2^2) - (B2^2) + (A2*B2) + (8*A2) + (3*B2)</f>
        <v>15.017857142857146</v>
      </c>
    </row>
    <row r="5" spans="1:5">
      <c r="A5" s="133" t="s">
        <v>619</v>
      </c>
    </row>
    <row r="6" spans="1:5">
      <c r="A6" s="133">
        <v>3</v>
      </c>
      <c r="B6" s="133">
        <v>1</v>
      </c>
      <c r="C6" s="133">
        <f>SUMPRODUCT(A6:B6,A2:B2)</f>
        <v>10.000000000000002</v>
      </c>
      <c r="D6" s="133" t="s">
        <v>278</v>
      </c>
      <c r="E6" s="14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ColWidth="9" defaultRowHeight="15"/>
  <cols>
    <col min="1" max="1" width="2" style="133" customWidth="1"/>
    <col min="2" max="2" width="4.7109375" style="133" bestFit="1" customWidth="1"/>
    <col min="3" max="3" width="6" style="133" bestFit="1" customWidth="1"/>
    <col min="4" max="5" width="11.7109375" style="133" bestFit="1" customWidth="1"/>
    <col min="6" max="16384" width="9" style="133"/>
  </cols>
  <sheetData>
    <row r="1" spans="1:5">
      <c r="A1" s="139" t="s">
        <v>476</v>
      </c>
    </row>
    <row r="2" spans="1:5">
      <c r="A2" s="139" t="s">
        <v>618</v>
      </c>
    </row>
    <row r="3" spans="1:5">
      <c r="A3" s="139" t="s">
        <v>617</v>
      </c>
    </row>
    <row r="6" spans="1:5" ht="15.75" thickBot="1">
      <c r="A6" s="133" t="s">
        <v>477</v>
      </c>
    </row>
    <row r="7" spans="1:5">
      <c r="B7" s="137"/>
      <c r="C7" s="137"/>
      <c r="D7" s="137" t="s">
        <v>480</v>
      </c>
      <c r="E7" s="137" t="s">
        <v>482</v>
      </c>
    </row>
    <row r="8" spans="1:5" ht="15.75" thickBot="1">
      <c r="B8" s="136" t="s">
        <v>478</v>
      </c>
      <c r="C8" s="136" t="s">
        <v>479</v>
      </c>
      <c r="D8" s="136" t="s">
        <v>481</v>
      </c>
      <c r="E8" s="136" t="s">
        <v>616</v>
      </c>
    </row>
    <row r="9" spans="1:5">
      <c r="B9" s="138" t="s">
        <v>615</v>
      </c>
      <c r="C9" s="138" t="s">
        <v>296</v>
      </c>
      <c r="D9" s="138">
        <v>2.4642857142857153</v>
      </c>
      <c r="E9" s="138">
        <v>0</v>
      </c>
    </row>
    <row r="10" spans="1:5" ht="15.75" thickBot="1">
      <c r="B10" s="135" t="s">
        <v>614</v>
      </c>
      <c r="C10" s="135" t="s">
        <v>297</v>
      </c>
      <c r="D10" s="135">
        <v>2.6071428571428554</v>
      </c>
      <c r="E10" s="135">
        <v>0</v>
      </c>
    </row>
    <row r="12" spans="1:5" ht="15.75" thickBot="1">
      <c r="A12" s="133" t="s">
        <v>488</v>
      </c>
    </row>
    <row r="13" spans="1:5">
      <c r="B13" s="137"/>
      <c r="C13" s="137"/>
      <c r="D13" s="137" t="s">
        <v>480</v>
      </c>
      <c r="E13" s="137" t="s">
        <v>613</v>
      </c>
    </row>
    <row r="14" spans="1:5" ht="15.75" thickBot="1">
      <c r="B14" s="136" t="s">
        <v>478</v>
      </c>
      <c r="C14" s="136" t="s">
        <v>479</v>
      </c>
      <c r="D14" s="136" t="s">
        <v>481</v>
      </c>
      <c r="E14" s="136" t="s">
        <v>612</v>
      </c>
    </row>
    <row r="15" spans="1:5" ht="15.75" thickBot="1">
      <c r="B15" s="135" t="s">
        <v>611</v>
      </c>
      <c r="C15" s="135" t="s">
        <v>297</v>
      </c>
      <c r="D15" s="135">
        <v>10.000000000000002</v>
      </c>
      <c r="E15" s="135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ColWidth="9" defaultRowHeight="15"/>
  <cols>
    <col min="1" max="16384" width="9" style="133"/>
  </cols>
  <sheetData>
    <row r="1" spans="1:5">
      <c r="A1" s="133" t="s">
        <v>610</v>
      </c>
      <c r="B1" s="133" t="s">
        <v>609</v>
      </c>
      <c r="C1" s="133" t="s">
        <v>608</v>
      </c>
      <c r="D1" s="133" t="s">
        <v>607</v>
      </c>
      <c r="E1" s="133" t="s">
        <v>606</v>
      </c>
    </row>
    <row r="2" spans="1:5">
      <c r="A2" s="134">
        <v>2.5</v>
      </c>
      <c r="B2" s="133">
        <f>(10-A2)</f>
        <v>7.5</v>
      </c>
      <c r="C2" s="133">
        <f>B2*A2</f>
        <v>18.75</v>
      </c>
      <c r="D2" s="133">
        <f>5 *A2</f>
        <v>12.5</v>
      </c>
      <c r="E2" s="133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5.75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5.75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5.75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5.75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5.75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5.75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5.75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5.75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J33" sqref="J33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zoomScaleNormal="100" workbookViewId="0">
      <selection activeCell="H28" sqref="H28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F35" sqref="F35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topLeftCell="K1" zoomScale="90" zoomScaleNormal="90" workbookViewId="0">
      <selection activeCell="M40" sqref="M40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89" t="s">
        <v>455</v>
      </c>
      <c r="M1" s="33"/>
      <c r="P1" s="89" t="s">
        <v>449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zoomScale="80" zoomScaleNormal="80" workbookViewId="0">
      <selection activeCell="N43" sqref="N42:O43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>SUMIF($A$8:$A$33,H11,$D$8:$D$33)</f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I9" sqref="I9"/>
    </sheetView>
  </sheetViews>
  <sheetFormatPr defaultRowHeight="1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N24" sqref="N24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F21" sqref="F2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H17" sqref="H17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5" width="9.140625" style="11"/>
    <col min="6" max="6" width="12" style="11" bestFit="1" customWidth="1"/>
    <col min="7" max="7" width="9.140625" style="11"/>
    <col min="8" max="8" width="17.42578125" style="11" customWidth="1"/>
    <col min="9" max="255" width="9.140625" style="11"/>
    <col min="256" max="256" width="30.140625" style="11" customWidth="1"/>
    <col min="257" max="257" width="13.5703125" style="11" bestFit="1" customWidth="1"/>
    <col min="258" max="258" width="12" style="11" customWidth="1"/>
    <col min="259" max="259" width="11.42578125" style="11" customWidth="1"/>
    <col min="260" max="263" width="9.140625" style="11"/>
    <col min="264" max="264" width="17.42578125" style="11" customWidth="1"/>
    <col min="265" max="511" width="9.140625" style="11"/>
    <col min="512" max="512" width="30.140625" style="11" customWidth="1"/>
    <col min="513" max="513" width="13.5703125" style="11" bestFit="1" customWidth="1"/>
    <col min="514" max="514" width="12" style="11" customWidth="1"/>
    <col min="515" max="515" width="11.42578125" style="11" customWidth="1"/>
    <col min="516" max="519" width="9.140625" style="11"/>
    <col min="520" max="520" width="17.42578125" style="11" customWidth="1"/>
    <col min="521" max="767" width="9.140625" style="11"/>
    <col min="768" max="768" width="30.140625" style="11" customWidth="1"/>
    <col min="769" max="769" width="13.5703125" style="11" bestFit="1" customWidth="1"/>
    <col min="770" max="770" width="12" style="11" customWidth="1"/>
    <col min="771" max="771" width="11.42578125" style="11" customWidth="1"/>
    <col min="772" max="775" width="9.140625" style="11"/>
    <col min="776" max="776" width="17.42578125" style="11" customWidth="1"/>
    <col min="777" max="1023" width="9.140625" style="11"/>
    <col min="1024" max="1024" width="30.140625" style="11" customWidth="1"/>
    <col min="1025" max="1025" width="13.5703125" style="11" bestFit="1" customWidth="1"/>
    <col min="1026" max="1026" width="12" style="11" customWidth="1"/>
    <col min="1027" max="1027" width="11.42578125" style="11" customWidth="1"/>
    <col min="1028" max="1031" width="9.140625" style="11"/>
    <col min="1032" max="1032" width="17.42578125" style="11" customWidth="1"/>
    <col min="1033" max="1279" width="9.140625" style="11"/>
    <col min="1280" max="1280" width="30.140625" style="11" customWidth="1"/>
    <col min="1281" max="1281" width="13.5703125" style="11" bestFit="1" customWidth="1"/>
    <col min="1282" max="1282" width="12" style="11" customWidth="1"/>
    <col min="1283" max="1283" width="11.42578125" style="11" customWidth="1"/>
    <col min="1284" max="1287" width="9.140625" style="11"/>
    <col min="1288" max="1288" width="17.42578125" style="11" customWidth="1"/>
    <col min="1289" max="1535" width="9.140625" style="11"/>
    <col min="1536" max="1536" width="30.140625" style="11" customWidth="1"/>
    <col min="1537" max="1537" width="13.5703125" style="11" bestFit="1" customWidth="1"/>
    <col min="1538" max="1538" width="12" style="11" customWidth="1"/>
    <col min="1539" max="1539" width="11.42578125" style="11" customWidth="1"/>
    <col min="1540" max="1543" width="9.140625" style="11"/>
    <col min="1544" max="1544" width="17.42578125" style="11" customWidth="1"/>
    <col min="1545" max="1791" width="9.140625" style="11"/>
    <col min="1792" max="1792" width="30.140625" style="11" customWidth="1"/>
    <col min="1793" max="1793" width="13.5703125" style="11" bestFit="1" customWidth="1"/>
    <col min="1794" max="1794" width="12" style="11" customWidth="1"/>
    <col min="1795" max="1795" width="11.42578125" style="11" customWidth="1"/>
    <col min="1796" max="1799" width="9.140625" style="11"/>
    <col min="1800" max="1800" width="17.42578125" style="11" customWidth="1"/>
    <col min="1801" max="2047" width="9.140625" style="11"/>
    <col min="2048" max="2048" width="30.140625" style="11" customWidth="1"/>
    <col min="2049" max="2049" width="13.5703125" style="11" bestFit="1" customWidth="1"/>
    <col min="2050" max="2050" width="12" style="11" customWidth="1"/>
    <col min="2051" max="2051" width="11.42578125" style="11" customWidth="1"/>
    <col min="2052" max="2055" width="9.140625" style="11"/>
    <col min="2056" max="2056" width="17.42578125" style="11" customWidth="1"/>
    <col min="2057" max="2303" width="9.140625" style="11"/>
    <col min="2304" max="2304" width="30.140625" style="11" customWidth="1"/>
    <col min="2305" max="2305" width="13.5703125" style="11" bestFit="1" customWidth="1"/>
    <col min="2306" max="2306" width="12" style="11" customWidth="1"/>
    <col min="2307" max="2307" width="11.42578125" style="11" customWidth="1"/>
    <col min="2308" max="2311" width="9.140625" style="11"/>
    <col min="2312" max="2312" width="17.42578125" style="11" customWidth="1"/>
    <col min="2313" max="2559" width="9.140625" style="11"/>
    <col min="2560" max="2560" width="30.140625" style="11" customWidth="1"/>
    <col min="2561" max="2561" width="13.5703125" style="11" bestFit="1" customWidth="1"/>
    <col min="2562" max="2562" width="12" style="11" customWidth="1"/>
    <col min="2563" max="2563" width="11.42578125" style="11" customWidth="1"/>
    <col min="2564" max="2567" width="9.140625" style="11"/>
    <col min="2568" max="2568" width="17.42578125" style="11" customWidth="1"/>
    <col min="2569" max="2815" width="9.140625" style="11"/>
    <col min="2816" max="2816" width="30.140625" style="11" customWidth="1"/>
    <col min="2817" max="2817" width="13.5703125" style="11" bestFit="1" customWidth="1"/>
    <col min="2818" max="2818" width="12" style="11" customWidth="1"/>
    <col min="2819" max="2819" width="11.42578125" style="11" customWidth="1"/>
    <col min="2820" max="2823" width="9.140625" style="11"/>
    <col min="2824" max="2824" width="17.42578125" style="11" customWidth="1"/>
    <col min="2825" max="3071" width="9.140625" style="11"/>
    <col min="3072" max="3072" width="30.140625" style="11" customWidth="1"/>
    <col min="3073" max="3073" width="13.5703125" style="11" bestFit="1" customWidth="1"/>
    <col min="3074" max="3074" width="12" style="11" customWidth="1"/>
    <col min="3075" max="3075" width="11.42578125" style="11" customWidth="1"/>
    <col min="3076" max="3079" width="9.140625" style="11"/>
    <col min="3080" max="3080" width="17.42578125" style="11" customWidth="1"/>
    <col min="3081" max="3327" width="9.140625" style="11"/>
    <col min="3328" max="3328" width="30.140625" style="11" customWidth="1"/>
    <col min="3329" max="3329" width="13.5703125" style="11" bestFit="1" customWidth="1"/>
    <col min="3330" max="3330" width="12" style="11" customWidth="1"/>
    <col min="3331" max="3331" width="11.42578125" style="11" customWidth="1"/>
    <col min="3332" max="3335" width="9.140625" style="11"/>
    <col min="3336" max="3336" width="17.42578125" style="11" customWidth="1"/>
    <col min="3337" max="3583" width="9.140625" style="11"/>
    <col min="3584" max="3584" width="30.140625" style="11" customWidth="1"/>
    <col min="3585" max="3585" width="13.5703125" style="11" bestFit="1" customWidth="1"/>
    <col min="3586" max="3586" width="12" style="11" customWidth="1"/>
    <col min="3587" max="3587" width="11.42578125" style="11" customWidth="1"/>
    <col min="3588" max="3591" width="9.140625" style="11"/>
    <col min="3592" max="3592" width="17.42578125" style="11" customWidth="1"/>
    <col min="3593" max="3839" width="9.140625" style="11"/>
    <col min="3840" max="3840" width="30.140625" style="11" customWidth="1"/>
    <col min="3841" max="3841" width="13.5703125" style="11" bestFit="1" customWidth="1"/>
    <col min="3842" max="3842" width="12" style="11" customWidth="1"/>
    <col min="3843" max="3843" width="11.42578125" style="11" customWidth="1"/>
    <col min="3844" max="3847" width="9.140625" style="11"/>
    <col min="3848" max="3848" width="17.42578125" style="11" customWidth="1"/>
    <col min="3849" max="4095" width="9.140625" style="11"/>
    <col min="4096" max="4096" width="30.140625" style="11" customWidth="1"/>
    <col min="4097" max="4097" width="13.5703125" style="11" bestFit="1" customWidth="1"/>
    <col min="4098" max="4098" width="12" style="11" customWidth="1"/>
    <col min="4099" max="4099" width="11.42578125" style="11" customWidth="1"/>
    <col min="4100" max="4103" width="9.140625" style="11"/>
    <col min="4104" max="4104" width="17.42578125" style="11" customWidth="1"/>
    <col min="4105" max="4351" width="9.140625" style="11"/>
    <col min="4352" max="4352" width="30.140625" style="11" customWidth="1"/>
    <col min="4353" max="4353" width="13.5703125" style="11" bestFit="1" customWidth="1"/>
    <col min="4354" max="4354" width="12" style="11" customWidth="1"/>
    <col min="4355" max="4355" width="11.42578125" style="11" customWidth="1"/>
    <col min="4356" max="4359" width="9.140625" style="11"/>
    <col min="4360" max="4360" width="17.42578125" style="11" customWidth="1"/>
    <col min="4361" max="4607" width="9.140625" style="11"/>
    <col min="4608" max="4608" width="30.140625" style="11" customWidth="1"/>
    <col min="4609" max="4609" width="13.5703125" style="11" bestFit="1" customWidth="1"/>
    <col min="4610" max="4610" width="12" style="11" customWidth="1"/>
    <col min="4611" max="4611" width="11.42578125" style="11" customWidth="1"/>
    <col min="4612" max="4615" width="9.140625" style="11"/>
    <col min="4616" max="4616" width="17.42578125" style="11" customWidth="1"/>
    <col min="4617" max="4863" width="9.140625" style="11"/>
    <col min="4864" max="4864" width="30.140625" style="11" customWidth="1"/>
    <col min="4865" max="4865" width="13.5703125" style="11" bestFit="1" customWidth="1"/>
    <col min="4866" max="4866" width="12" style="11" customWidth="1"/>
    <col min="4867" max="4867" width="11.42578125" style="11" customWidth="1"/>
    <col min="4868" max="4871" width="9.140625" style="11"/>
    <col min="4872" max="4872" width="17.42578125" style="11" customWidth="1"/>
    <col min="4873" max="5119" width="9.140625" style="11"/>
    <col min="5120" max="5120" width="30.140625" style="11" customWidth="1"/>
    <col min="5121" max="5121" width="13.5703125" style="11" bestFit="1" customWidth="1"/>
    <col min="5122" max="5122" width="12" style="11" customWidth="1"/>
    <col min="5123" max="5123" width="11.42578125" style="11" customWidth="1"/>
    <col min="5124" max="5127" width="9.140625" style="11"/>
    <col min="5128" max="5128" width="17.42578125" style="11" customWidth="1"/>
    <col min="5129" max="5375" width="9.140625" style="11"/>
    <col min="5376" max="5376" width="30.140625" style="11" customWidth="1"/>
    <col min="5377" max="5377" width="13.5703125" style="11" bestFit="1" customWidth="1"/>
    <col min="5378" max="5378" width="12" style="11" customWidth="1"/>
    <col min="5379" max="5379" width="11.42578125" style="11" customWidth="1"/>
    <col min="5380" max="5383" width="9.140625" style="11"/>
    <col min="5384" max="5384" width="17.42578125" style="11" customWidth="1"/>
    <col min="5385" max="5631" width="9.140625" style="11"/>
    <col min="5632" max="5632" width="30.140625" style="11" customWidth="1"/>
    <col min="5633" max="5633" width="13.5703125" style="11" bestFit="1" customWidth="1"/>
    <col min="5634" max="5634" width="12" style="11" customWidth="1"/>
    <col min="5635" max="5635" width="11.42578125" style="11" customWidth="1"/>
    <col min="5636" max="5639" width="9.140625" style="11"/>
    <col min="5640" max="5640" width="17.42578125" style="11" customWidth="1"/>
    <col min="5641" max="5887" width="9.140625" style="11"/>
    <col min="5888" max="5888" width="30.140625" style="11" customWidth="1"/>
    <col min="5889" max="5889" width="13.5703125" style="11" bestFit="1" customWidth="1"/>
    <col min="5890" max="5890" width="12" style="11" customWidth="1"/>
    <col min="5891" max="5891" width="11.42578125" style="11" customWidth="1"/>
    <col min="5892" max="5895" width="9.140625" style="11"/>
    <col min="5896" max="5896" width="17.42578125" style="11" customWidth="1"/>
    <col min="5897" max="6143" width="9.140625" style="11"/>
    <col min="6144" max="6144" width="30.140625" style="11" customWidth="1"/>
    <col min="6145" max="6145" width="13.5703125" style="11" bestFit="1" customWidth="1"/>
    <col min="6146" max="6146" width="12" style="11" customWidth="1"/>
    <col min="6147" max="6147" width="11.42578125" style="11" customWidth="1"/>
    <col min="6148" max="6151" width="9.140625" style="11"/>
    <col min="6152" max="6152" width="17.42578125" style="11" customWidth="1"/>
    <col min="6153" max="6399" width="9.140625" style="11"/>
    <col min="6400" max="6400" width="30.140625" style="11" customWidth="1"/>
    <col min="6401" max="6401" width="13.5703125" style="11" bestFit="1" customWidth="1"/>
    <col min="6402" max="6402" width="12" style="11" customWidth="1"/>
    <col min="6403" max="6403" width="11.42578125" style="11" customWidth="1"/>
    <col min="6404" max="6407" width="9.140625" style="11"/>
    <col min="6408" max="6408" width="17.42578125" style="11" customWidth="1"/>
    <col min="6409" max="6655" width="9.140625" style="11"/>
    <col min="6656" max="6656" width="30.140625" style="11" customWidth="1"/>
    <col min="6657" max="6657" width="13.5703125" style="11" bestFit="1" customWidth="1"/>
    <col min="6658" max="6658" width="12" style="11" customWidth="1"/>
    <col min="6659" max="6659" width="11.42578125" style="11" customWidth="1"/>
    <col min="6660" max="6663" width="9.140625" style="11"/>
    <col min="6664" max="6664" width="17.42578125" style="11" customWidth="1"/>
    <col min="6665" max="6911" width="9.140625" style="11"/>
    <col min="6912" max="6912" width="30.140625" style="11" customWidth="1"/>
    <col min="6913" max="6913" width="13.5703125" style="11" bestFit="1" customWidth="1"/>
    <col min="6914" max="6914" width="12" style="11" customWidth="1"/>
    <col min="6915" max="6915" width="11.42578125" style="11" customWidth="1"/>
    <col min="6916" max="6919" width="9.140625" style="11"/>
    <col min="6920" max="6920" width="17.42578125" style="11" customWidth="1"/>
    <col min="6921" max="7167" width="9.140625" style="11"/>
    <col min="7168" max="7168" width="30.140625" style="11" customWidth="1"/>
    <col min="7169" max="7169" width="13.5703125" style="11" bestFit="1" customWidth="1"/>
    <col min="7170" max="7170" width="12" style="11" customWidth="1"/>
    <col min="7171" max="7171" width="11.42578125" style="11" customWidth="1"/>
    <col min="7172" max="7175" width="9.140625" style="11"/>
    <col min="7176" max="7176" width="17.42578125" style="11" customWidth="1"/>
    <col min="7177" max="7423" width="9.140625" style="11"/>
    <col min="7424" max="7424" width="30.140625" style="11" customWidth="1"/>
    <col min="7425" max="7425" width="13.5703125" style="11" bestFit="1" customWidth="1"/>
    <col min="7426" max="7426" width="12" style="11" customWidth="1"/>
    <col min="7427" max="7427" width="11.42578125" style="11" customWidth="1"/>
    <col min="7428" max="7431" width="9.140625" style="11"/>
    <col min="7432" max="7432" width="17.42578125" style="11" customWidth="1"/>
    <col min="7433" max="7679" width="9.140625" style="11"/>
    <col min="7680" max="7680" width="30.140625" style="11" customWidth="1"/>
    <col min="7681" max="7681" width="13.5703125" style="11" bestFit="1" customWidth="1"/>
    <col min="7682" max="7682" width="12" style="11" customWidth="1"/>
    <col min="7683" max="7683" width="11.42578125" style="11" customWidth="1"/>
    <col min="7684" max="7687" width="9.140625" style="11"/>
    <col min="7688" max="7688" width="17.42578125" style="11" customWidth="1"/>
    <col min="7689" max="7935" width="9.140625" style="11"/>
    <col min="7936" max="7936" width="30.140625" style="11" customWidth="1"/>
    <col min="7937" max="7937" width="13.5703125" style="11" bestFit="1" customWidth="1"/>
    <col min="7938" max="7938" width="12" style="11" customWidth="1"/>
    <col min="7939" max="7939" width="11.42578125" style="11" customWidth="1"/>
    <col min="7940" max="7943" width="9.140625" style="11"/>
    <col min="7944" max="7944" width="17.42578125" style="11" customWidth="1"/>
    <col min="7945" max="8191" width="9.140625" style="11"/>
    <col min="8192" max="8192" width="30.140625" style="11" customWidth="1"/>
    <col min="8193" max="8193" width="13.5703125" style="11" bestFit="1" customWidth="1"/>
    <col min="8194" max="8194" width="12" style="11" customWidth="1"/>
    <col min="8195" max="8195" width="11.42578125" style="11" customWidth="1"/>
    <col min="8196" max="8199" width="9.140625" style="11"/>
    <col min="8200" max="8200" width="17.42578125" style="11" customWidth="1"/>
    <col min="8201" max="8447" width="9.140625" style="11"/>
    <col min="8448" max="8448" width="30.140625" style="11" customWidth="1"/>
    <col min="8449" max="8449" width="13.5703125" style="11" bestFit="1" customWidth="1"/>
    <col min="8450" max="8450" width="12" style="11" customWidth="1"/>
    <col min="8451" max="8451" width="11.42578125" style="11" customWidth="1"/>
    <col min="8452" max="8455" width="9.140625" style="11"/>
    <col min="8456" max="8456" width="17.42578125" style="11" customWidth="1"/>
    <col min="8457" max="8703" width="9.140625" style="11"/>
    <col min="8704" max="8704" width="30.140625" style="11" customWidth="1"/>
    <col min="8705" max="8705" width="13.5703125" style="11" bestFit="1" customWidth="1"/>
    <col min="8706" max="8706" width="12" style="11" customWidth="1"/>
    <col min="8707" max="8707" width="11.42578125" style="11" customWidth="1"/>
    <col min="8708" max="8711" width="9.140625" style="11"/>
    <col min="8712" max="8712" width="17.42578125" style="11" customWidth="1"/>
    <col min="8713" max="8959" width="9.140625" style="11"/>
    <col min="8960" max="8960" width="30.140625" style="11" customWidth="1"/>
    <col min="8961" max="8961" width="13.5703125" style="11" bestFit="1" customWidth="1"/>
    <col min="8962" max="8962" width="12" style="11" customWidth="1"/>
    <col min="8963" max="8963" width="11.42578125" style="11" customWidth="1"/>
    <col min="8964" max="8967" width="9.140625" style="11"/>
    <col min="8968" max="8968" width="17.42578125" style="11" customWidth="1"/>
    <col min="8969" max="9215" width="9.140625" style="11"/>
    <col min="9216" max="9216" width="30.140625" style="11" customWidth="1"/>
    <col min="9217" max="9217" width="13.5703125" style="11" bestFit="1" customWidth="1"/>
    <col min="9218" max="9218" width="12" style="11" customWidth="1"/>
    <col min="9219" max="9219" width="11.42578125" style="11" customWidth="1"/>
    <col min="9220" max="9223" width="9.140625" style="11"/>
    <col min="9224" max="9224" width="17.42578125" style="11" customWidth="1"/>
    <col min="9225" max="9471" width="9.140625" style="11"/>
    <col min="9472" max="9472" width="30.140625" style="11" customWidth="1"/>
    <col min="9473" max="9473" width="13.5703125" style="11" bestFit="1" customWidth="1"/>
    <col min="9474" max="9474" width="12" style="11" customWidth="1"/>
    <col min="9475" max="9475" width="11.42578125" style="11" customWidth="1"/>
    <col min="9476" max="9479" width="9.140625" style="11"/>
    <col min="9480" max="9480" width="17.42578125" style="11" customWidth="1"/>
    <col min="9481" max="9727" width="9.140625" style="11"/>
    <col min="9728" max="9728" width="30.140625" style="11" customWidth="1"/>
    <col min="9729" max="9729" width="13.5703125" style="11" bestFit="1" customWidth="1"/>
    <col min="9730" max="9730" width="12" style="11" customWidth="1"/>
    <col min="9731" max="9731" width="11.42578125" style="11" customWidth="1"/>
    <col min="9732" max="9735" width="9.140625" style="11"/>
    <col min="9736" max="9736" width="17.42578125" style="11" customWidth="1"/>
    <col min="9737" max="9983" width="9.140625" style="11"/>
    <col min="9984" max="9984" width="30.140625" style="11" customWidth="1"/>
    <col min="9985" max="9985" width="13.5703125" style="11" bestFit="1" customWidth="1"/>
    <col min="9986" max="9986" width="12" style="11" customWidth="1"/>
    <col min="9987" max="9987" width="11.42578125" style="11" customWidth="1"/>
    <col min="9988" max="9991" width="9.140625" style="11"/>
    <col min="9992" max="9992" width="17.42578125" style="11" customWidth="1"/>
    <col min="9993" max="10239" width="9.140625" style="11"/>
    <col min="10240" max="10240" width="30.140625" style="11" customWidth="1"/>
    <col min="10241" max="10241" width="13.5703125" style="11" bestFit="1" customWidth="1"/>
    <col min="10242" max="10242" width="12" style="11" customWidth="1"/>
    <col min="10243" max="10243" width="11.42578125" style="11" customWidth="1"/>
    <col min="10244" max="10247" width="9.140625" style="11"/>
    <col min="10248" max="10248" width="17.42578125" style="11" customWidth="1"/>
    <col min="10249" max="10495" width="9.140625" style="11"/>
    <col min="10496" max="10496" width="30.140625" style="11" customWidth="1"/>
    <col min="10497" max="10497" width="13.5703125" style="11" bestFit="1" customWidth="1"/>
    <col min="10498" max="10498" width="12" style="11" customWidth="1"/>
    <col min="10499" max="10499" width="11.42578125" style="11" customWidth="1"/>
    <col min="10500" max="10503" width="9.140625" style="11"/>
    <col min="10504" max="10504" width="17.42578125" style="11" customWidth="1"/>
    <col min="10505" max="10751" width="9.140625" style="11"/>
    <col min="10752" max="10752" width="30.140625" style="11" customWidth="1"/>
    <col min="10753" max="10753" width="13.5703125" style="11" bestFit="1" customWidth="1"/>
    <col min="10754" max="10754" width="12" style="11" customWidth="1"/>
    <col min="10755" max="10755" width="11.42578125" style="11" customWidth="1"/>
    <col min="10756" max="10759" width="9.140625" style="11"/>
    <col min="10760" max="10760" width="17.42578125" style="11" customWidth="1"/>
    <col min="10761" max="11007" width="9.140625" style="11"/>
    <col min="11008" max="11008" width="30.140625" style="11" customWidth="1"/>
    <col min="11009" max="11009" width="13.5703125" style="11" bestFit="1" customWidth="1"/>
    <col min="11010" max="11010" width="12" style="11" customWidth="1"/>
    <col min="11011" max="11011" width="11.42578125" style="11" customWidth="1"/>
    <col min="11012" max="11015" width="9.140625" style="11"/>
    <col min="11016" max="11016" width="17.42578125" style="11" customWidth="1"/>
    <col min="11017" max="11263" width="9.140625" style="11"/>
    <col min="11264" max="11264" width="30.140625" style="11" customWidth="1"/>
    <col min="11265" max="11265" width="13.5703125" style="11" bestFit="1" customWidth="1"/>
    <col min="11266" max="11266" width="12" style="11" customWidth="1"/>
    <col min="11267" max="11267" width="11.42578125" style="11" customWidth="1"/>
    <col min="11268" max="11271" width="9.140625" style="11"/>
    <col min="11272" max="11272" width="17.42578125" style="11" customWidth="1"/>
    <col min="11273" max="11519" width="9.140625" style="11"/>
    <col min="11520" max="11520" width="30.140625" style="11" customWidth="1"/>
    <col min="11521" max="11521" width="13.5703125" style="11" bestFit="1" customWidth="1"/>
    <col min="11522" max="11522" width="12" style="11" customWidth="1"/>
    <col min="11523" max="11523" width="11.42578125" style="11" customWidth="1"/>
    <col min="11524" max="11527" width="9.140625" style="11"/>
    <col min="11528" max="11528" width="17.42578125" style="11" customWidth="1"/>
    <col min="11529" max="11775" width="9.140625" style="11"/>
    <col min="11776" max="11776" width="30.140625" style="11" customWidth="1"/>
    <col min="11777" max="11777" width="13.5703125" style="11" bestFit="1" customWidth="1"/>
    <col min="11778" max="11778" width="12" style="11" customWidth="1"/>
    <col min="11779" max="11779" width="11.42578125" style="11" customWidth="1"/>
    <col min="11780" max="11783" width="9.140625" style="11"/>
    <col min="11784" max="11784" width="17.42578125" style="11" customWidth="1"/>
    <col min="11785" max="12031" width="9.140625" style="11"/>
    <col min="12032" max="12032" width="30.140625" style="11" customWidth="1"/>
    <col min="12033" max="12033" width="13.5703125" style="11" bestFit="1" customWidth="1"/>
    <col min="12034" max="12034" width="12" style="11" customWidth="1"/>
    <col min="12035" max="12035" width="11.42578125" style="11" customWidth="1"/>
    <col min="12036" max="12039" width="9.140625" style="11"/>
    <col min="12040" max="12040" width="17.42578125" style="11" customWidth="1"/>
    <col min="12041" max="12287" width="9.140625" style="11"/>
    <col min="12288" max="12288" width="30.140625" style="11" customWidth="1"/>
    <col min="12289" max="12289" width="13.5703125" style="11" bestFit="1" customWidth="1"/>
    <col min="12290" max="12290" width="12" style="11" customWidth="1"/>
    <col min="12291" max="12291" width="11.42578125" style="11" customWidth="1"/>
    <col min="12292" max="12295" width="9.140625" style="11"/>
    <col min="12296" max="12296" width="17.42578125" style="11" customWidth="1"/>
    <col min="12297" max="12543" width="9.140625" style="11"/>
    <col min="12544" max="12544" width="30.140625" style="11" customWidth="1"/>
    <col min="12545" max="12545" width="13.5703125" style="11" bestFit="1" customWidth="1"/>
    <col min="12546" max="12546" width="12" style="11" customWidth="1"/>
    <col min="12547" max="12547" width="11.42578125" style="11" customWidth="1"/>
    <col min="12548" max="12551" width="9.140625" style="11"/>
    <col min="12552" max="12552" width="17.42578125" style="11" customWidth="1"/>
    <col min="12553" max="12799" width="9.140625" style="11"/>
    <col min="12800" max="12800" width="30.140625" style="11" customWidth="1"/>
    <col min="12801" max="12801" width="13.5703125" style="11" bestFit="1" customWidth="1"/>
    <col min="12802" max="12802" width="12" style="11" customWidth="1"/>
    <col min="12803" max="12803" width="11.42578125" style="11" customWidth="1"/>
    <col min="12804" max="12807" width="9.140625" style="11"/>
    <col min="12808" max="12808" width="17.42578125" style="11" customWidth="1"/>
    <col min="12809" max="13055" width="9.140625" style="11"/>
    <col min="13056" max="13056" width="30.140625" style="11" customWidth="1"/>
    <col min="13057" max="13057" width="13.5703125" style="11" bestFit="1" customWidth="1"/>
    <col min="13058" max="13058" width="12" style="11" customWidth="1"/>
    <col min="13059" max="13059" width="11.42578125" style="11" customWidth="1"/>
    <col min="13060" max="13063" width="9.140625" style="11"/>
    <col min="13064" max="13064" width="17.42578125" style="11" customWidth="1"/>
    <col min="13065" max="13311" width="9.140625" style="11"/>
    <col min="13312" max="13312" width="30.140625" style="11" customWidth="1"/>
    <col min="13313" max="13313" width="13.5703125" style="11" bestFit="1" customWidth="1"/>
    <col min="13314" max="13314" width="12" style="11" customWidth="1"/>
    <col min="13315" max="13315" width="11.42578125" style="11" customWidth="1"/>
    <col min="13316" max="13319" width="9.140625" style="11"/>
    <col min="13320" max="13320" width="17.42578125" style="11" customWidth="1"/>
    <col min="13321" max="13567" width="9.140625" style="11"/>
    <col min="13568" max="13568" width="30.140625" style="11" customWidth="1"/>
    <col min="13569" max="13569" width="13.5703125" style="11" bestFit="1" customWidth="1"/>
    <col min="13570" max="13570" width="12" style="11" customWidth="1"/>
    <col min="13571" max="13571" width="11.42578125" style="11" customWidth="1"/>
    <col min="13572" max="13575" width="9.140625" style="11"/>
    <col min="13576" max="13576" width="17.42578125" style="11" customWidth="1"/>
    <col min="13577" max="13823" width="9.140625" style="11"/>
    <col min="13824" max="13824" width="30.140625" style="11" customWidth="1"/>
    <col min="13825" max="13825" width="13.5703125" style="11" bestFit="1" customWidth="1"/>
    <col min="13826" max="13826" width="12" style="11" customWidth="1"/>
    <col min="13827" max="13827" width="11.42578125" style="11" customWidth="1"/>
    <col min="13828" max="13831" width="9.140625" style="11"/>
    <col min="13832" max="13832" width="17.42578125" style="11" customWidth="1"/>
    <col min="13833" max="14079" width="9.140625" style="11"/>
    <col min="14080" max="14080" width="30.140625" style="11" customWidth="1"/>
    <col min="14081" max="14081" width="13.5703125" style="11" bestFit="1" customWidth="1"/>
    <col min="14082" max="14082" width="12" style="11" customWidth="1"/>
    <col min="14083" max="14083" width="11.42578125" style="11" customWidth="1"/>
    <col min="14084" max="14087" width="9.140625" style="11"/>
    <col min="14088" max="14088" width="17.42578125" style="11" customWidth="1"/>
    <col min="14089" max="14335" width="9.140625" style="11"/>
    <col min="14336" max="14336" width="30.140625" style="11" customWidth="1"/>
    <col min="14337" max="14337" width="13.5703125" style="11" bestFit="1" customWidth="1"/>
    <col min="14338" max="14338" width="12" style="11" customWidth="1"/>
    <col min="14339" max="14339" width="11.42578125" style="11" customWidth="1"/>
    <col min="14340" max="14343" width="9.140625" style="11"/>
    <col min="14344" max="14344" width="17.42578125" style="11" customWidth="1"/>
    <col min="14345" max="14591" width="9.140625" style="11"/>
    <col min="14592" max="14592" width="30.140625" style="11" customWidth="1"/>
    <col min="14593" max="14593" width="13.5703125" style="11" bestFit="1" customWidth="1"/>
    <col min="14594" max="14594" width="12" style="11" customWidth="1"/>
    <col min="14595" max="14595" width="11.42578125" style="11" customWidth="1"/>
    <col min="14596" max="14599" width="9.140625" style="11"/>
    <col min="14600" max="14600" width="17.42578125" style="11" customWidth="1"/>
    <col min="14601" max="14847" width="9.140625" style="11"/>
    <col min="14848" max="14848" width="30.140625" style="11" customWidth="1"/>
    <col min="14849" max="14849" width="13.5703125" style="11" bestFit="1" customWidth="1"/>
    <col min="14850" max="14850" width="12" style="11" customWidth="1"/>
    <col min="14851" max="14851" width="11.42578125" style="11" customWidth="1"/>
    <col min="14852" max="14855" width="9.140625" style="11"/>
    <col min="14856" max="14856" width="17.42578125" style="11" customWidth="1"/>
    <col min="14857" max="15103" width="9.140625" style="11"/>
    <col min="15104" max="15104" width="30.140625" style="11" customWidth="1"/>
    <col min="15105" max="15105" width="13.5703125" style="11" bestFit="1" customWidth="1"/>
    <col min="15106" max="15106" width="12" style="11" customWidth="1"/>
    <col min="15107" max="15107" width="11.42578125" style="11" customWidth="1"/>
    <col min="15108" max="15111" width="9.140625" style="11"/>
    <col min="15112" max="15112" width="17.42578125" style="11" customWidth="1"/>
    <col min="15113" max="15359" width="9.140625" style="11"/>
    <col min="15360" max="15360" width="30.140625" style="11" customWidth="1"/>
    <col min="15361" max="15361" width="13.5703125" style="11" bestFit="1" customWidth="1"/>
    <col min="15362" max="15362" width="12" style="11" customWidth="1"/>
    <col min="15363" max="15363" width="11.42578125" style="11" customWidth="1"/>
    <col min="15364" max="15367" width="9.140625" style="11"/>
    <col min="15368" max="15368" width="17.42578125" style="11" customWidth="1"/>
    <col min="15369" max="15615" width="9.140625" style="11"/>
    <col min="15616" max="15616" width="30.140625" style="11" customWidth="1"/>
    <col min="15617" max="15617" width="13.5703125" style="11" bestFit="1" customWidth="1"/>
    <col min="15618" max="15618" width="12" style="11" customWidth="1"/>
    <col min="15619" max="15619" width="11.42578125" style="11" customWidth="1"/>
    <col min="15620" max="15623" width="9.140625" style="11"/>
    <col min="15624" max="15624" width="17.42578125" style="11" customWidth="1"/>
    <col min="15625" max="15871" width="9.140625" style="11"/>
    <col min="15872" max="15872" width="30.140625" style="11" customWidth="1"/>
    <col min="15873" max="15873" width="13.5703125" style="11" bestFit="1" customWidth="1"/>
    <col min="15874" max="15874" width="12" style="11" customWidth="1"/>
    <col min="15875" max="15875" width="11.42578125" style="11" customWidth="1"/>
    <col min="15876" max="15879" width="9.140625" style="11"/>
    <col min="15880" max="15880" width="17.42578125" style="11" customWidth="1"/>
    <col min="15881" max="16127" width="9.140625" style="11"/>
    <col min="16128" max="16128" width="30.140625" style="11" customWidth="1"/>
    <col min="16129" max="16129" width="13.5703125" style="11" bestFit="1" customWidth="1"/>
    <col min="16130" max="16130" width="12" style="11" customWidth="1"/>
    <col min="16131" max="16131" width="11.42578125" style="11" customWidth="1"/>
    <col min="16132" max="16135" width="9.140625" style="11"/>
    <col min="16136" max="16136" width="17.42578125" style="11" customWidth="1"/>
    <col min="16137" max="16384" width="9.1406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5.75" thickBot="1">
      <c r="A29" s="11" t="s">
        <v>172</v>
      </c>
      <c r="B29" s="41">
        <f>SUMPRODUCT(B10:F10, B14:F14)</f>
        <v>2800</v>
      </c>
    </row>
    <row r="30" spans="1:6" ht="15.75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H1" zoomScale="70" zoomScaleNormal="70" workbookViewId="0">
      <selection activeCell="Y40" sqref="Y39:Z40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89" t="s">
        <v>449</v>
      </c>
    </row>
    <row r="2" spans="1:23" ht="15.75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>SUMPRODUCT(N6:T6,$N$3:$T$3)</f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ref="U7:U11" si="0">SUMPRODUCT(N7:T7,$N$3:$T$3)</f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>SUMPRODUCT(N8:T8,$N$3:$T$3)</f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23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23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23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23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23">
      <c r="B21" s="28"/>
      <c r="C21" s="28"/>
      <c r="D21" s="28"/>
      <c r="E21" s="28"/>
      <c r="F21" s="28"/>
      <c r="G21" s="28"/>
      <c r="H21" s="28"/>
    </row>
    <row r="22" spans="1:23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23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23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5" spans="1:23">
      <c r="M25"/>
      <c r="N25"/>
      <c r="O25"/>
      <c r="P25"/>
      <c r="Q25"/>
      <c r="R25"/>
      <c r="S25"/>
      <c r="T25"/>
      <c r="U25"/>
      <c r="V25"/>
      <c r="W25"/>
    </row>
    <row r="26" spans="1:23">
      <c r="A26" s="25" t="s">
        <v>91</v>
      </c>
      <c r="M26" s="8"/>
      <c r="N26"/>
      <c r="O26"/>
      <c r="P26"/>
      <c r="Q26"/>
      <c r="R26"/>
      <c r="S26"/>
      <c r="T26"/>
      <c r="U26"/>
      <c r="V26"/>
      <c r="W26"/>
    </row>
    <row r="27" spans="1:23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5.75" thickBot="1">
      <c r="A13">
        <v>3</v>
      </c>
      <c r="B13">
        <v>4</v>
      </c>
      <c r="C13" s="35">
        <v>180</v>
      </c>
      <c r="D13" s="52"/>
    </row>
    <row r="14" spans="1:9" ht="15.75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20" sqref="D20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5"/>
  <cols>
    <col min="1" max="1" width="36.285156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89" t="s">
        <v>394</v>
      </c>
      <c r="E1" s="89" t="s">
        <v>393</v>
      </c>
    </row>
    <row r="2" spans="1:12" ht="15.75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30">
      <c r="A7" s="129" t="s">
        <v>598</v>
      </c>
      <c r="B7">
        <f>B2/B6</f>
        <v>7.8383671764913405</v>
      </c>
      <c r="F7" t="s">
        <v>379</v>
      </c>
    </row>
    <row r="8" spans="1:12" ht="30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30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8.75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8.75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G8" sqref="G8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43" t="s">
        <v>441</v>
      </c>
      <c r="B7" s="143"/>
      <c r="C7" s="143"/>
      <c r="D7" s="143"/>
      <c r="E7" s="143"/>
      <c r="F7" s="142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2026-09-23T04:32:21Z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