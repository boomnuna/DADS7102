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00229\Documents\GitHub\DADS7102\HW1\result\"/>
    </mc:Choice>
  </mc:AlternateContent>
  <xr:revisionPtr revIDLastSave="0" documentId="13_ncr:1_{E2AC153B-ADE1-4F9E-85BA-6EF37EBDF4B3}" xr6:coauthVersionLast="47" xr6:coauthVersionMax="47" xr10:uidLastSave="{00000000-0000-0000-0000-000000000000}"/>
  <bookViews>
    <workbookView xWindow="-120" yWindow="-120" windowWidth="29040" windowHeight="15720" activeTab="1" xr2:uid="{8C4E29EA-1D70-4424-B9E1-A1A9A56CC44F}"/>
  </bookViews>
  <sheets>
    <sheet name="HW Sensitivity Report 1" sheetId="2" r:id="rId1"/>
    <sheet name="HW" sheetId="1" r:id="rId2"/>
  </sheets>
  <externalReferences>
    <externalReference r:id="rId3"/>
  </externalReferences>
  <definedNames>
    <definedName name="AFinish">[1]project!$K$6</definedName>
    <definedName name="BFinish">[1]project!$K$7</definedName>
    <definedName name="CFinish">[1]project!$K$8</definedName>
    <definedName name="DFinish">[1]project!$K$9</definedName>
    <definedName name="EFinish">[1]project!$K$10</definedName>
    <definedName name="FFinish">[1]project!$K$11</definedName>
    <definedName name="GFinish">[1]project!$K$12</definedName>
    <definedName name="HFinish">[1]project!$K$13</definedName>
    <definedName name="IFinish">[1]project!$K$14</definedName>
    <definedName name="JFinish">[1]project!$K$15</definedName>
    <definedName name="KFinish">[1]project!$K$16</definedName>
    <definedName name="LFinish">[1]project!$K$17</definedName>
    <definedName name="MFinish">[1]project!$K$18</definedName>
    <definedName name="NFinish">[1]project!$K$19</definedName>
    <definedName name="solver_adj" localSheetId="1" hidden="1">HW!$A$4:$B$4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100</definedName>
    <definedName name="solver_lhs1" localSheetId="1" hidden="1">HW!$B$23:$D$23</definedName>
    <definedName name="solver_lhs2" localSheetId="1" hidden="1">HW!$B$22:$D$22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HW!$A$11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1</definedName>
    <definedName name="solver_rhs1" localSheetId="1" hidden="1">HW!$B$24:$D$24</definedName>
    <definedName name="solver_rhs2" localSheetId="1" hidden="1">HW!$B$24:$D$24</definedName>
    <definedName name="solver_rlx" localSheetId="1" hidden="1">1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100</definedName>
    <definedName name="solver_tol" localSheetId="1" hidden="1">0.05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4" i="1" l="1"/>
  <c r="B21" i="1"/>
  <c r="A11" i="1" l="1"/>
  <c r="D22" i="1"/>
  <c r="C22" i="1"/>
  <c r="B22" i="1"/>
  <c r="D21" i="1"/>
  <c r="C21" i="1"/>
  <c r="B23" i="1" l="1"/>
  <c r="C23" i="1"/>
  <c r="D23" i="1"/>
</calcChain>
</file>

<file path=xl/sharedStrings.xml><?xml version="1.0" encoding="utf-8"?>
<sst xmlns="http://schemas.openxmlformats.org/spreadsheetml/2006/main" count="61" uniqueCount="41">
  <si>
    <t>Manufactures Household and Commercial Furnishings</t>
  </si>
  <si>
    <t>number of produce</t>
  </si>
  <si>
    <t>Rolltop</t>
  </si>
  <si>
    <t>Regular</t>
  </si>
  <si>
    <t>each profit</t>
  </si>
  <si>
    <t>total profit</t>
  </si>
  <si>
    <t>number of material use</t>
  </si>
  <si>
    <t>Pine</t>
  </si>
  <si>
    <t>Cedar</t>
  </si>
  <si>
    <t>Maple</t>
  </si>
  <si>
    <t xml:space="preserve">total material use </t>
  </si>
  <si>
    <t>total</t>
  </si>
  <si>
    <t>MAX</t>
  </si>
  <si>
    <t>Microsoft Excel 16.0 Sensitivity Report</t>
  </si>
  <si>
    <t>Worksheet: [Book1]HW</t>
  </si>
  <si>
    <t>Report Created: 8/18/2026 9:33:00 AM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</si>
  <si>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</si>
  <si>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</si>
  <si>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</si>
  <si>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</si>
  <si>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</si>
  <si>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</si>
  <si>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</si>
  <si>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</si>
  <si>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</si>
  <si>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</si>
  <si>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</si>
  <si>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</si>
  <si>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Constraints</t>
  </si>
  <si>
    <t>Shadow</t>
  </si>
  <si>
    <t>Price</t>
  </si>
  <si>
    <t>Constraint</t>
  </si>
  <si>
    <t>R.H. Side</t>
  </si>
  <si>
    <t>$A$4</t>
  </si>
  <si>
    <t>$B$4</t>
  </si>
  <si>
    <t>$B$23</t>
  </si>
  <si>
    <t>total Pine</t>
  </si>
  <si>
    <t>$C$23</t>
  </si>
  <si>
    <t>total Cedar</t>
  </si>
  <si>
    <t>$D$23</t>
  </si>
  <si>
    <t>total Maple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</si>
</sst>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3" borderId="0" xfId="0" applyFill="1" applyAlignment="1">
      <alignment horizontal="right"/>
    </xf>
    <xf numFmtId="0" fontId="0" fillId="3" borderId="0" xfId="0" applyFill="1"/>
    <xf numFmtId="0" fontId="0" fillId="0" borderId="0" xfId="0" applyAlignment="1">
      <alignment horizontal="right"/>
    </xf>
    <xf numFmtId="0" fontId="0" fillId="0" borderId="6" xfId="0" applyFill="1" applyBorder="1" applyAlignment="1"/>
    <xf numFmtId="0" fontId="0" fillId="0" borderId="7" xfId="0" applyFill="1" applyBorder="1" applyAlignment="1"/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0" fillId="0" borderId="0" xfId="0" applyFill="1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5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00229/Desktop/Optimization/data-files-optimiz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W_Sensitivity Report 1"/>
      <sheetName val="HW"/>
      <sheetName val="ProductMix"/>
      <sheetName val="ProductMix2"/>
      <sheetName val="Dual"/>
      <sheetName val="ProdPlanning"/>
      <sheetName val="project"/>
      <sheetName val="BlendingOil"/>
      <sheetName val="Transport1"/>
      <sheetName val="AssignmentProblem"/>
      <sheetName val="BinPacking"/>
      <sheetName val="cuttingStock"/>
      <sheetName val="RedBrandLogistics"/>
      <sheetName val="MCNF"/>
      <sheetName val="ShortestPath"/>
      <sheetName val="Aggregate1"/>
      <sheetName val="CapitalBudget"/>
      <sheetName val="FixedCost"/>
      <sheetName val="Hub"/>
      <sheetName val="WorkerScheduling"/>
      <sheetName val="Transport1-2"/>
      <sheetName val="MMULT"/>
      <sheetName val="MDETERM"/>
      <sheetName val="Peakload"/>
      <sheetName val="Portfolio"/>
      <sheetName val="EOQ"/>
      <sheetName val="SVM1"/>
      <sheetName val="MLE"/>
      <sheetName val="OLS"/>
      <sheetName val="Locatio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>
        <row r="6">
          <cell r="K6">
            <v>2</v>
          </cell>
        </row>
        <row r="7">
          <cell r="K7">
            <v>6</v>
          </cell>
        </row>
        <row r="8">
          <cell r="K8">
            <v>16</v>
          </cell>
        </row>
        <row r="9">
          <cell r="K9">
            <v>22</v>
          </cell>
        </row>
        <row r="10">
          <cell r="K10">
            <v>20</v>
          </cell>
        </row>
        <row r="11">
          <cell r="K11">
            <v>23</v>
          </cell>
        </row>
        <row r="12">
          <cell r="K12">
            <v>29</v>
          </cell>
        </row>
        <row r="13">
          <cell r="K13">
            <v>38</v>
          </cell>
        </row>
        <row r="14">
          <cell r="K14">
            <v>23</v>
          </cell>
        </row>
        <row r="15">
          <cell r="K15">
            <v>29</v>
          </cell>
        </row>
        <row r="16">
          <cell r="K16">
            <v>34</v>
          </cell>
        </row>
        <row r="17">
          <cell r="K17">
            <v>34</v>
          </cell>
        </row>
        <row r="18">
          <cell r="K18">
            <v>40</v>
          </cell>
        </row>
        <row r="19">
          <cell r="K19">
            <v>40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2BCA-43AA-45DF-87B9-04E4F6D33FFB}">
  <dimension ref="A1:H16"/>
  <sheetViews>
    <sheetView showGridLines="0" workbookViewId="0">
      <selection activeCell="F36" sqref="F36"/>
    </sheetView>
  </sheetViews>
  <sheetFormatPr defaultRowHeight="15" x14ac:dyDescent="0.25"/>
  <cols>
    <col min="1" max="1" width="2.28515625" customWidth="1"/>
    <col min="2" max="2" width="6.28515625" bestFit="1" customWidth="1"/>
    <col min="3" max="3" width="11.140625" bestFit="1" customWidth="1"/>
    <col min="4" max="4" width="6.140625" bestFit="1" customWidth="1"/>
    <col min="5" max="5" width="8.7109375" bestFit="1" customWidth="1"/>
    <col min="6" max="6" width="10.85546875" bestFit="1" customWidth="1"/>
    <col min="7" max="7" width="10" bestFit="1" customWidth="1"/>
    <col min="8" max="8" width="12" bestFit="1" customWidth="1"/>
  </cols>
  <sheetData>
    <row r="1" spans="1:8" x14ac:dyDescent="0.25">
      <c r="A1" s="1" t="s">
        <v>13</v>
      </c>
    </row>
    <row r="2" spans="1:8" x14ac:dyDescent="0.25">
      <c r="A2" s="1" t="s">
        <v>14</v>
      </c>
    </row>
    <row r="3" spans="1:8" x14ac:dyDescent="0.25">
      <c r="A3" s="1" t="s">
        <v>15</v>
      </c>
    </row>
    <row r="5" spans="1:8" ht="15.75" thickBot="1" x14ac:dyDescent="0.3">
      <c r="A5" t="s">
        <v>16</v>
      </c>
    </row>
    <row r="6" spans="1:8" x14ac:dyDescent="0.25">
      <c r="B6" s="7"/>
      <c r="C6" s="7"/>
      <c r="D6" s="7" t="s">
        <v>19</v>
      </c>
      <c r="E6" s="7" t="s">
        <v>21</v>
      </c>
      <c r="F6" s="7" t="s">
        <v>23</v>
      </c>
      <c r="G6" s="7" t="s">
        <v>25</v>
      </c>
      <c r="H6" s="7" t="s">
        <v>25</v>
      </c>
    </row>
    <row r="7" spans="1:8" ht="15.75" thickBot="1" x14ac:dyDescent="0.3">
      <c r="B7" s="8" t="s">
        <v>17</v>
      </c>
      <c r="C7" s="8" t="s">
        <v>18</v>
      </c>
      <c r="D7" s="8" t="s">
        <v>20</v>
      </c>
      <c r="E7" s="8" t="s">
        <v>22</v>
      </c>
      <c r="F7" s="8" t="s">
        <v>24</v>
      </c>
      <c r="G7" s="8" t="s">
        <v>26</v>
      </c>
      <c r="H7" s="8" t="s">
        <v>27</v>
      </c>
    </row>
    <row r="8" spans="1:8" x14ac:dyDescent="0.25">
      <c r="B8" s="5" t="s">
        <v>33</v>
      </c>
      <c r="C8" s="5" t="s">
        <v>2</v>
      </c>
      <c r="D8" s="5">
        <v>12</v>
      </c>
      <c r="E8" s="5">
        <v>0</v>
      </c>
      <c r="F8" s="5">
        <v>115</v>
      </c>
      <c r="G8" s="5">
        <v>20.000000000000014</v>
      </c>
      <c r="H8" s="5">
        <v>70</v>
      </c>
    </row>
    <row r="9" spans="1:8" ht="15.75" thickBot="1" x14ac:dyDescent="0.3">
      <c r="B9" s="6" t="s">
        <v>34</v>
      </c>
      <c r="C9" s="6" t="s">
        <v>3</v>
      </c>
      <c r="D9" s="6">
        <v>4.0000000000000009</v>
      </c>
      <c r="E9" s="6">
        <v>0</v>
      </c>
      <c r="F9" s="6">
        <v>90</v>
      </c>
      <c r="G9" s="6">
        <v>140</v>
      </c>
      <c r="H9" s="6">
        <v>13.333333333333343</v>
      </c>
    </row>
    <row r="11" spans="1:8" ht="15.75" thickBot="1" x14ac:dyDescent="0.3">
      <c r="A11" t="s">
        <v>28</v>
      </c>
    </row>
    <row r="12" spans="1:8" x14ac:dyDescent="0.25">
      <c r="B12" s="7"/>
      <c r="C12" s="7"/>
      <c r="D12" s="7" t="s">
        <v>19</v>
      </c>
      <c r="E12" s="7" t="s">
        <v>29</v>
      </c>
      <c r="F12" s="7" t="s">
        <v>31</v>
      </c>
      <c r="G12" s="7" t="s">
        <v>25</v>
      </c>
      <c r="H12" s="7" t="s">
        <v>25</v>
      </c>
    </row>
    <row r="13" spans="1:8" ht="15.75" thickBot="1" x14ac:dyDescent="0.3">
      <c r="B13" s="8" t="s">
        <v>17</v>
      </c>
      <c r="C13" s="8" t="s">
        <v>18</v>
      </c>
      <c r="D13" s="8" t="s">
        <v>20</v>
      </c>
      <c r="E13" s="8" t="s">
        <v>30</v>
      </c>
      <c r="F13" s="8" t="s">
        <v>32</v>
      </c>
      <c r="G13" s="8" t="s">
        <v>26</v>
      </c>
      <c r="H13" s="8" t="s">
        <v>27</v>
      </c>
    </row>
    <row r="14" spans="1:8" x14ac:dyDescent="0.25">
      <c r="B14" s="5" t="s">
        <v>35</v>
      </c>
      <c r="C14" s="5" t="s">
        <v>36</v>
      </c>
      <c r="D14" s="5">
        <v>200</v>
      </c>
      <c r="E14" s="5">
        <v>1.0000000000000007</v>
      </c>
      <c r="F14" s="5">
        <v>200</v>
      </c>
      <c r="G14" s="5">
        <v>15.999999999999993</v>
      </c>
      <c r="H14" s="5">
        <v>53.33333333333335</v>
      </c>
    </row>
    <row r="15" spans="1:8" x14ac:dyDescent="0.25">
      <c r="B15" s="5" t="s">
        <v>37</v>
      </c>
      <c r="C15" s="5" t="s">
        <v>38</v>
      </c>
      <c r="D15" s="5">
        <v>112.00000000000001</v>
      </c>
      <c r="E15" s="5">
        <v>0</v>
      </c>
      <c r="F15" s="5">
        <v>128</v>
      </c>
      <c r="G15" s="5">
        <v>1E+30</v>
      </c>
      <c r="H15" s="5">
        <v>15.999999999999993</v>
      </c>
    </row>
    <row r="16" spans="1:8" ht="15.75" thickBot="1" x14ac:dyDescent="0.3">
      <c r="B16" s="6" t="s">
        <v>39</v>
      </c>
      <c r="C16" s="6" t="s">
        <v>40</v>
      </c>
      <c r="D16" s="6">
        <v>220</v>
      </c>
      <c r="E16" s="6">
        <v>7</v>
      </c>
      <c r="F16" s="6">
        <v>220</v>
      </c>
      <c r="G16" s="6">
        <v>80.000000000000028</v>
      </c>
      <c r="H16" s="6">
        <v>39.999999999999986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96409-8126-46DD-B5C4-46CDF0549346}">
  <sheetPr>
    <pageSetUpPr fitToPage="1"/>
  </sheetPr>
  <dimension ref="A1:D28"/>
  <sheetViews>
    <sheetView tabSelected="1" zoomScaleNormal="100" workbookViewId="0">
      <selection activeCell="I11" sqref="I11"/>
    </sheetView>
  </sheetViews>
  <sheetFormatPr defaultRowHeight="15" x14ac:dyDescent="0.25"/>
  <cols>
    <col min="5" max="5" width="11.7109375" customWidth="1"/>
  </cols>
  <sheetData>
    <row r="1" spans="1:4" x14ac:dyDescent="0.25">
      <c r="A1" s="1" t="s">
        <v>0</v>
      </c>
    </row>
    <row r="2" spans="1:4" x14ac:dyDescent="0.25">
      <c r="A2" s="12" t="s">
        <v>1</v>
      </c>
      <c r="B2" s="13"/>
      <c r="C2" s="13"/>
      <c r="D2" s="14"/>
    </row>
    <row r="3" spans="1:4" x14ac:dyDescent="0.25">
      <c r="A3" t="s">
        <v>2</v>
      </c>
      <c r="B3" t="s">
        <v>3</v>
      </c>
    </row>
    <row r="4" spans="1:4" x14ac:dyDescent="0.25">
      <c r="A4" s="2">
        <v>12</v>
      </c>
      <c r="B4" s="3">
        <v>4.0000000000000009</v>
      </c>
    </row>
    <row r="5" spans="1:4" x14ac:dyDescent="0.25">
      <c r="A5" s="4"/>
    </row>
    <row r="6" spans="1:4" x14ac:dyDescent="0.25">
      <c r="A6" s="12" t="s">
        <v>4</v>
      </c>
      <c r="B6" s="13"/>
      <c r="C6" s="13"/>
      <c r="D6" s="14"/>
    </row>
    <row r="7" spans="1:4" x14ac:dyDescent="0.25">
      <c r="A7" t="s">
        <v>2</v>
      </c>
      <c r="B7" t="s">
        <v>3</v>
      </c>
    </row>
    <row r="8" spans="1:4" x14ac:dyDescent="0.25">
      <c r="A8" s="4">
        <v>115</v>
      </c>
      <c r="B8">
        <v>90</v>
      </c>
    </row>
    <row r="9" spans="1:4" x14ac:dyDescent="0.25">
      <c r="A9" s="4"/>
    </row>
    <row r="10" spans="1:4" x14ac:dyDescent="0.25">
      <c r="A10" s="12" t="s">
        <v>5</v>
      </c>
      <c r="B10" s="13"/>
      <c r="C10" s="13"/>
      <c r="D10" s="14"/>
    </row>
    <row r="11" spans="1:4" x14ac:dyDescent="0.25">
      <c r="A11" s="15">
        <f>SUMPRODUCT($A$4:$B$4,$A$8:$B$8)</f>
        <v>1740</v>
      </c>
      <c r="D11" s="11"/>
    </row>
    <row r="12" spans="1:4" x14ac:dyDescent="0.25">
      <c r="A12" s="4"/>
    </row>
    <row r="14" spans="1:4" x14ac:dyDescent="0.25">
      <c r="A14" s="12" t="s">
        <v>6</v>
      </c>
      <c r="B14" s="13"/>
      <c r="C14" s="13"/>
      <c r="D14" s="14"/>
    </row>
    <row r="15" spans="1:4" x14ac:dyDescent="0.25">
      <c r="B15" t="s">
        <v>7</v>
      </c>
      <c r="C15" t="s">
        <v>8</v>
      </c>
      <c r="D15" t="s">
        <v>9</v>
      </c>
    </row>
    <row r="16" spans="1:4" x14ac:dyDescent="0.25">
      <c r="A16" t="s">
        <v>2</v>
      </c>
      <c r="B16">
        <v>10</v>
      </c>
      <c r="C16">
        <v>4</v>
      </c>
      <c r="D16">
        <v>15</v>
      </c>
    </row>
    <row r="17" spans="1:4" x14ac:dyDescent="0.25">
      <c r="A17" t="s">
        <v>3</v>
      </c>
      <c r="B17">
        <v>20</v>
      </c>
      <c r="C17">
        <v>16</v>
      </c>
      <c r="D17">
        <v>10</v>
      </c>
    </row>
    <row r="19" spans="1:4" x14ac:dyDescent="0.25">
      <c r="A19" s="12" t="s">
        <v>10</v>
      </c>
      <c r="B19" s="13"/>
      <c r="C19" s="13"/>
      <c r="D19" s="14"/>
    </row>
    <row r="20" spans="1:4" x14ac:dyDescent="0.25">
      <c r="B20" t="s">
        <v>7</v>
      </c>
      <c r="C20" t="s">
        <v>8</v>
      </c>
      <c r="D20" t="s">
        <v>9</v>
      </c>
    </row>
    <row r="21" spans="1:4" x14ac:dyDescent="0.25">
      <c r="A21" t="s">
        <v>2</v>
      </c>
      <c r="B21">
        <f>B16*$A$4</f>
        <v>120</v>
      </c>
      <c r="C21">
        <f>C16*$A$4</f>
        <v>48</v>
      </c>
      <c r="D21">
        <f>D16*$A$4</f>
        <v>180</v>
      </c>
    </row>
    <row r="22" spans="1:4" x14ac:dyDescent="0.25">
      <c r="A22" t="s">
        <v>3</v>
      </c>
      <c r="B22">
        <f>B17*$B$4</f>
        <v>80.000000000000014</v>
      </c>
      <c r="C22">
        <f>C17*$B$4</f>
        <v>64.000000000000014</v>
      </c>
      <c r="D22">
        <f>D17*$B$4</f>
        <v>40.000000000000007</v>
      </c>
    </row>
    <row r="23" spans="1:4" x14ac:dyDescent="0.25">
      <c r="A23" t="s">
        <v>11</v>
      </c>
      <c r="B23" s="10">
        <f>SUM(B21:B22)</f>
        <v>200</v>
      </c>
      <c r="C23" s="10">
        <f>SUM(C21:C22)</f>
        <v>112.00000000000001</v>
      </c>
      <c r="D23" s="10">
        <f>SUM(D21:D22)</f>
        <v>220</v>
      </c>
    </row>
    <row r="24" spans="1:4" x14ac:dyDescent="0.25">
      <c r="A24" t="s">
        <v>12</v>
      </c>
      <c r="B24" s="9">
        <v>200</v>
      </c>
      <c r="C24" s="9">
        <v>128</v>
      </c>
      <c r="D24" s="9">
        <f>220+50</f>
        <v>270</v>
      </c>
    </row>
    <row r="28" spans="1:4" ht="13.5" customHeight="1" x14ac:dyDescent="0.25"/>
  </sheetData>
  <mergeCells count="5">
    <mergeCell ref="A2:D2"/>
    <mergeCell ref="A6:D6"/>
    <mergeCell ref="A10:D10"/>
    <mergeCell ref="A14:D14"/>
    <mergeCell ref="A19:D19"/>
  </mergeCells>
  <printOptions headings="1" gridLines="1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HW Sensitivity Report 1</vt:lpstr>
      <vt:lpstr>HW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Pannatorn Janpitak</dc:creator>
  <cp:lastModifiedBy>Pannatorn Janpitak</cp:lastModifiedBy>
  <dcterms:created xsi:type="dcterms:W3CDTF">2026-08-18T02:32:44Z</dcterms:created>
  <dcterms:modified xsi:type="dcterms:W3CDTF">2026-09-24T02:41:32Z</dcterms:modified>
</cp:coreProperties>
</file>